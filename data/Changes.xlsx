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thenburg\Data\Hydraulic\Analysis\"/>
    </mc:Choice>
  </mc:AlternateContent>
  <xr:revisionPtr revIDLastSave="0" documentId="13_ncr:1_{560E990F-F118-4B2A-A533-994AFCA8A798}" xr6:coauthVersionLast="47" xr6:coauthVersionMax="47" xr10:uidLastSave="{00000000-0000-0000-0000-000000000000}"/>
  <bookViews>
    <workbookView xWindow="-110" yWindow="-110" windowWidth="19420" windowHeight="11500" xr2:uid="{F8C217E5-5F5D-4A10-AE94-55EA676D0365}"/>
  </bookViews>
  <sheets>
    <sheet name="Sheet1" sheetId="1" r:id="rId1"/>
    <sheet name="Ch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BR94" i="1"/>
  <c r="BQ94" i="1"/>
  <c r="BP94" i="1"/>
  <c r="BO94" i="1"/>
  <c r="BN94" i="1"/>
  <c r="BR93" i="1"/>
  <c r="BQ93" i="1"/>
  <c r="BP93" i="1"/>
  <c r="BO93" i="1"/>
  <c r="BN93" i="1"/>
  <c r="BR92" i="1"/>
  <c r="BQ92" i="1"/>
  <c r="BP92" i="1"/>
  <c r="BO92" i="1"/>
  <c r="BN92" i="1"/>
  <c r="BR91" i="1"/>
  <c r="BQ91" i="1"/>
  <c r="BP91" i="1"/>
  <c r="BO91" i="1"/>
  <c r="BN91" i="1"/>
  <c r="BR90" i="1"/>
  <c r="BQ90" i="1"/>
  <c r="BP90" i="1"/>
  <c r="BO90" i="1"/>
  <c r="BN90" i="1"/>
  <c r="BR89" i="1"/>
  <c r="BQ89" i="1"/>
  <c r="BP89" i="1"/>
  <c r="BO89" i="1"/>
  <c r="BN89" i="1"/>
  <c r="BR88" i="1"/>
  <c r="BQ88" i="1"/>
  <c r="BP88" i="1"/>
  <c r="BO88" i="1"/>
  <c r="BN88" i="1"/>
  <c r="BR87" i="1"/>
  <c r="BQ87" i="1"/>
  <c r="BP87" i="1"/>
  <c r="BO87" i="1"/>
  <c r="BN87" i="1"/>
  <c r="BR86" i="1"/>
  <c r="BQ86" i="1"/>
  <c r="BP86" i="1"/>
  <c r="BO86" i="1"/>
  <c r="BN86" i="1"/>
  <c r="BR85" i="1"/>
  <c r="BQ85" i="1"/>
  <c r="BP85" i="1"/>
  <c r="BO85" i="1"/>
  <c r="BN85" i="1"/>
  <c r="BR84" i="1"/>
  <c r="BQ84" i="1"/>
  <c r="BP84" i="1"/>
  <c r="BO84" i="1"/>
  <c r="BN84" i="1"/>
  <c r="BR83" i="1"/>
  <c r="BQ83" i="1"/>
  <c r="BP83" i="1"/>
  <c r="BO83" i="1"/>
  <c r="BN83" i="1"/>
  <c r="BR82" i="1"/>
  <c r="BQ82" i="1"/>
  <c r="BP82" i="1"/>
  <c r="BO82" i="1"/>
  <c r="BN82" i="1"/>
  <c r="BR81" i="1"/>
  <c r="BQ81" i="1"/>
  <c r="BP81" i="1"/>
  <c r="BO81" i="1"/>
  <c r="BN81" i="1"/>
  <c r="BR80" i="1"/>
  <c r="BQ80" i="1"/>
  <c r="BP80" i="1"/>
  <c r="BO80" i="1"/>
  <c r="BN80" i="1"/>
  <c r="BR79" i="1"/>
  <c r="BQ79" i="1"/>
  <c r="BP79" i="1"/>
  <c r="BO79" i="1"/>
  <c r="BN79" i="1"/>
  <c r="BR78" i="1"/>
  <c r="BQ78" i="1"/>
  <c r="BP78" i="1"/>
  <c r="BO78" i="1"/>
  <c r="BN78" i="1"/>
  <c r="BR77" i="1"/>
  <c r="BQ77" i="1"/>
  <c r="BP77" i="1"/>
  <c r="BO77" i="1"/>
  <c r="BN77" i="1"/>
  <c r="BR76" i="1"/>
  <c r="BQ76" i="1"/>
  <c r="BP76" i="1"/>
  <c r="BO76" i="1"/>
  <c r="BN76" i="1"/>
  <c r="BR75" i="1"/>
  <c r="BQ75" i="1"/>
  <c r="BP75" i="1"/>
  <c r="BO75" i="1"/>
  <c r="BN75" i="1"/>
  <c r="BR74" i="1"/>
  <c r="BQ74" i="1"/>
  <c r="BP74" i="1"/>
  <c r="BO74" i="1"/>
  <c r="BN74" i="1"/>
  <c r="BR73" i="1"/>
  <c r="BQ73" i="1"/>
  <c r="BP73" i="1"/>
  <c r="BO73" i="1"/>
  <c r="BN73" i="1"/>
  <c r="BR72" i="1"/>
  <c r="BQ72" i="1"/>
  <c r="BP72" i="1"/>
  <c r="BO72" i="1"/>
  <c r="BN72" i="1"/>
  <c r="BR71" i="1"/>
  <c r="BQ71" i="1"/>
  <c r="BP71" i="1"/>
  <c r="BO71" i="1"/>
  <c r="BN71" i="1"/>
  <c r="BR70" i="1"/>
  <c r="BQ70" i="1"/>
  <c r="BP70" i="1"/>
  <c r="BO70" i="1"/>
  <c r="BN70" i="1"/>
  <c r="BR69" i="1"/>
  <c r="BQ69" i="1"/>
  <c r="BP69" i="1"/>
  <c r="BO69" i="1"/>
  <c r="BN69" i="1"/>
  <c r="BR68" i="1"/>
  <c r="BQ68" i="1"/>
  <c r="BP68" i="1"/>
  <c r="BO68" i="1"/>
  <c r="BN68" i="1"/>
  <c r="BR67" i="1"/>
  <c r="BQ67" i="1"/>
  <c r="BP67" i="1"/>
  <c r="BO67" i="1"/>
  <c r="BN67" i="1"/>
  <c r="BR66" i="1"/>
  <c r="BQ66" i="1"/>
  <c r="BP66" i="1"/>
  <c r="BO66" i="1"/>
  <c r="BN66" i="1"/>
  <c r="BR65" i="1"/>
  <c r="BQ65" i="1"/>
  <c r="BP65" i="1"/>
  <c r="BO65" i="1"/>
  <c r="BN65" i="1"/>
  <c r="BR64" i="1"/>
  <c r="BQ64" i="1"/>
  <c r="BP64" i="1"/>
  <c r="BO64" i="1"/>
  <c r="BN64" i="1"/>
  <c r="BR63" i="1"/>
  <c r="BQ63" i="1"/>
  <c r="BP63" i="1"/>
  <c r="BO63" i="1"/>
  <c r="BN63" i="1"/>
  <c r="BR62" i="1"/>
  <c r="BQ62" i="1"/>
  <c r="BP62" i="1"/>
  <c r="BO62" i="1"/>
  <c r="BN62" i="1"/>
  <c r="BR61" i="1"/>
  <c r="BQ61" i="1"/>
  <c r="BP61" i="1"/>
  <c r="BO61" i="1"/>
  <c r="BN61" i="1"/>
  <c r="BR60" i="1"/>
  <c r="BQ60" i="1"/>
  <c r="BP60" i="1"/>
  <c r="BO60" i="1"/>
  <c r="BN60" i="1"/>
  <c r="BR59" i="1"/>
  <c r="BQ59" i="1"/>
  <c r="BP59" i="1"/>
  <c r="BO59" i="1"/>
  <c r="BN59" i="1"/>
  <c r="BR58" i="1"/>
  <c r="BQ58" i="1"/>
  <c r="BP58" i="1"/>
  <c r="BO58" i="1"/>
  <c r="BN58" i="1"/>
  <c r="BR57" i="1"/>
  <c r="BQ57" i="1"/>
  <c r="BP57" i="1"/>
  <c r="BO57" i="1"/>
  <c r="BN57" i="1"/>
  <c r="BR56" i="1"/>
  <c r="BQ56" i="1"/>
  <c r="BP56" i="1"/>
  <c r="BO56" i="1"/>
  <c r="BN56" i="1"/>
  <c r="BR55" i="1"/>
  <c r="BQ55" i="1"/>
  <c r="BP55" i="1"/>
  <c r="BO55" i="1"/>
  <c r="BN55" i="1"/>
  <c r="BR54" i="1"/>
  <c r="BQ54" i="1"/>
  <c r="BP54" i="1"/>
  <c r="BO54" i="1"/>
  <c r="BN54" i="1"/>
  <c r="BR53" i="1"/>
  <c r="BQ53" i="1"/>
  <c r="BP53" i="1"/>
  <c r="BO53" i="1"/>
  <c r="BN53" i="1"/>
  <c r="BR52" i="1"/>
  <c r="BQ52" i="1"/>
  <c r="BP52" i="1"/>
  <c r="BO52" i="1"/>
  <c r="BN52" i="1"/>
  <c r="BR51" i="1"/>
  <c r="BQ51" i="1"/>
  <c r="BP51" i="1"/>
  <c r="BO51" i="1"/>
  <c r="BN51" i="1"/>
  <c r="BR50" i="1"/>
  <c r="BQ50" i="1"/>
  <c r="BP50" i="1"/>
  <c r="BO50" i="1"/>
  <c r="BN50" i="1"/>
  <c r="BR49" i="1"/>
  <c r="BQ49" i="1"/>
  <c r="BP49" i="1"/>
  <c r="BO49" i="1"/>
  <c r="BN49" i="1"/>
  <c r="BR48" i="1"/>
  <c r="BQ48" i="1"/>
  <c r="BP48" i="1"/>
  <c r="BO48" i="1"/>
  <c r="BN48" i="1"/>
  <c r="BR47" i="1"/>
  <c r="BQ47" i="1"/>
  <c r="BP47" i="1"/>
  <c r="BO47" i="1"/>
  <c r="BN47" i="1"/>
  <c r="BR46" i="1"/>
  <c r="BQ46" i="1"/>
  <c r="BP46" i="1"/>
  <c r="BO46" i="1"/>
  <c r="BN46" i="1"/>
  <c r="BR45" i="1"/>
  <c r="BQ45" i="1"/>
  <c r="BP45" i="1"/>
  <c r="BO45" i="1"/>
  <c r="BN45" i="1"/>
  <c r="BR44" i="1"/>
  <c r="BQ44" i="1"/>
  <c r="BP44" i="1"/>
  <c r="BO44" i="1"/>
  <c r="BN44" i="1"/>
  <c r="BR43" i="1"/>
  <c r="BQ43" i="1"/>
  <c r="BP43" i="1"/>
  <c r="BO43" i="1"/>
  <c r="BN43" i="1"/>
  <c r="BR42" i="1"/>
  <c r="BQ42" i="1"/>
  <c r="BP42" i="1"/>
  <c r="BO42" i="1"/>
  <c r="BN42" i="1"/>
  <c r="BR41" i="1"/>
  <c r="BQ41" i="1"/>
  <c r="BP41" i="1"/>
  <c r="BO41" i="1"/>
  <c r="BN41" i="1"/>
  <c r="BR40" i="1"/>
  <c r="BQ40" i="1"/>
  <c r="BP40" i="1"/>
  <c r="BO40" i="1"/>
  <c r="BN40" i="1"/>
  <c r="BR39" i="1"/>
  <c r="BQ39" i="1"/>
  <c r="BP39" i="1"/>
  <c r="BO39" i="1"/>
  <c r="BN39" i="1"/>
  <c r="BR38" i="1"/>
  <c r="BQ38" i="1"/>
  <c r="BP38" i="1"/>
  <c r="BO38" i="1"/>
  <c r="BN38" i="1"/>
  <c r="BR37" i="1"/>
  <c r="BQ37" i="1"/>
  <c r="BP37" i="1"/>
  <c r="BO37" i="1"/>
  <c r="BN37" i="1"/>
  <c r="BR36" i="1"/>
  <c r="BQ36" i="1"/>
  <c r="BP36" i="1"/>
  <c r="BO36" i="1"/>
  <c r="BN36" i="1"/>
  <c r="BR35" i="1"/>
  <c r="BQ35" i="1"/>
  <c r="BP35" i="1"/>
  <c r="BO35" i="1"/>
  <c r="BN35" i="1"/>
  <c r="BR34" i="1"/>
  <c r="BQ34" i="1"/>
  <c r="BP34" i="1"/>
  <c r="BO34" i="1"/>
  <c r="BN34" i="1"/>
  <c r="BR33" i="1"/>
  <c r="BQ33" i="1"/>
  <c r="BP33" i="1"/>
  <c r="BO33" i="1"/>
  <c r="BN33" i="1"/>
  <c r="BR32" i="1"/>
  <c r="BQ32" i="1"/>
  <c r="BP32" i="1"/>
  <c r="BO32" i="1"/>
  <c r="BN32" i="1"/>
  <c r="BR31" i="1"/>
  <c r="BQ31" i="1"/>
  <c r="BP31" i="1"/>
  <c r="BO31" i="1"/>
  <c r="BN31" i="1"/>
  <c r="BR30" i="1"/>
  <c r="BQ30" i="1"/>
  <c r="BP30" i="1"/>
  <c r="BO30" i="1"/>
  <c r="BN30" i="1"/>
  <c r="BR29" i="1"/>
  <c r="BQ29" i="1"/>
  <c r="BP29" i="1"/>
  <c r="BO29" i="1"/>
  <c r="BN29" i="1"/>
  <c r="BR28" i="1"/>
  <c r="BQ28" i="1"/>
  <c r="BP28" i="1"/>
  <c r="BO28" i="1"/>
  <c r="BN28" i="1"/>
  <c r="BR27" i="1"/>
  <c r="BQ27" i="1"/>
  <c r="BP27" i="1"/>
  <c r="BO27" i="1"/>
  <c r="BN27" i="1"/>
  <c r="BR26" i="1"/>
  <c r="BQ26" i="1"/>
  <c r="BP26" i="1"/>
  <c r="BO26" i="1"/>
  <c r="BN26" i="1"/>
  <c r="BR25" i="1"/>
  <c r="BQ25" i="1"/>
  <c r="BP25" i="1"/>
  <c r="BO25" i="1"/>
  <c r="BN25" i="1"/>
  <c r="BR24" i="1"/>
  <c r="BQ24" i="1"/>
  <c r="BP24" i="1"/>
  <c r="BO24" i="1"/>
  <c r="BN24" i="1"/>
  <c r="BR23" i="1"/>
  <c r="BQ23" i="1"/>
  <c r="BP23" i="1"/>
  <c r="BO23" i="1"/>
  <c r="BN23" i="1"/>
  <c r="BR22" i="1"/>
  <c r="BQ22" i="1"/>
  <c r="BP22" i="1"/>
  <c r="BO22" i="1"/>
  <c r="BN22" i="1"/>
  <c r="BR21" i="1"/>
  <c r="BQ21" i="1"/>
  <c r="BP21" i="1"/>
  <c r="BO21" i="1"/>
  <c r="BN21" i="1"/>
  <c r="BR20" i="1"/>
  <c r="BQ20" i="1"/>
  <c r="BP20" i="1"/>
  <c r="BO20" i="1"/>
  <c r="BN20" i="1"/>
  <c r="BR19" i="1"/>
  <c r="BQ19" i="1"/>
  <c r="BP19" i="1"/>
  <c r="BO19" i="1"/>
  <c r="BN19" i="1"/>
  <c r="BR18" i="1"/>
  <c r="BQ18" i="1"/>
  <c r="BP18" i="1"/>
  <c r="BO18" i="1"/>
  <c r="BN18" i="1"/>
  <c r="BR17" i="1"/>
  <c r="BQ17" i="1"/>
  <c r="BP17" i="1"/>
  <c r="BO17" i="1"/>
  <c r="BN17" i="1"/>
  <c r="BR16" i="1"/>
  <c r="BQ16" i="1"/>
  <c r="BP16" i="1"/>
  <c r="BO16" i="1"/>
  <c r="BN16" i="1"/>
  <c r="BR15" i="1"/>
  <c r="BQ15" i="1"/>
  <c r="BP15" i="1"/>
  <c r="BO15" i="1"/>
  <c r="BN15" i="1"/>
  <c r="BR14" i="1"/>
  <c r="BQ14" i="1"/>
  <c r="BP14" i="1"/>
  <c r="BO14" i="1"/>
  <c r="BN14" i="1"/>
  <c r="BR13" i="1"/>
  <c r="BQ13" i="1"/>
  <c r="BP13" i="1"/>
  <c r="BO13" i="1"/>
  <c r="BN13" i="1"/>
  <c r="BR12" i="1"/>
  <c r="BQ12" i="1"/>
  <c r="BP12" i="1"/>
  <c r="BO12" i="1"/>
  <c r="BN12" i="1"/>
  <c r="BR11" i="1"/>
  <c r="BQ11" i="1"/>
  <c r="BP11" i="1"/>
  <c r="BO11" i="1"/>
  <c r="BN11" i="1"/>
  <c r="BR10" i="1"/>
  <c r="BQ10" i="1"/>
  <c r="BP10" i="1"/>
  <c r="BO10" i="1"/>
  <c r="BN10" i="1"/>
  <c r="BR9" i="1"/>
  <c r="BQ9" i="1"/>
  <c r="BP9" i="1"/>
  <c r="BO9" i="1"/>
  <c r="BN9" i="1"/>
  <c r="BR8" i="1"/>
  <c r="BQ8" i="1"/>
  <c r="BP8" i="1"/>
  <c r="BO8" i="1"/>
  <c r="BN8" i="1"/>
  <c r="BR7" i="1"/>
  <c r="BQ7" i="1"/>
  <c r="BP7" i="1"/>
  <c r="BO7" i="1"/>
  <c r="BN7" i="1"/>
  <c r="BR6" i="1"/>
  <c r="BQ6" i="1"/>
  <c r="BP6" i="1"/>
  <c r="BO6" i="1"/>
  <c r="BN6" i="1"/>
  <c r="BR5" i="1"/>
  <c r="BQ5" i="1"/>
  <c r="BP5" i="1"/>
  <c r="BO5" i="1"/>
  <c r="BN5" i="1"/>
  <c r="BR4" i="1"/>
  <c r="BQ4" i="1"/>
  <c r="BP4" i="1"/>
  <c r="BO4" i="1"/>
  <c r="BN4" i="1"/>
  <c r="BR3" i="1"/>
  <c r="BQ3" i="1"/>
  <c r="BP3" i="1"/>
  <c r="BO3" i="1"/>
  <c r="BN3" i="1"/>
  <c r="BR2" i="1"/>
  <c r="BQ2" i="1"/>
  <c r="BP2" i="1"/>
  <c r="BO2" i="1"/>
  <c r="BN2" i="1"/>
</calcChain>
</file>

<file path=xl/sharedStrings.xml><?xml version="1.0" encoding="utf-8"?>
<sst xmlns="http://schemas.openxmlformats.org/spreadsheetml/2006/main" count="2649" uniqueCount="259">
  <si>
    <t>Date</t>
  </si>
  <si>
    <t>Site</t>
  </si>
  <si>
    <t>Month1</t>
  </si>
  <si>
    <t>Plot</t>
  </si>
  <si>
    <t>Treatment</t>
  </si>
  <si>
    <t>Cable No</t>
  </si>
  <si>
    <t>Species</t>
  </si>
  <si>
    <t>Position</t>
  </si>
  <si>
    <t>Individu22</t>
  </si>
  <si>
    <t>Individu</t>
  </si>
  <si>
    <t>Time</t>
  </si>
  <si>
    <t>DV</t>
  </si>
  <si>
    <t>Predawn</t>
  </si>
  <si>
    <t>PredawnWP</t>
  </si>
  <si>
    <t>DVmd</t>
  </si>
  <si>
    <t>DT</t>
  </si>
  <si>
    <t>Midday</t>
  </si>
  <si>
    <t>MiddayWP</t>
  </si>
  <si>
    <t>Tcan</t>
  </si>
  <si>
    <t>DBH</t>
  </si>
  <si>
    <t>Height</t>
  </si>
  <si>
    <t>u</t>
  </si>
  <si>
    <t>K</t>
  </si>
  <si>
    <t>u10</t>
  </si>
  <si>
    <t>F10</t>
  </si>
  <si>
    <t>F</t>
  </si>
  <si>
    <t>k</t>
  </si>
  <si>
    <t>PMD</t>
  </si>
  <si>
    <t>MDD</t>
  </si>
  <si>
    <t>UC</t>
  </si>
  <si>
    <t>kc</t>
  </si>
  <si>
    <t>Fc</t>
  </si>
  <si>
    <t>Makera</t>
  </si>
  <si>
    <t>June</t>
  </si>
  <si>
    <t>K1</t>
  </si>
  <si>
    <t>Control</t>
  </si>
  <si>
    <t>Bbr</t>
  </si>
  <si>
    <t>K1BbrF10</t>
  </si>
  <si>
    <t>6h01</t>
  </si>
  <si>
    <t>11h45</t>
  </si>
  <si>
    <t>September</t>
  </si>
  <si>
    <t>6h53</t>
  </si>
  <si>
    <t>12h28</t>
  </si>
  <si>
    <t>Cme</t>
  </si>
  <si>
    <t>G8</t>
  </si>
  <si>
    <t>K1CmeG8</t>
  </si>
  <si>
    <t>6h09</t>
  </si>
  <si>
    <t>11h58</t>
  </si>
  <si>
    <t>6h24</t>
  </si>
  <si>
    <t>12h29</t>
  </si>
  <si>
    <t>Dto</t>
  </si>
  <si>
    <t>D10</t>
  </si>
  <si>
    <t>K1DtoD10</t>
  </si>
  <si>
    <t>Fsa</t>
  </si>
  <si>
    <t>B9</t>
  </si>
  <si>
    <t>K1FsaB9</t>
  </si>
  <si>
    <t>H9</t>
  </si>
  <si>
    <t>K1FsaH9</t>
  </si>
  <si>
    <t>Fth</t>
  </si>
  <si>
    <t>H1</t>
  </si>
  <si>
    <t>K1FthH1</t>
  </si>
  <si>
    <t>Hma</t>
  </si>
  <si>
    <t>A2</t>
  </si>
  <si>
    <t>K1HmaA2</t>
  </si>
  <si>
    <t>na</t>
  </si>
  <si>
    <t>A6</t>
  </si>
  <si>
    <t>K1HmaA6</t>
  </si>
  <si>
    <t>D9</t>
  </si>
  <si>
    <t>K1HmaD9</t>
  </si>
  <si>
    <t>Mlu</t>
  </si>
  <si>
    <t>D7</t>
  </si>
  <si>
    <t>K1MluD7</t>
  </si>
  <si>
    <t>Paf</t>
  </si>
  <si>
    <t>F9</t>
  </si>
  <si>
    <t>K1PafF9</t>
  </si>
  <si>
    <t>Pfa</t>
  </si>
  <si>
    <t>I6</t>
  </si>
  <si>
    <t>K1PfaI6</t>
  </si>
  <si>
    <t>Pfu</t>
  </si>
  <si>
    <t>G7</t>
  </si>
  <si>
    <t>K1PfuG7</t>
  </si>
  <si>
    <t>Sgu</t>
  </si>
  <si>
    <t>G10</t>
  </si>
  <si>
    <t>K1SguG10</t>
  </si>
  <si>
    <t>H8</t>
  </si>
  <si>
    <t>K1SguH8</t>
  </si>
  <si>
    <t>K5</t>
  </si>
  <si>
    <t>Agu</t>
  </si>
  <si>
    <t>K5AguF10</t>
  </si>
  <si>
    <t>5h42</t>
  </si>
  <si>
    <t>12h21</t>
  </si>
  <si>
    <t>H7</t>
  </si>
  <si>
    <t>6h05</t>
  </si>
  <si>
    <t>12h53</t>
  </si>
  <si>
    <t>K5AguH7</t>
  </si>
  <si>
    <t>5h53</t>
  </si>
  <si>
    <t>12h11</t>
  </si>
  <si>
    <t>A3</t>
  </si>
  <si>
    <t>11h46</t>
  </si>
  <si>
    <t>K5BbrA3</t>
  </si>
  <si>
    <t>B10</t>
  </si>
  <si>
    <t>K5CmeB10</t>
  </si>
  <si>
    <t>K5CmeI6</t>
  </si>
  <si>
    <t>J7</t>
  </si>
  <si>
    <t>K5DtoJ7</t>
  </si>
  <si>
    <t>A4</t>
  </si>
  <si>
    <t>K5FthA4</t>
  </si>
  <si>
    <t>C5</t>
  </si>
  <si>
    <t>K5FthC5</t>
  </si>
  <si>
    <t>NA</t>
  </si>
  <si>
    <t>K5HmaA6</t>
  </si>
  <si>
    <t>K5MluF9</t>
  </si>
  <si>
    <t>A5</t>
  </si>
  <si>
    <t>K5PafA5</t>
  </si>
  <si>
    <t>F3</t>
  </si>
  <si>
    <t>K5PfaF3</t>
  </si>
  <si>
    <t>J1</t>
  </si>
  <si>
    <t>K5PfaJ1</t>
  </si>
  <si>
    <t>K5PfuB9</t>
  </si>
  <si>
    <t>NAN</t>
  </si>
  <si>
    <t>C6</t>
  </si>
  <si>
    <t>K5PfuC6</t>
  </si>
  <si>
    <t>K5SguH9</t>
  </si>
  <si>
    <t>K6</t>
  </si>
  <si>
    <t>HWLN</t>
  </si>
  <si>
    <t>G4</t>
  </si>
  <si>
    <t>K6BbrG4</t>
  </si>
  <si>
    <t>6h15</t>
  </si>
  <si>
    <t>12h04</t>
  </si>
  <si>
    <t>D4</t>
  </si>
  <si>
    <t>7h02</t>
  </si>
  <si>
    <t>K6CmeD4</t>
  </si>
  <si>
    <t>11h56</t>
  </si>
  <si>
    <t>I2</t>
  </si>
  <si>
    <t>K6CmeI2</t>
  </si>
  <si>
    <t>5h55</t>
  </si>
  <si>
    <t>11h35</t>
  </si>
  <si>
    <t>K6DtoC6</t>
  </si>
  <si>
    <t>A10</t>
  </si>
  <si>
    <t>K6FsaA10</t>
  </si>
  <si>
    <t>E10</t>
  </si>
  <si>
    <t>K6FthE10</t>
  </si>
  <si>
    <t>H10</t>
  </si>
  <si>
    <t>E10, D10</t>
  </si>
  <si>
    <t>K6FthE10, D10</t>
  </si>
  <si>
    <t>C8</t>
  </si>
  <si>
    <t>K6FthH10</t>
  </si>
  <si>
    <t>K6HmaC8</t>
  </si>
  <si>
    <t>Mla</t>
  </si>
  <si>
    <t>C2</t>
  </si>
  <si>
    <t>K6MlaC2</t>
  </si>
  <si>
    <t>I8</t>
  </si>
  <si>
    <t>K6MluI8</t>
  </si>
  <si>
    <t>H5</t>
  </si>
  <si>
    <t>K6PafH5</t>
  </si>
  <si>
    <t>I4</t>
  </si>
  <si>
    <t>K6PafI4</t>
  </si>
  <si>
    <t>K6PfaA6</t>
  </si>
  <si>
    <t>K6PfuD10</t>
  </si>
  <si>
    <t>A8</t>
  </si>
  <si>
    <t>K6SguA8</t>
  </si>
  <si>
    <t>C9</t>
  </si>
  <si>
    <t>L3</t>
  </si>
  <si>
    <t>K6SguC9</t>
  </si>
  <si>
    <t>L3BbrA10</t>
  </si>
  <si>
    <t>6h08</t>
  </si>
  <si>
    <t>11h57</t>
  </si>
  <si>
    <t>I7</t>
  </si>
  <si>
    <t>5h56</t>
  </si>
  <si>
    <t>12h45</t>
  </si>
  <si>
    <t>L3BbrI7</t>
  </si>
  <si>
    <t>6h17</t>
  </si>
  <si>
    <t>12h05</t>
  </si>
  <si>
    <t>F6</t>
  </si>
  <si>
    <t>7h12</t>
  </si>
  <si>
    <t>L3CmeF6</t>
  </si>
  <si>
    <t>L3DtoA4</t>
  </si>
  <si>
    <t>A7</t>
  </si>
  <si>
    <t>L3FsaA7</t>
  </si>
  <si>
    <t>C7</t>
  </si>
  <si>
    <t>L3FthC7</t>
  </si>
  <si>
    <t>E8</t>
  </si>
  <si>
    <t>L3HmaE8</t>
  </si>
  <si>
    <t>J9</t>
  </si>
  <si>
    <t>L3HmaJ9</t>
  </si>
  <si>
    <t>I3</t>
  </si>
  <si>
    <t>L3MluB10</t>
  </si>
  <si>
    <t>L3MluG10</t>
  </si>
  <si>
    <t>I10</t>
  </si>
  <si>
    <t>L3PafI10</t>
  </si>
  <si>
    <t>L3PfaG7</t>
  </si>
  <si>
    <t>L3PfuA6</t>
  </si>
  <si>
    <t>L3PfuH5</t>
  </si>
  <si>
    <t>H3</t>
  </si>
  <si>
    <t>L3SguH3</t>
  </si>
  <si>
    <t>L4</t>
  </si>
  <si>
    <t>L4AguH9</t>
  </si>
  <si>
    <t>12h02</t>
  </si>
  <si>
    <t>12h52</t>
  </si>
  <si>
    <t>L4AguI4</t>
  </si>
  <si>
    <t>5h57</t>
  </si>
  <si>
    <t>12h03</t>
  </si>
  <si>
    <t>L4BbrG4</t>
  </si>
  <si>
    <t>L4CmeC8</t>
  </si>
  <si>
    <t>12h14</t>
  </si>
  <si>
    <t>A1</t>
  </si>
  <si>
    <t>L4DtoA1</t>
  </si>
  <si>
    <t>G6</t>
  </si>
  <si>
    <t>L4DtoG6</t>
  </si>
  <si>
    <t>L4FsaD10</t>
  </si>
  <si>
    <t>I1</t>
  </si>
  <si>
    <t>L4FsaI1</t>
  </si>
  <si>
    <t>L4FthC7</t>
  </si>
  <si>
    <t>E5</t>
  </si>
  <si>
    <t>L4MluE5</t>
  </si>
  <si>
    <t>L4MluE8</t>
  </si>
  <si>
    <t>L4PafA6</t>
  </si>
  <si>
    <t>B8</t>
  </si>
  <si>
    <t>L4PafB8</t>
  </si>
  <si>
    <t>J8</t>
  </si>
  <si>
    <t>L4PfaJ8</t>
  </si>
  <si>
    <t>L4PfuF9</t>
  </si>
  <si>
    <t>G1</t>
  </si>
  <si>
    <t>L4SguG1</t>
  </si>
  <si>
    <t>M1</t>
  </si>
  <si>
    <t>J3</t>
  </si>
  <si>
    <t>M1BbrJ3</t>
  </si>
  <si>
    <t>6h52</t>
  </si>
  <si>
    <t>12h12</t>
  </si>
  <si>
    <t>6h42</t>
  </si>
  <si>
    <t>12h17</t>
  </si>
  <si>
    <t>M1CmeF9</t>
  </si>
  <si>
    <t>5h40</t>
  </si>
  <si>
    <t>13h01</t>
  </si>
  <si>
    <t>6h43</t>
  </si>
  <si>
    <t>M1DtoA2</t>
  </si>
  <si>
    <t>M1DtoH3</t>
  </si>
  <si>
    <t>M1FsaF3</t>
  </si>
  <si>
    <t>H4</t>
  </si>
  <si>
    <t>M1FsaH4</t>
  </si>
  <si>
    <t>D8</t>
  </si>
  <si>
    <t>M1FthD8</t>
  </si>
  <si>
    <t>M1HmaJ1</t>
  </si>
  <si>
    <t>M1MlaC6</t>
  </si>
  <si>
    <t>B3</t>
  </si>
  <si>
    <t>M1MluB3</t>
  </si>
  <si>
    <t>J5</t>
  </si>
  <si>
    <t>M1PafJ5</t>
  </si>
  <si>
    <t>D5</t>
  </si>
  <si>
    <t>M1PfaD5</t>
  </si>
  <si>
    <t>M1PfaH5</t>
  </si>
  <si>
    <t>M1PfuD4</t>
  </si>
  <si>
    <t>M1SguG6</t>
  </si>
  <si>
    <t>Irrigated</t>
  </si>
  <si>
    <t>PMD1</t>
  </si>
  <si>
    <t>MDD1</t>
  </si>
  <si>
    <t>Osmolality</t>
  </si>
  <si>
    <t>Defoliation</t>
  </si>
  <si>
    <t>Mortality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</si>
</sst>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000"/>
    <numFmt numFmtId="167" formatCode="0.0000.E+00"/>
  </numFmts>
  <fonts count="2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7" applyNumberFormat="0" applyAlignment="0" applyProtection="0"/>
    <xf numFmtId="0" fontId="14" fillId="9" borderId="8" applyNumberFormat="0" applyAlignment="0" applyProtection="0"/>
    <xf numFmtId="0" fontId="15" fillId="9" borderId="7" applyNumberFormat="0" applyAlignment="0" applyProtection="0"/>
    <xf numFmtId="0" fontId="16" fillId="0" borderId="9" applyNumberFormat="0" applyFill="0" applyAlignment="0" applyProtection="0"/>
    <xf numFmtId="0" fontId="17" fillId="10" borderId="10" applyNumberFormat="0" applyAlignment="0" applyProtection="0"/>
    <xf numFmtId="0" fontId="1" fillId="0" borderId="0" applyNumberFormat="0" applyFill="0" applyBorder="0" applyAlignment="0" applyProtection="0"/>
    <xf numFmtId="0" fontId="5" fillId="11" borderId="11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2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1" fillId="7" borderId="0" applyNumberFormat="0" applyBorder="0" applyAlignment="0" applyProtection="0"/>
    <xf numFmtId="0" fontId="20" fillId="15" borderId="0" applyNumberFormat="0" applyBorder="0" applyAlignment="0" applyProtection="0"/>
    <xf numFmtId="0" fontId="20" fillId="19" borderId="0" applyNumberFormat="0" applyBorder="0" applyAlignment="0" applyProtection="0"/>
    <xf numFmtId="0" fontId="2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31" borderId="0" applyNumberFormat="0" applyBorder="0" applyAlignment="0" applyProtection="0"/>
    <xf numFmtId="0" fontId="20" fillId="35" borderId="0" applyNumberFormat="0" applyBorder="0" applyAlignment="0" applyProtection="0"/>
  </cellStyleXfs>
  <cellXfs count="22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4" fontId="0" fillId="3" borderId="0" xfId="0" applyNumberFormat="1" applyFill="1"/>
    <xf numFmtId="14" fontId="0" fillId="0" borderId="0" xfId="0" applyNumberFormat="1"/>
    <xf numFmtId="0" fontId="2" fillId="0" borderId="0" xfId="0" applyFont="1"/>
    <xf numFmtId="164" fontId="1" fillId="0" borderId="0" xfId="0" applyNumberFormat="1" applyFont="1"/>
    <xf numFmtId="0" fontId="0" fillId="4" borderId="0" xfId="0" applyFill="1"/>
    <xf numFmtId="0" fontId="0" fillId="0" borderId="0" xfId="0" quotePrefix="1"/>
    <xf numFmtId="166" fontId="0" fillId="3" borderId="0" xfId="0" applyNumberFormat="1" applyFill="1"/>
    <xf numFmtId="167" fontId="0" fillId="3" borderId="0" xfId="0" applyNumberFormat="1" applyFill="1"/>
    <xf numFmtId="14" fontId="1" fillId="0" borderId="0" xfId="0" applyNumberFormat="1" applyFont="1"/>
    <xf numFmtId="0" fontId="1" fillId="0" borderId="0" xfId="0" applyFont="1"/>
    <xf numFmtId="164" fontId="1" fillId="2" borderId="0" xfId="0" applyNumberFormat="1" applyFont="1" applyFill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0" fillId="0" borderId="1" xfId="0" applyBorder="1"/>
    <xf numFmtId="0" fontId="3" fillId="0" borderId="3" xfId="0" applyFont="1" applyBorder="1"/>
    <xf numFmtId="0" fontId="4" fillId="0" borderId="0" xfId="0" applyFont="1"/>
    <xf numFmtId="0" fontId="0" fillId="0" borderId="2" xfId="0" applyBorder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243696DD-B626-428A-B3A6-44C9AACF099F}"/>
    <cellStyle name="60% - Accent2" xfId="25" builtinId="36" customBuiltin="1"/>
    <cellStyle name="60% - Accent2 2" xfId="44" xr:uid="{19766A9C-AAFD-456A-B615-7FBB0FB8CB4E}"/>
    <cellStyle name="60% - Accent3" xfId="29" builtinId="40" customBuiltin="1"/>
    <cellStyle name="60% - Accent3 2" xfId="45" xr:uid="{3D3BABB5-0BA0-4566-A096-3EE9DF3F6267}"/>
    <cellStyle name="60% - Accent4" xfId="33" builtinId="44" customBuiltin="1"/>
    <cellStyle name="60% - Accent4 2" xfId="46" xr:uid="{66012C40-EB88-4744-92B4-FBE0087E5BD3}"/>
    <cellStyle name="60% - Accent5" xfId="37" builtinId="48" customBuiltin="1"/>
    <cellStyle name="60% - Accent5 2" xfId="47" xr:uid="{B6E9824D-0210-413B-AFA2-0507C01C70DA}"/>
    <cellStyle name="60% - Accent6" xfId="41" builtinId="52" customBuiltin="1"/>
    <cellStyle name="60% - Accent6 2" xfId="48" xr:uid="{EC18AAB4-59E2-49E1-96C1-575C2A8E1FC5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A5D118EE-C8D6-4ED6-A356-D02A98879466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80C3-B789-4E84-B2F3-5A62EA797E6D}">
  <dimension ref="A1:BR118"/>
  <sheetViews>
    <sheetView tabSelected="1" topLeftCell="Z1" workbookViewId="0">
      <selection activeCell="AL16" sqref="AL16"/>
    </sheetView>
  </sheetViews>
  <sheetFormatPr defaultRowHeight="14.5" x14ac:dyDescent="0.35"/>
  <cols>
    <col min="1" max="1" width="10.08984375" bestFit="1" customWidth="1"/>
    <col min="2" max="2" width="6.81640625" bestFit="1" customWidth="1"/>
    <col min="3" max="3" width="6.90625" bestFit="1" customWidth="1"/>
    <col min="4" max="4" width="4" bestFit="1" customWidth="1"/>
    <col min="5" max="5" width="9.1796875" bestFit="1" customWidth="1"/>
    <col min="6" max="6" width="8.1796875" bestFit="1" customWidth="1"/>
    <col min="7" max="7" width="7.1796875" bestFit="1" customWidth="1"/>
    <col min="8" max="8" width="8" bestFit="1" customWidth="1"/>
    <col min="9" max="10" width="12.6328125" bestFit="1" customWidth="1"/>
    <col min="11" max="11" width="4.81640625" bestFit="1" customWidth="1"/>
    <col min="12" max="12" width="5.36328125" bestFit="1" customWidth="1"/>
    <col min="13" max="13" width="7.81640625" bestFit="1" customWidth="1"/>
    <col min="14" max="14" width="10.54296875" bestFit="1" customWidth="1"/>
    <col min="15" max="16" width="5.81640625" bestFit="1" customWidth="1"/>
    <col min="17" max="17" width="7.81640625" bestFit="1" customWidth="1"/>
    <col min="18" max="18" width="6.54296875" bestFit="1" customWidth="1"/>
    <col min="19" max="19" width="9.26953125" bestFit="1" customWidth="1"/>
    <col min="20" max="20" width="7.81640625" bestFit="1" customWidth="1"/>
    <col min="21" max="21" width="5.81640625" bestFit="1" customWidth="1"/>
    <col min="22" max="22" width="6.08984375" bestFit="1" customWidth="1"/>
    <col min="23" max="26" width="11.81640625" bestFit="1" customWidth="1"/>
    <col min="27" max="27" width="9.36328125" bestFit="1" customWidth="1"/>
    <col min="28" max="28" width="10.36328125" bestFit="1" customWidth="1"/>
    <col min="29" max="29" width="7.81640625" bestFit="1" customWidth="1"/>
    <col min="30" max="30" width="5.81640625" bestFit="1" customWidth="1"/>
    <col min="31" max="31" width="6.08984375" bestFit="1" customWidth="1"/>
    <col min="32" max="32" width="11.81640625" bestFit="1" customWidth="1"/>
    <col min="34" max="34" width="10.08984375" bestFit="1" customWidth="1"/>
    <col min="35" max="35" width="6.81640625" bestFit="1" customWidth="1"/>
    <col min="36" max="36" width="9.6328125" bestFit="1" customWidth="1"/>
    <col min="37" max="37" width="4" bestFit="1" customWidth="1"/>
    <col min="38" max="38" width="9.1796875" bestFit="1" customWidth="1"/>
    <col min="39" max="39" width="8.1796875" bestFit="1" customWidth="1"/>
    <col min="40" max="40" width="7.1796875" bestFit="1" customWidth="1"/>
    <col min="41" max="41" width="7.36328125" bestFit="1" customWidth="1"/>
    <col min="42" max="43" width="9.7265625" bestFit="1" customWidth="1"/>
    <col min="44" max="44" width="4.81640625" bestFit="1" customWidth="1"/>
    <col min="45" max="45" width="5.81640625" bestFit="1" customWidth="1"/>
    <col min="46" max="46" width="7.81640625" bestFit="1" customWidth="1"/>
    <col min="47" max="47" width="10.54296875" bestFit="1" customWidth="1"/>
    <col min="48" max="49" width="5.81640625" bestFit="1" customWidth="1"/>
    <col min="50" max="50" width="7.81640625" bestFit="1" customWidth="1"/>
    <col min="51" max="51" width="6.54296875" bestFit="1" customWidth="1"/>
    <col min="52" max="52" width="9.26953125" bestFit="1" customWidth="1"/>
    <col min="53" max="53" width="7.81640625" bestFit="1" customWidth="1"/>
    <col min="54" max="54" width="5.81640625" bestFit="1" customWidth="1"/>
    <col min="55" max="55" width="6.08984375" bestFit="1" customWidth="1"/>
    <col min="56" max="61" width="11.81640625" bestFit="1" customWidth="1"/>
    <col min="62" max="62" width="7.81640625" bestFit="1" customWidth="1"/>
    <col min="63" max="63" width="5.81640625" bestFit="1" customWidth="1"/>
    <col min="64" max="64" width="6.08984375" bestFit="1" customWidth="1"/>
    <col min="65" max="65" width="11.81640625" bestFit="1" customWidth="1"/>
    <col min="66" max="67" width="7.81640625" bestFit="1" customWidth="1"/>
    <col min="68" max="68" width="12.453125" bestFit="1" customWidth="1"/>
    <col min="69" max="69" width="11" bestFit="1" customWidth="1"/>
    <col min="70" max="70" width="10" bestFit="1" customWidth="1"/>
  </cols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2" t="s">
        <v>13</v>
      </c>
      <c r="O1" t="s">
        <v>10</v>
      </c>
      <c r="P1" t="s">
        <v>14</v>
      </c>
      <c r="Q1" t="s">
        <v>15</v>
      </c>
      <c r="R1" t="s">
        <v>16</v>
      </c>
      <c r="S1" s="2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3" t="s">
        <v>25</v>
      </c>
      <c r="AB1" s="3" t="s">
        <v>26</v>
      </c>
      <c r="AC1" t="s">
        <v>18</v>
      </c>
      <c r="AD1" t="s">
        <v>19</v>
      </c>
      <c r="AE1" t="s">
        <v>20</v>
      </c>
      <c r="AF1" t="s">
        <v>21</v>
      </c>
      <c r="AH1" t="s">
        <v>0</v>
      </c>
      <c r="AI1" t="s">
        <v>1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s="1" t="s">
        <v>11</v>
      </c>
      <c r="AT1" t="s">
        <v>12</v>
      </c>
      <c r="AU1" s="1" t="s">
        <v>13</v>
      </c>
      <c r="AV1" t="s">
        <v>10</v>
      </c>
      <c r="AW1" t="s">
        <v>14</v>
      </c>
      <c r="AX1" t="s">
        <v>15</v>
      </c>
      <c r="AY1" t="s">
        <v>16</v>
      </c>
      <c r="AZ1" s="4" t="s">
        <v>17</v>
      </c>
      <c r="BA1" t="s">
        <v>18</v>
      </c>
      <c r="BB1" t="s">
        <v>19</v>
      </c>
      <c r="BC1" t="s">
        <v>20</v>
      </c>
      <c r="BD1" t="s">
        <v>21</v>
      </c>
      <c r="BE1" t="s">
        <v>22</v>
      </c>
      <c r="BF1" t="s">
        <v>23</v>
      </c>
      <c r="BG1" t="s">
        <v>24</v>
      </c>
      <c r="BH1" s="3" t="s">
        <v>25</v>
      </c>
      <c r="BI1" s="3" t="s">
        <v>26</v>
      </c>
      <c r="BJ1" t="s">
        <v>18</v>
      </c>
      <c r="BK1" t="s">
        <v>19</v>
      </c>
      <c r="BL1" t="s">
        <v>20</v>
      </c>
      <c r="BM1" t="s">
        <v>21</v>
      </c>
      <c r="BN1" t="s">
        <v>27</v>
      </c>
      <c r="BO1" t="s">
        <v>28</v>
      </c>
      <c r="BP1" t="s">
        <v>29</v>
      </c>
      <c r="BQ1" t="s">
        <v>30</v>
      </c>
      <c r="BR1" t="s">
        <v>31</v>
      </c>
    </row>
    <row r="2" spans="1:70" x14ac:dyDescent="0.35">
      <c r="A2" s="5">
        <v>44723</v>
      </c>
      <c r="B2" t="s">
        <v>32</v>
      </c>
      <c r="C2" t="s">
        <v>33</v>
      </c>
      <c r="D2" t="s">
        <v>34</v>
      </c>
      <c r="E2" t="s">
        <v>35</v>
      </c>
      <c r="F2">
        <v>1</v>
      </c>
      <c r="G2" t="s">
        <v>36</v>
      </c>
      <c r="H2" t="s">
        <v>24</v>
      </c>
      <c r="I2" t="s">
        <v>37</v>
      </c>
      <c r="J2" t="s">
        <v>37</v>
      </c>
      <c r="K2" t="s">
        <v>38</v>
      </c>
      <c r="L2" s="1">
        <v>0.495</v>
      </c>
      <c r="M2">
        <v>2.65</v>
      </c>
      <c r="N2" s="2">
        <v>-0.26500000000000001</v>
      </c>
      <c r="O2" t="s">
        <v>39</v>
      </c>
      <c r="P2">
        <v>0.378</v>
      </c>
      <c r="Q2" s="1">
        <v>0.11699999999999999</v>
      </c>
      <c r="R2">
        <v>11.48</v>
      </c>
      <c r="S2" s="2">
        <v>-1.1480000000000001</v>
      </c>
      <c r="T2">
        <v>31.959900000000001</v>
      </c>
      <c r="U2">
        <v>81.5</v>
      </c>
      <c r="V2">
        <v>800</v>
      </c>
      <c r="W2">
        <v>28.092562231696775</v>
      </c>
      <c r="X2">
        <v>0.30952380952380948</v>
      </c>
      <c r="Y2">
        <v>2.8092562231696774E-5</v>
      </c>
      <c r="Z2">
        <v>2.1028364850575095E-5</v>
      </c>
      <c r="AA2" s="3">
        <v>21.028364850575095</v>
      </c>
      <c r="AB2" s="3">
        <v>23.814682729983115</v>
      </c>
      <c r="AC2">
        <v>31.959900000000001</v>
      </c>
      <c r="AD2">
        <v>81.5</v>
      </c>
      <c r="AE2">
        <v>800</v>
      </c>
      <c r="AF2">
        <v>28.092562231696775</v>
      </c>
      <c r="AH2" s="5">
        <v>44804</v>
      </c>
      <c r="AI2" s="6" t="s">
        <v>32</v>
      </c>
      <c r="AJ2" s="6" t="s">
        <v>40</v>
      </c>
      <c r="AK2" t="s">
        <v>34</v>
      </c>
      <c r="AL2" t="s">
        <v>35</v>
      </c>
      <c r="AM2">
        <v>7</v>
      </c>
      <c r="AN2" t="s">
        <v>36</v>
      </c>
      <c r="AO2" t="s">
        <v>24</v>
      </c>
      <c r="AP2" t="s">
        <v>37</v>
      </c>
      <c r="AQ2" t="s">
        <v>37</v>
      </c>
      <c r="AR2" t="s">
        <v>41</v>
      </c>
      <c r="AS2" s="7">
        <v>0.54100000000000004</v>
      </c>
      <c r="AT2">
        <v>19.760000000000002</v>
      </c>
      <c r="AU2" s="1">
        <v>-1.9760000000000002</v>
      </c>
      <c r="AV2" t="s">
        <v>42</v>
      </c>
      <c r="AW2">
        <v>0.60199999999999998</v>
      </c>
      <c r="AX2" s="1">
        <v>-6.0999999999999943E-2</v>
      </c>
      <c r="AY2">
        <v>23.25</v>
      </c>
      <c r="AZ2" s="4">
        <v>-2.3250000000000002</v>
      </c>
      <c r="BA2">
        <v>32.519599999999997</v>
      </c>
      <c r="BB2">
        <v>81.5</v>
      </c>
      <c r="BC2">
        <v>800</v>
      </c>
      <c r="BD2">
        <v>8.1044240180652078</v>
      </c>
      <c r="BE2">
        <v>0.11275415896487974</v>
      </c>
      <c r="BF2">
        <v>8.1044240180652075E-6</v>
      </c>
      <c r="BG2">
        <v>6.0664735295433948E-6</v>
      </c>
      <c r="BH2" s="3">
        <v>6.0664735295433951</v>
      </c>
      <c r="BI2" s="3">
        <v>17.382445643390817</v>
      </c>
      <c r="BJ2">
        <v>32.519599999999997</v>
      </c>
      <c r="BK2">
        <v>81.5</v>
      </c>
      <c r="BL2">
        <v>800</v>
      </c>
      <c r="BM2">
        <v>8.1044240180652078</v>
      </c>
      <c r="BN2" s="1">
        <f>N2-AU2</f>
        <v>1.7110000000000003</v>
      </c>
      <c r="BO2" s="1">
        <f>S2-AZ2</f>
        <v>1.177</v>
      </c>
      <c r="BP2">
        <f>AF2-BM2</f>
        <v>19.988138213631565</v>
      </c>
      <c r="BQ2" s="3">
        <f>AB2-BI2</f>
        <v>6.4322370865922984</v>
      </c>
      <c r="BR2" s="3">
        <f>AA2-BH2</f>
        <v>14.9618913210317</v>
      </c>
    </row>
    <row r="3" spans="1:70" x14ac:dyDescent="0.35">
      <c r="A3" s="5">
        <v>44723</v>
      </c>
      <c r="B3" t="s">
        <v>32</v>
      </c>
      <c r="C3" t="s">
        <v>33</v>
      </c>
      <c r="D3" t="s">
        <v>34</v>
      </c>
      <c r="E3" t="s">
        <v>35</v>
      </c>
      <c r="F3">
        <v>16</v>
      </c>
      <c r="G3" t="s">
        <v>43</v>
      </c>
      <c r="H3" t="s">
        <v>44</v>
      </c>
      <c r="I3" t="s">
        <v>45</v>
      </c>
      <c r="J3" t="s">
        <v>45</v>
      </c>
      <c r="K3" t="s">
        <v>46</v>
      </c>
      <c r="L3" s="1">
        <v>0.51100000000000001</v>
      </c>
      <c r="M3">
        <v>1.37</v>
      </c>
      <c r="N3" s="2">
        <v>-0.13700000000000001</v>
      </c>
      <c r="O3" t="s">
        <v>47</v>
      </c>
      <c r="P3">
        <v>0.36799999999999999</v>
      </c>
      <c r="Q3" s="1">
        <v>0.14300000000000002</v>
      </c>
      <c r="R3">
        <v>3.95</v>
      </c>
      <c r="S3" s="2">
        <v>-0.39500000000000002</v>
      </c>
      <c r="T3">
        <v>31.959900000000001</v>
      </c>
      <c r="U3">
        <v>73</v>
      </c>
      <c r="V3">
        <v>794</v>
      </c>
      <c r="W3">
        <v>37.171232271581502</v>
      </c>
      <c r="X3">
        <v>0.38858695652173919</v>
      </c>
      <c r="Y3">
        <v>3.7171232271581499E-5</v>
      </c>
      <c r="Z3">
        <v>2.8138412440412536E-5</v>
      </c>
      <c r="AA3" s="3">
        <v>28.138412440412537</v>
      </c>
      <c r="AB3" s="3">
        <v>109.06361411012611</v>
      </c>
      <c r="AC3">
        <v>31.959900000000001</v>
      </c>
      <c r="AD3">
        <v>73</v>
      </c>
      <c r="AE3">
        <v>794</v>
      </c>
      <c r="AF3">
        <v>37.171232271581502</v>
      </c>
      <c r="AH3" s="5">
        <v>44805</v>
      </c>
      <c r="AI3" s="6" t="s">
        <v>32</v>
      </c>
      <c r="AJ3" s="6" t="s">
        <v>40</v>
      </c>
      <c r="AK3" t="s">
        <v>34</v>
      </c>
      <c r="AL3" t="s">
        <v>35</v>
      </c>
      <c r="AM3">
        <v>4</v>
      </c>
      <c r="AN3" t="s">
        <v>43</v>
      </c>
      <c r="AO3" t="s">
        <v>44</v>
      </c>
      <c r="AP3" t="s">
        <v>45</v>
      </c>
      <c r="AQ3" t="s">
        <v>45</v>
      </c>
      <c r="AR3" t="s">
        <v>48</v>
      </c>
      <c r="AS3" s="1">
        <v>0.64400000000000002</v>
      </c>
      <c r="AT3">
        <v>4.18</v>
      </c>
      <c r="AU3" s="1">
        <v>-0.41799999999999998</v>
      </c>
      <c r="AV3" t="s">
        <v>49</v>
      </c>
      <c r="AW3">
        <v>0.45900000000000002</v>
      </c>
      <c r="AX3" s="1">
        <v>0.185</v>
      </c>
      <c r="AY3">
        <v>15.52</v>
      </c>
      <c r="AZ3" s="4">
        <v>-1.552</v>
      </c>
      <c r="BA3">
        <v>34.357199999999999</v>
      </c>
      <c r="BB3">
        <v>73</v>
      </c>
      <c r="BC3">
        <v>794</v>
      </c>
      <c r="BD3">
        <v>38.881583443811323</v>
      </c>
      <c r="BE3">
        <v>0.40305010893246185</v>
      </c>
      <c r="BF3">
        <v>3.8881583443811319E-5</v>
      </c>
      <c r="BG3">
        <v>2.9433138597202875E-5</v>
      </c>
      <c r="BH3" s="3">
        <v>29.433138597202873</v>
      </c>
      <c r="BI3" s="3">
        <v>25.955148674782073</v>
      </c>
      <c r="BJ3">
        <v>34.357199999999999</v>
      </c>
      <c r="BK3">
        <v>73</v>
      </c>
      <c r="BL3">
        <v>794</v>
      </c>
      <c r="BM3">
        <v>38.881583443811323</v>
      </c>
      <c r="BN3" s="1">
        <f t="shared" ref="BN3:BN66" si="0">N3-AU3</f>
        <v>0.28099999999999997</v>
      </c>
      <c r="BO3" s="1">
        <f t="shared" ref="BO3:BO66" si="1">S3-AZ3</f>
        <v>1.157</v>
      </c>
      <c r="BP3">
        <f t="shared" ref="BP3:BP66" si="2">AF3-BM3</f>
        <v>-1.7103511722298208</v>
      </c>
      <c r="BQ3" s="3">
        <f t="shared" ref="BQ3:BQ66" si="3">AB3-BI3</f>
        <v>83.108465435344044</v>
      </c>
      <c r="BR3" s="3">
        <f t="shared" ref="BR3:BR66" si="4">AA3-BH3</f>
        <v>-1.2947261567903361</v>
      </c>
    </row>
    <row r="4" spans="1:70" x14ac:dyDescent="0.35">
      <c r="A4" s="5">
        <v>44723</v>
      </c>
      <c r="B4" t="s">
        <v>32</v>
      </c>
      <c r="C4" t="s">
        <v>33</v>
      </c>
      <c r="D4" t="s">
        <v>34</v>
      </c>
      <c r="E4" t="s">
        <v>35</v>
      </c>
      <c r="F4">
        <v>10</v>
      </c>
      <c r="G4" t="s">
        <v>50</v>
      </c>
      <c r="H4" t="s">
        <v>51</v>
      </c>
      <c r="I4" t="s">
        <v>52</v>
      </c>
      <c r="J4" t="s">
        <v>52</v>
      </c>
      <c r="K4" t="s">
        <v>46</v>
      </c>
      <c r="L4" s="1">
        <v>0.75</v>
      </c>
      <c r="M4">
        <v>10.85</v>
      </c>
      <c r="N4" s="2">
        <v>-1.085</v>
      </c>
      <c r="O4" t="s">
        <v>47</v>
      </c>
      <c r="P4">
        <v>0.56799999999999995</v>
      </c>
      <c r="Q4" s="1">
        <v>0.18200000000000005</v>
      </c>
      <c r="R4">
        <v>15.95</v>
      </c>
      <c r="S4" s="2">
        <v>-1.595</v>
      </c>
      <c r="T4">
        <v>31.959900000000001</v>
      </c>
      <c r="U4">
        <v>77.099999999999994</v>
      </c>
      <c r="V4">
        <v>720</v>
      </c>
      <c r="W4">
        <v>29.315144465882252</v>
      </c>
      <c r="X4">
        <v>0.32042253521126773</v>
      </c>
      <c r="Y4">
        <v>2.9315144465882253E-5</v>
      </c>
      <c r="Z4">
        <v>1.4727928579659242E-5</v>
      </c>
      <c r="AA4" s="3">
        <v>14.727928579659242</v>
      </c>
      <c r="AB4" s="3">
        <v>28.878291332665178</v>
      </c>
      <c r="AC4">
        <v>31.959900000000001</v>
      </c>
      <c r="AD4">
        <v>77.099999999999994</v>
      </c>
      <c r="AE4">
        <v>720</v>
      </c>
      <c r="AF4">
        <v>29.315144465882252</v>
      </c>
      <c r="AH4" s="5">
        <v>44804</v>
      </c>
      <c r="AI4" s="6" t="s">
        <v>32</v>
      </c>
      <c r="AJ4" s="6" t="s">
        <v>40</v>
      </c>
      <c r="AK4" t="s">
        <v>34</v>
      </c>
      <c r="AL4" t="s">
        <v>35</v>
      </c>
      <c r="AM4">
        <v>1</v>
      </c>
      <c r="AN4" t="s">
        <v>50</v>
      </c>
      <c r="AO4" t="s">
        <v>51</v>
      </c>
      <c r="AP4" t="s">
        <v>52</v>
      </c>
      <c r="AQ4" t="s">
        <v>52</v>
      </c>
      <c r="AR4" t="s">
        <v>41</v>
      </c>
      <c r="AS4" s="1">
        <v>0.875</v>
      </c>
      <c r="AT4">
        <v>10.94</v>
      </c>
      <c r="AU4" s="1">
        <v>-1.0939999999999999</v>
      </c>
      <c r="AV4" t="s">
        <v>42</v>
      </c>
      <c r="AW4">
        <v>0.74299999999999999</v>
      </c>
      <c r="AX4" s="1">
        <v>0.13200000000000001</v>
      </c>
      <c r="AY4">
        <v>16.649999999999999</v>
      </c>
      <c r="AZ4" s="4">
        <v>-1.6649999999999998</v>
      </c>
      <c r="BA4">
        <v>32.519599999999997</v>
      </c>
      <c r="BB4">
        <v>77.099999999999994</v>
      </c>
      <c r="BC4">
        <v>720</v>
      </c>
      <c r="BD4">
        <v>14.183592357639458</v>
      </c>
      <c r="BE4">
        <v>0.17765814266487215</v>
      </c>
      <c r="BF4">
        <v>1.4183592357639459E-5</v>
      </c>
      <c r="BG4">
        <v>7.1258368004780638E-6</v>
      </c>
      <c r="BH4" s="3">
        <v>7.1258368004780639</v>
      </c>
      <c r="BI4" s="3">
        <v>12.479574081397661</v>
      </c>
      <c r="BJ4">
        <v>32.519599999999997</v>
      </c>
      <c r="BK4">
        <v>77.099999999999994</v>
      </c>
      <c r="BL4">
        <v>720</v>
      </c>
      <c r="BM4">
        <v>14.183592357639458</v>
      </c>
      <c r="BN4" s="1">
        <f t="shared" si="0"/>
        <v>8.999999999999897E-3</v>
      </c>
      <c r="BO4" s="1">
        <f t="shared" si="1"/>
        <v>6.999999999999984E-2</v>
      </c>
      <c r="BP4">
        <f t="shared" si="2"/>
        <v>15.131552108242794</v>
      </c>
      <c r="BQ4" s="3">
        <f t="shared" si="3"/>
        <v>16.398717251267517</v>
      </c>
      <c r="BR4" s="3">
        <f t="shared" si="4"/>
        <v>7.602091779181178</v>
      </c>
    </row>
    <row r="5" spans="1:70" x14ac:dyDescent="0.35">
      <c r="A5" s="5">
        <v>44723</v>
      </c>
      <c r="B5" t="s">
        <v>32</v>
      </c>
      <c r="C5" t="s">
        <v>33</v>
      </c>
      <c r="D5" t="s">
        <v>34</v>
      </c>
      <c r="E5" t="s">
        <v>35</v>
      </c>
      <c r="F5">
        <v>3</v>
      </c>
      <c r="G5" t="s">
        <v>53</v>
      </c>
      <c r="H5" t="s">
        <v>54</v>
      </c>
      <c r="I5" t="s">
        <v>55</v>
      </c>
      <c r="J5" t="s">
        <v>55</v>
      </c>
      <c r="K5" t="s">
        <v>38</v>
      </c>
      <c r="L5" s="1">
        <v>0.71099999999999997</v>
      </c>
      <c r="M5">
        <v>8.89</v>
      </c>
      <c r="N5" s="2">
        <v>-0.88900000000000001</v>
      </c>
      <c r="O5" t="s">
        <v>39</v>
      </c>
      <c r="P5">
        <v>0.64800000000000002</v>
      </c>
      <c r="Q5" s="1">
        <v>6.2999999999999945E-2</v>
      </c>
      <c r="R5">
        <v>19.86</v>
      </c>
      <c r="S5" s="2">
        <v>-1.986</v>
      </c>
      <c r="T5">
        <v>31.959900000000001</v>
      </c>
      <c r="U5">
        <v>12.1</v>
      </c>
      <c r="V5">
        <v>290</v>
      </c>
      <c r="W5">
        <v>6.7528382236740594</v>
      </c>
      <c r="X5">
        <v>9.722222222222214E-2</v>
      </c>
      <c r="Y5">
        <v>6.7528382236740597E-6</v>
      </c>
      <c r="Z5">
        <v>1.4196350410079669E-6</v>
      </c>
      <c r="AA5" s="3">
        <v>1.4196350410079668</v>
      </c>
      <c r="AB5" s="3">
        <v>1.2941066918942268</v>
      </c>
      <c r="AC5">
        <v>31.959900000000001</v>
      </c>
      <c r="AD5">
        <v>12.1</v>
      </c>
      <c r="AE5">
        <v>290</v>
      </c>
      <c r="AF5">
        <v>6.7528382236740594</v>
      </c>
      <c r="AH5" s="5">
        <v>44804</v>
      </c>
      <c r="AI5" s="6" t="s">
        <v>32</v>
      </c>
      <c r="AJ5" s="6" t="s">
        <v>40</v>
      </c>
      <c r="AK5" t="s">
        <v>34</v>
      </c>
      <c r="AL5" t="s">
        <v>35</v>
      </c>
      <c r="AM5">
        <v>2</v>
      </c>
      <c r="AN5" t="s">
        <v>53</v>
      </c>
      <c r="AO5" t="s">
        <v>54</v>
      </c>
      <c r="AP5" t="s">
        <v>55</v>
      </c>
      <c r="AQ5" t="s">
        <v>55</v>
      </c>
      <c r="AR5" t="s">
        <v>41</v>
      </c>
      <c r="AS5" s="1">
        <v>0.79900000000000004</v>
      </c>
      <c r="AT5">
        <v>21.43</v>
      </c>
      <c r="AU5" s="1">
        <v>-2.1429999999999998</v>
      </c>
      <c r="AV5" t="s">
        <v>42</v>
      </c>
      <c r="AW5">
        <v>0.70099999999999996</v>
      </c>
      <c r="AX5" s="1">
        <v>9.8000000000000087E-2</v>
      </c>
      <c r="AY5">
        <v>32.64</v>
      </c>
      <c r="AZ5" s="4">
        <v>-3.2640000000000002</v>
      </c>
      <c r="BA5">
        <v>32.519599999999997</v>
      </c>
      <c r="BB5">
        <v>12.1</v>
      </c>
      <c r="BC5">
        <v>290</v>
      </c>
      <c r="BD5">
        <v>10.560084186105552</v>
      </c>
      <c r="BE5">
        <v>0.13980028530670485</v>
      </c>
      <c r="BF5">
        <v>1.0560084186105551E-5</v>
      </c>
      <c r="BG5">
        <v>2.2200243882687054E-6</v>
      </c>
      <c r="BH5" s="3">
        <v>2.2200243882687052</v>
      </c>
      <c r="BI5" s="3">
        <v>1.9803964212923322</v>
      </c>
      <c r="BJ5">
        <v>32.519599999999997</v>
      </c>
      <c r="BK5">
        <v>12.1</v>
      </c>
      <c r="BL5">
        <v>290</v>
      </c>
      <c r="BM5">
        <v>10.560084186105552</v>
      </c>
      <c r="BN5" s="1">
        <f t="shared" si="0"/>
        <v>1.2539999999999998</v>
      </c>
      <c r="BO5" s="1">
        <f t="shared" si="1"/>
        <v>1.2780000000000002</v>
      </c>
      <c r="BP5">
        <f t="shared" si="2"/>
        <v>-3.8072459624314927</v>
      </c>
      <c r="BQ5" s="3">
        <f t="shared" si="3"/>
        <v>-0.6862897293981054</v>
      </c>
      <c r="BR5" s="3">
        <f t="shared" si="4"/>
        <v>-0.8003893472607384</v>
      </c>
    </row>
    <row r="6" spans="1:70" x14ac:dyDescent="0.35">
      <c r="A6" s="5">
        <v>44723</v>
      </c>
      <c r="B6" t="s">
        <v>32</v>
      </c>
      <c r="C6" t="s">
        <v>33</v>
      </c>
      <c r="D6" t="s">
        <v>34</v>
      </c>
      <c r="E6" t="s">
        <v>35</v>
      </c>
      <c r="F6">
        <v>12</v>
      </c>
      <c r="G6" t="s">
        <v>53</v>
      </c>
      <c r="H6" t="s">
        <v>56</v>
      </c>
      <c r="I6" t="s">
        <v>57</v>
      </c>
      <c r="J6" t="s">
        <v>57</v>
      </c>
      <c r="K6" t="s">
        <v>46</v>
      </c>
      <c r="L6" s="1">
        <v>0.72</v>
      </c>
      <c r="M6">
        <v>5.69</v>
      </c>
      <c r="N6" s="2">
        <v>-0.56900000000000006</v>
      </c>
      <c r="O6" t="s">
        <v>47</v>
      </c>
      <c r="P6">
        <v>0.68600000000000005</v>
      </c>
      <c r="Q6" s="1">
        <v>3.3999999999999919E-2</v>
      </c>
      <c r="R6">
        <v>13.19</v>
      </c>
      <c r="S6" s="2">
        <v>-1.319</v>
      </c>
      <c r="T6">
        <v>31.959900000000001</v>
      </c>
      <c r="U6">
        <v>27</v>
      </c>
      <c r="V6">
        <v>244</v>
      </c>
      <c r="W6">
        <v>2.9463376932403511</v>
      </c>
      <c r="X6">
        <v>4.9562682215743316E-2</v>
      </c>
      <c r="Y6">
        <v>2.946337693240351E-6</v>
      </c>
      <c r="Z6">
        <v>2.1656837185173904E-7</v>
      </c>
      <c r="AA6" s="3">
        <v>0.21656837185173905</v>
      </c>
      <c r="AB6" s="3">
        <v>0.28875782913565212</v>
      </c>
      <c r="AC6">
        <v>31.959900000000001</v>
      </c>
      <c r="AD6">
        <v>27</v>
      </c>
      <c r="AE6">
        <v>244</v>
      </c>
      <c r="AF6">
        <v>2.9463376932403511</v>
      </c>
      <c r="AH6" s="5">
        <v>44804</v>
      </c>
      <c r="AI6" s="6" t="s">
        <v>32</v>
      </c>
      <c r="AJ6" s="6" t="s">
        <v>40</v>
      </c>
      <c r="AK6" t="s">
        <v>34</v>
      </c>
      <c r="AL6" t="s">
        <v>35</v>
      </c>
      <c r="AM6">
        <v>3</v>
      </c>
      <c r="AN6" t="s">
        <v>53</v>
      </c>
      <c r="AO6" t="s">
        <v>56</v>
      </c>
      <c r="AP6" t="s">
        <v>57</v>
      </c>
      <c r="AQ6" t="s">
        <v>57</v>
      </c>
      <c r="AR6" t="s">
        <v>41</v>
      </c>
      <c r="AS6" s="1">
        <v>0.76900000000000002</v>
      </c>
      <c r="AT6">
        <v>17.559999999999999</v>
      </c>
      <c r="AU6" s="1">
        <v>-1.7559999999999998</v>
      </c>
      <c r="AV6" t="s">
        <v>42</v>
      </c>
      <c r="AW6">
        <v>0.78400000000000003</v>
      </c>
      <c r="AX6" s="1">
        <v>-1.5000000000000013E-2</v>
      </c>
      <c r="AY6">
        <v>28.51</v>
      </c>
      <c r="AZ6" s="4">
        <v>-2.851</v>
      </c>
      <c r="BA6">
        <v>32.519599999999997</v>
      </c>
      <c r="BB6">
        <v>27</v>
      </c>
      <c r="BC6">
        <v>244</v>
      </c>
      <c r="BD6">
        <v>0.93484579092004172</v>
      </c>
      <c r="BE6">
        <v>1.9505851755526674E-2</v>
      </c>
      <c r="BF6">
        <v>9.3484579092004169E-7</v>
      </c>
      <c r="BG6">
        <v>6.8715148075692397E-8</v>
      </c>
      <c r="BH6" s="3">
        <v>6.87151480756924E-2</v>
      </c>
      <c r="BI6" s="3">
        <v>6.2753559886477073E-2</v>
      </c>
      <c r="BJ6">
        <v>32.519599999999997</v>
      </c>
      <c r="BK6">
        <v>27</v>
      </c>
      <c r="BL6">
        <v>244</v>
      </c>
      <c r="BM6">
        <v>0.93484579092004172</v>
      </c>
      <c r="BN6" s="1">
        <f t="shared" si="0"/>
        <v>1.1869999999999998</v>
      </c>
      <c r="BO6" s="1">
        <f t="shared" si="1"/>
        <v>1.532</v>
      </c>
      <c r="BP6">
        <f t="shared" si="2"/>
        <v>2.0114919023203095</v>
      </c>
      <c r="BQ6" s="3">
        <f t="shared" si="3"/>
        <v>0.22600426924917505</v>
      </c>
      <c r="BR6" s="3">
        <f t="shared" si="4"/>
        <v>0.14785322377604665</v>
      </c>
    </row>
    <row r="7" spans="1:70" x14ac:dyDescent="0.35">
      <c r="A7" s="5">
        <v>44723</v>
      </c>
      <c r="B7" t="s">
        <v>32</v>
      </c>
      <c r="C7" t="s">
        <v>33</v>
      </c>
      <c r="D7" t="s">
        <v>34</v>
      </c>
      <c r="E7" t="s">
        <v>35</v>
      </c>
      <c r="F7">
        <v>9</v>
      </c>
      <c r="G7" t="s">
        <v>58</v>
      </c>
      <c r="H7" t="s">
        <v>59</v>
      </c>
      <c r="I7" t="s">
        <v>60</v>
      </c>
      <c r="J7" t="s">
        <v>60</v>
      </c>
      <c r="K7" t="s">
        <v>46</v>
      </c>
      <c r="L7" s="1">
        <v>0.64500000000000002</v>
      </c>
      <c r="M7">
        <v>4.71</v>
      </c>
      <c r="N7" s="2">
        <v>-0.47099999999999997</v>
      </c>
      <c r="O7" t="s">
        <v>47</v>
      </c>
      <c r="P7">
        <v>0.65100000000000002</v>
      </c>
      <c r="Q7" s="1">
        <v>-6.0000000000000053E-3</v>
      </c>
      <c r="R7">
        <v>5.46</v>
      </c>
      <c r="S7" s="2">
        <v>-0.54600000000000004</v>
      </c>
      <c r="T7">
        <v>31.959900000000001</v>
      </c>
      <c r="U7">
        <v>128</v>
      </c>
      <c r="V7">
        <v>930</v>
      </c>
      <c r="W7">
        <v>0.3757362891720048</v>
      </c>
      <c r="X7">
        <v>9.3023255813953574E-3</v>
      </c>
      <c r="Y7">
        <v>3.757362891720048E-7</v>
      </c>
      <c r="Z7">
        <v>3.202493349770939E-7</v>
      </c>
      <c r="AA7" s="3">
        <v>0.3202493349770939</v>
      </c>
      <c r="AB7" s="3">
        <v>4.269991133027915</v>
      </c>
      <c r="AC7">
        <v>31.959900000000001</v>
      </c>
      <c r="AD7">
        <v>128</v>
      </c>
      <c r="AE7">
        <v>930</v>
      </c>
      <c r="AF7">
        <v>0.3757362891720048</v>
      </c>
      <c r="AH7" s="5">
        <v>44804</v>
      </c>
      <c r="AI7" s="6" t="s">
        <v>32</v>
      </c>
      <c r="AJ7" s="6" t="s">
        <v>40</v>
      </c>
      <c r="AK7" t="s">
        <v>34</v>
      </c>
      <c r="AL7" t="s">
        <v>35</v>
      </c>
      <c r="AM7">
        <v>6</v>
      </c>
      <c r="AN7" t="s">
        <v>58</v>
      </c>
      <c r="AO7" t="s">
        <v>59</v>
      </c>
      <c r="AP7" t="s">
        <v>60</v>
      </c>
      <c r="AQ7" t="s">
        <v>60</v>
      </c>
      <c r="AR7" t="s">
        <v>41</v>
      </c>
      <c r="AS7" s="1">
        <v>0.48899999999999999</v>
      </c>
      <c r="AT7">
        <v>7.98</v>
      </c>
      <c r="AU7" s="1">
        <v>-0.79800000000000004</v>
      </c>
      <c r="AV7" t="s">
        <v>42</v>
      </c>
      <c r="AW7">
        <v>0.52600000000000002</v>
      </c>
      <c r="AX7" s="1">
        <v>-3.7000000000000033E-2</v>
      </c>
      <c r="AY7">
        <v>7.23</v>
      </c>
      <c r="AZ7" s="4">
        <v>-0.72300000000000009</v>
      </c>
      <c r="BA7">
        <v>32.519599999999997</v>
      </c>
      <c r="BB7">
        <v>128</v>
      </c>
      <c r="BC7">
        <v>930</v>
      </c>
      <c r="BD7">
        <v>4.9597990164211136</v>
      </c>
      <c r="BE7">
        <v>7.5664621676891683E-2</v>
      </c>
      <c r="BF7">
        <v>4.9597990164211136E-6</v>
      </c>
      <c r="BG7">
        <v>4.2273594071233824E-6</v>
      </c>
      <c r="BH7" s="3">
        <v>4.227359407123382</v>
      </c>
      <c r="BI7" s="3">
        <v>56.364792094978462</v>
      </c>
      <c r="BJ7">
        <v>32.519599999999997</v>
      </c>
      <c r="BK7">
        <v>128</v>
      </c>
      <c r="BL7">
        <v>930</v>
      </c>
      <c r="BM7">
        <v>4.9597990164211136</v>
      </c>
      <c r="BN7" s="1">
        <f t="shared" si="0"/>
        <v>0.32700000000000007</v>
      </c>
      <c r="BO7" s="1">
        <f t="shared" si="1"/>
        <v>0.17700000000000005</v>
      </c>
      <c r="BP7">
        <f t="shared" si="2"/>
        <v>-4.5840627272491092</v>
      </c>
      <c r="BQ7" s="3">
        <f>AB7-BI7</f>
        <v>-52.094800961950547</v>
      </c>
      <c r="BR7" s="3">
        <f t="shared" si="4"/>
        <v>-3.9071100721462879</v>
      </c>
    </row>
    <row r="8" spans="1:70" x14ac:dyDescent="0.35">
      <c r="A8" s="5">
        <v>44723</v>
      </c>
      <c r="B8" t="s">
        <v>32</v>
      </c>
      <c r="C8" t="s">
        <v>33</v>
      </c>
      <c r="D8" t="s">
        <v>34</v>
      </c>
      <c r="E8" t="s">
        <v>35</v>
      </c>
      <c r="F8">
        <v>11</v>
      </c>
      <c r="G8" t="s">
        <v>61</v>
      </c>
      <c r="H8" t="s">
        <v>62</v>
      </c>
      <c r="I8" t="s">
        <v>63</v>
      </c>
      <c r="J8" t="s">
        <v>63</v>
      </c>
      <c r="K8" t="s">
        <v>46</v>
      </c>
      <c r="L8" s="1">
        <v>0.55700000000000005</v>
      </c>
      <c r="M8">
        <v>4.91</v>
      </c>
      <c r="N8" s="2">
        <v>-0.49099999999999999</v>
      </c>
      <c r="O8" t="s">
        <v>47</v>
      </c>
      <c r="P8">
        <v>0.50600000000000001</v>
      </c>
      <c r="Q8" s="1">
        <v>5.1000000000000045E-2</v>
      </c>
      <c r="R8">
        <v>7.83</v>
      </c>
      <c r="S8" s="2">
        <v>-0.78300000000000003</v>
      </c>
      <c r="T8">
        <v>31.959900000000001</v>
      </c>
      <c r="U8">
        <v>56.6</v>
      </c>
      <c r="V8">
        <v>445</v>
      </c>
      <c r="W8">
        <v>7.0592174818855877</v>
      </c>
      <c r="X8">
        <v>0.10079051383399218</v>
      </c>
      <c r="Y8">
        <v>7.0592174818855877E-6</v>
      </c>
      <c r="Z8">
        <v>3.1254034894157484E-6</v>
      </c>
      <c r="AA8" s="3">
        <v>3.1254034894157483</v>
      </c>
      <c r="AB8" s="3">
        <v>10.703436607588177</v>
      </c>
      <c r="AC8">
        <v>31.959900000000001</v>
      </c>
      <c r="AD8">
        <v>56.6</v>
      </c>
      <c r="AE8">
        <v>445</v>
      </c>
      <c r="AF8">
        <v>7.0592174818855877</v>
      </c>
      <c r="AH8" s="5">
        <v>44804</v>
      </c>
      <c r="AI8" s="6" t="s">
        <v>32</v>
      </c>
      <c r="AJ8" s="6" t="s">
        <v>40</v>
      </c>
      <c r="AK8" t="s">
        <v>34</v>
      </c>
      <c r="AL8" t="s">
        <v>35</v>
      </c>
      <c r="AM8">
        <v>8</v>
      </c>
      <c r="AN8" t="s">
        <v>61</v>
      </c>
      <c r="AO8" t="s">
        <v>62</v>
      </c>
      <c r="AP8" t="s">
        <v>63</v>
      </c>
      <c r="AQ8" t="s">
        <v>63</v>
      </c>
      <c r="AR8" t="s">
        <v>41</v>
      </c>
      <c r="AS8" s="1">
        <v>0.69299999999999995</v>
      </c>
      <c r="AU8" s="1" t="s">
        <v>64</v>
      </c>
      <c r="AV8" t="s">
        <v>42</v>
      </c>
      <c r="AW8">
        <v>0.76500000000000001</v>
      </c>
      <c r="AX8" s="1">
        <v>-7.2000000000000064E-2</v>
      </c>
      <c r="AZ8" s="4" t="s">
        <v>64</v>
      </c>
      <c r="BA8">
        <v>32.519599999999997</v>
      </c>
      <c r="BB8">
        <v>56.6</v>
      </c>
      <c r="BC8">
        <v>445</v>
      </c>
      <c r="BD8">
        <v>7.3279188739615106</v>
      </c>
      <c r="BE8">
        <v>0.103896103896104</v>
      </c>
      <c r="BF8">
        <v>7.3279188739615102E-6</v>
      </c>
      <c r="BG8">
        <v>3.2443685546740348E-6</v>
      </c>
      <c r="BH8" s="3">
        <v>3.2443685546740348</v>
      </c>
      <c r="BI8" s="3" t="s">
        <v>64</v>
      </c>
      <c r="BJ8">
        <v>32.519599999999997</v>
      </c>
      <c r="BK8">
        <v>56.6</v>
      </c>
      <c r="BL8">
        <v>445</v>
      </c>
      <c r="BM8">
        <v>7.3279188739615106</v>
      </c>
      <c r="BN8" s="1" t="e">
        <f t="shared" si="0"/>
        <v>#VALUE!</v>
      </c>
      <c r="BO8" s="1" t="e">
        <f t="shared" si="1"/>
        <v>#VALUE!</v>
      </c>
      <c r="BP8">
        <f t="shared" si="2"/>
        <v>-0.26870139207592292</v>
      </c>
      <c r="BQ8" s="3" t="e">
        <f t="shared" si="3"/>
        <v>#VALUE!</v>
      </c>
      <c r="BR8" s="3">
        <f t="shared" si="4"/>
        <v>-0.11896506525828654</v>
      </c>
    </row>
    <row r="9" spans="1:70" x14ac:dyDescent="0.35">
      <c r="A9" s="5">
        <v>44723</v>
      </c>
      <c r="B9" t="s">
        <v>32</v>
      </c>
      <c r="C9" t="s">
        <v>33</v>
      </c>
      <c r="D9" t="s">
        <v>34</v>
      </c>
      <c r="E9" t="s">
        <v>35</v>
      </c>
      <c r="F9">
        <v>8</v>
      </c>
      <c r="G9" t="s">
        <v>61</v>
      </c>
      <c r="H9" t="s">
        <v>65</v>
      </c>
      <c r="I9" t="s">
        <v>66</v>
      </c>
      <c r="J9" t="s">
        <v>66</v>
      </c>
      <c r="K9" t="s">
        <v>38</v>
      </c>
      <c r="L9" s="1">
        <v>0.70399999999999996</v>
      </c>
      <c r="M9">
        <v>3.65</v>
      </c>
      <c r="N9" s="2">
        <v>-0.36499999999999999</v>
      </c>
      <c r="O9" t="s">
        <v>39</v>
      </c>
      <c r="P9">
        <v>0.54300000000000004</v>
      </c>
      <c r="Q9" s="1">
        <v>0.16099999999999992</v>
      </c>
      <c r="R9">
        <v>8.7799999999999994</v>
      </c>
      <c r="S9" s="2">
        <v>-0.87799999999999989</v>
      </c>
      <c r="T9">
        <v>31.959900000000001</v>
      </c>
      <c r="U9">
        <v>74.8</v>
      </c>
      <c r="V9">
        <v>670</v>
      </c>
      <c r="W9">
        <v>26.644711644573757</v>
      </c>
      <c r="X9">
        <v>0.29650092081031293</v>
      </c>
      <c r="Y9">
        <v>2.6644711644573756E-5</v>
      </c>
      <c r="Z9">
        <v>1.4723281071464605E-5</v>
      </c>
      <c r="AA9" s="3">
        <v>14.723281071464605</v>
      </c>
      <c r="AB9" s="3">
        <v>28.700352965817949</v>
      </c>
      <c r="AC9">
        <v>31.959900000000001</v>
      </c>
      <c r="AD9">
        <v>74.8</v>
      </c>
      <c r="AE9">
        <v>670</v>
      </c>
      <c r="AF9">
        <v>26.644711644573757</v>
      </c>
      <c r="AH9" s="5">
        <v>44805</v>
      </c>
      <c r="AI9" s="6" t="s">
        <v>32</v>
      </c>
      <c r="AJ9" s="6" t="s">
        <v>40</v>
      </c>
      <c r="AK9" t="s">
        <v>34</v>
      </c>
      <c r="AL9" t="s">
        <v>35</v>
      </c>
      <c r="AM9">
        <v>8</v>
      </c>
      <c r="AN9" t="s">
        <v>61</v>
      </c>
      <c r="AO9" t="s">
        <v>65</v>
      </c>
      <c r="AP9" t="s">
        <v>66</v>
      </c>
      <c r="AQ9" t="s">
        <v>66</v>
      </c>
      <c r="AR9" t="s">
        <v>48</v>
      </c>
      <c r="AS9" s="1">
        <v>0.84</v>
      </c>
      <c r="AT9">
        <v>27.23</v>
      </c>
      <c r="AU9" s="1">
        <v>-2.7229999999999999</v>
      </c>
      <c r="AV9" t="s">
        <v>49</v>
      </c>
      <c r="AW9">
        <v>0.90200000000000002</v>
      </c>
      <c r="AX9" s="1">
        <v>-6.2000000000000055E-2</v>
      </c>
      <c r="AY9">
        <v>29.84</v>
      </c>
      <c r="AZ9" s="4">
        <v>-2.984</v>
      </c>
      <c r="BA9">
        <v>34.357199999999999</v>
      </c>
      <c r="BB9">
        <v>74.8</v>
      </c>
      <c r="BC9">
        <v>670</v>
      </c>
      <c r="BD9">
        <v>4.8105344598085704</v>
      </c>
      <c r="BE9">
        <v>7.380952380952388E-2</v>
      </c>
      <c r="BF9">
        <v>4.8105344598085706E-6</v>
      </c>
      <c r="BG9">
        <v>2.6581954385740838E-6</v>
      </c>
      <c r="BH9" s="3">
        <v>2.6581954385740838</v>
      </c>
      <c r="BI9" s="3">
        <v>10.184656852774262</v>
      </c>
      <c r="BJ9">
        <v>34.357199999999999</v>
      </c>
      <c r="BK9">
        <v>74.8</v>
      </c>
      <c r="BL9">
        <v>670</v>
      </c>
      <c r="BM9">
        <v>4.8105344598085704</v>
      </c>
      <c r="BN9" s="1">
        <f t="shared" si="0"/>
        <v>2.3579999999999997</v>
      </c>
      <c r="BO9" s="1">
        <f t="shared" si="1"/>
        <v>2.1059999999999999</v>
      </c>
      <c r="BP9">
        <f t="shared" si="2"/>
        <v>21.834177184765188</v>
      </c>
      <c r="BQ9" s="3">
        <f t="shared" si="3"/>
        <v>18.515696113043688</v>
      </c>
      <c r="BR9" s="3">
        <f t="shared" si="4"/>
        <v>12.065085632890522</v>
      </c>
    </row>
    <row r="10" spans="1:70" x14ac:dyDescent="0.35">
      <c r="A10" s="5">
        <v>44723</v>
      </c>
      <c r="B10" t="s">
        <v>32</v>
      </c>
      <c r="C10" t="s">
        <v>33</v>
      </c>
      <c r="D10" t="s">
        <v>34</v>
      </c>
      <c r="E10" t="s">
        <v>35</v>
      </c>
      <c r="F10">
        <v>7</v>
      </c>
      <c r="G10" t="s">
        <v>61</v>
      </c>
      <c r="H10" t="s">
        <v>67</v>
      </c>
      <c r="I10" t="s">
        <v>68</v>
      </c>
      <c r="J10" t="s">
        <v>68</v>
      </c>
      <c r="K10" t="s">
        <v>38</v>
      </c>
      <c r="L10" s="1">
        <v>0.58099999999999996</v>
      </c>
      <c r="M10">
        <v>3.12</v>
      </c>
      <c r="N10" s="2">
        <v>-0.312</v>
      </c>
      <c r="O10" t="s">
        <v>39</v>
      </c>
      <c r="P10">
        <v>0.44900000000000001</v>
      </c>
      <c r="Q10" s="1">
        <v>0.13199999999999995</v>
      </c>
      <c r="R10">
        <v>7.53</v>
      </c>
      <c r="S10" s="2">
        <v>-0.753</v>
      </c>
      <c r="T10">
        <v>31.959900000000001</v>
      </c>
      <c r="U10">
        <v>70.599999999999994</v>
      </c>
      <c r="V10">
        <v>700</v>
      </c>
      <c r="W10">
        <v>26.366848568268061</v>
      </c>
      <c r="X10">
        <v>0.29398663697104666</v>
      </c>
      <c r="Y10">
        <v>2.6366848568268059E-5</v>
      </c>
      <c r="Z10">
        <v>1.1798363841274694E-5</v>
      </c>
      <c r="AA10" s="3">
        <v>11.798363841274695</v>
      </c>
      <c r="AB10" s="3">
        <v>26.753659504024249</v>
      </c>
      <c r="AC10">
        <v>31.959900000000001</v>
      </c>
      <c r="AD10">
        <v>70.599999999999994</v>
      </c>
      <c r="AE10">
        <v>700</v>
      </c>
      <c r="AF10">
        <v>26.366848568268061</v>
      </c>
      <c r="AH10" s="5">
        <v>44805</v>
      </c>
      <c r="AI10" s="6" t="s">
        <v>32</v>
      </c>
      <c r="AJ10" s="6" t="s">
        <v>40</v>
      </c>
      <c r="AK10" t="s">
        <v>34</v>
      </c>
      <c r="AL10" t="s">
        <v>35</v>
      </c>
      <c r="AM10">
        <v>1</v>
      </c>
      <c r="AN10" t="s">
        <v>61</v>
      </c>
      <c r="AO10" t="s">
        <v>67</v>
      </c>
      <c r="AP10" t="s">
        <v>68</v>
      </c>
      <c r="AQ10" t="s">
        <v>68</v>
      </c>
      <c r="AR10" t="s">
        <v>48</v>
      </c>
      <c r="AS10" s="1">
        <v>0.7</v>
      </c>
      <c r="AT10">
        <v>25.19</v>
      </c>
      <c r="AU10" s="1">
        <v>-2.5190000000000001</v>
      </c>
      <c r="AV10" t="s">
        <v>49</v>
      </c>
      <c r="AW10">
        <v>0.73099999999999998</v>
      </c>
      <c r="AX10" s="1">
        <v>-3.1000000000000028E-2</v>
      </c>
      <c r="AY10">
        <v>28.34</v>
      </c>
      <c r="AZ10" s="4">
        <v>-2.8340000000000001</v>
      </c>
      <c r="BA10">
        <v>34.357199999999999</v>
      </c>
      <c r="BB10">
        <v>70.599999999999994</v>
      </c>
      <c r="BC10">
        <v>700</v>
      </c>
      <c r="BD10">
        <v>2.5650599467296047</v>
      </c>
      <c r="BE10">
        <v>4.4285714285714331E-2</v>
      </c>
      <c r="BF10">
        <v>2.5650599467296045E-6</v>
      </c>
      <c r="BG10">
        <v>1.147786412465616E-6</v>
      </c>
      <c r="BH10" s="3">
        <v>1.1477864124656161</v>
      </c>
      <c r="BI10" s="3">
        <v>3.643766388779734</v>
      </c>
      <c r="BJ10">
        <v>34.357199999999999</v>
      </c>
      <c r="BK10">
        <v>70.599999999999994</v>
      </c>
      <c r="BL10">
        <v>700</v>
      </c>
      <c r="BM10">
        <v>2.5650599467296047</v>
      </c>
      <c r="BN10" s="1">
        <f t="shared" si="0"/>
        <v>2.2070000000000003</v>
      </c>
      <c r="BO10" s="1">
        <f t="shared" si="1"/>
        <v>2.081</v>
      </c>
      <c r="BP10">
        <f t="shared" si="2"/>
        <v>23.801788621538456</v>
      </c>
      <c r="BQ10" s="3">
        <f t="shared" si="3"/>
        <v>23.109893115244514</v>
      </c>
      <c r="BR10" s="3">
        <f t="shared" si="4"/>
        <v>10.650577428809079</v>
      </c>
    </row>
    <row r="11" spans="1:70" x14ac:dyDescent="0.35">
      <c r="A11" s="5">
        <v>44723</v>
      </c>
      <c r="B11" t="s">
        <v>32</v>
      </c>
      <c r="C11" t="s">
        <v>33</v>
      </c>
      <c r="D11" t="s">
        <v>34</v>
      </c>
      <c r="E11" t="s">
        <v>35</v>
      </c>
      <c r="F11">
        <v>6</v>
      </c>
      <c r="G11" t="s">
        <v>69</v>
      </c>
      <c r="H11" t="s">
        <v>70</v>
      </c>
      <c r="I11" t="s">
        <v>71</v>
      </c>
      <c r="J11" t="s">
        <v>71</v>
      </c>
      <c r="K11" t="s">
        <v>38</v>
      </c>
      <c r="L11" s="1">
        <v>0.95699999999999996</v>
      </c>
      <c r="M11">
        <v>4.83</v>
      </c>
      <c r="N11" s="2">
        <v>-0.48299999999999998</v>
      </c>
      <c r="O11" t="s">
        <v>39</v>
      </c>
      <c r="P11">
        <v>0.80100000000000005</v>
      </c>
      <c r="Q11" s="1">
        <v>0.15599999999999992</v>
      </c>
      <c r="R11">
        <v>8.84</v>
      </c>
      <c r="S11" s="2">
        <v>-0.88400000000000001</v>
      </c>
      <c r="T11">
        <v>31.959900000000001</v>
      </c>
      <c r="U11">
        <v>136.30000000000001</v>
      </c>
      <c r="V11">
        <v>832</v>
      </c>
      <c r="W11">
        <v>15.882238545008923</v>
      </c>
      <c r="X11">
        <v>0.194756554307116</v>
      </c>
      <c r="Y11">
        <v>1.5882238545008922E-5</v>
      </c>
      <c r="Z11">
        <v>2.1559211699174549E-5</v>
      </c>
      <c r="AA11" s="3">
        <v>21.559211699174551</v>
      </c>
      <c r="AB11" s="3">
        <v>53.763620197442769</v>
      </c>
      <c r="AC11">
        <v>31.959900000000001</v>
      </c>
      <c r="AD11">
        <v>136.30000000000001</v>
      </c>
      <c r="AE11">
        <v>832</v>
      </c>
      <c r="AF11">
        <v>15.882238545008923</v>
      </c>
      <c r="AH11" s="5">
        <v>44805</v>
      </c>
      <c r="AI11" s="6" t="s">
        <v>32</v>
      </c>
      <c r="AJ11" s="6" t="s">
        <v>40</v>
      </c>
      <c r="AK11" t="s">
        <v>34</v>
      </c>
      <c r="AL11" t="s">
        <v>35</v>
      </c>
      <c r="AM11">
        <v>7</v>
      </c>
      <c r="AN11" t="s">
        <v>72</v>
      </c>
      <c r="AO11" t="s">
        <v>73</v>
      </c>
      <c r="AP11" t="s">
        <v>71</v>
      </c>
      <c r="AQ11" t="s">
        <v>71</v>
      </c>
      <c r="AR11" t="s">
        <v>48</v>
      </c>
      <c r="AS11" s="1">
        <v>1.0660000000000001</v>
      </c>
      <c r="AT11">
        <v>13.32</v>
      </c>
      <c r="AU11" s="1">
        <v>-1.3320000000000001</v>
      </c>
      <c r="AV11" t="s">
        <v>49</v>
      </c>
      <c r="AW11">
        <v>0.90200000000000002</v>
      </c>
      <c r="AX11" s="1">
        <v>0.16400000000000003</v>
      </c>
      <c r="AY11">
        <v>24.89</v>
      </c>
      <c r="AZ11" s="4">
        <v>-2.4889999999999999</v>
      </c>
      <c r="BA11">
        <v>34.357199999999999</v>
      </c>
      <c r="BB11">
        <v>136.30000000000001</v>
      </c>
      <c r="BC11">
        <v>832</v>
      </c>
      <c r="BD11">
        <v>14.593534549635143</v>
      </c>
      <c r="BE11">
        <v>0.18181818181818185</v>
      </c>
      <c r="BF11">
        <v>1.4593534549635143E-5</v>
      </c>
      <c r="BG11">
        <v>1.9809871253550374E-5</v>
      </c>
      <c r="BH11">
        <v>19.809871253550373</v>
      </c>
      <c r="BI11">
        <v>17.121755621046134</v>
      </c>
      <c r="BJ11">
        <v>34.357199999999999</v>
      </c>
      <c r="BK11">
        <v>136.30000000000001</v>
      </c>
      <c r="BL11">
        <v>832</v>
      </c>
      <c r="BM11">
        <v>14.593534549635143</v>
      </c>
      <c r="BN11" s="1">
        <f t="shared" si="0"/>
        <v>0.84900000000000009</v>
      </c>
      <c r="BO11" s="1">
        <f t="shared" si="1"/>
        <v>1.605</v>
      </c>
      <c r="BP11">
        <f t="shared" si="2"/>
        <v>1.2887039953737798</v>
      </c>
      <c r="BQ11" s="3">
        <f t="shared" si="3"/>
        <v>36.641864576396635</v>
      </c>
      <c r="BR11" s="3">
        <f t="shared" si="4"/>
        <v>1.7493404456241777</v>
      </c>
    </row>
    <row r="12" spans="1:70" x14ac:dyDescent="0.35">
      <c r="A12" s="5">
        <v>44723</v>
      </c>
      <c r="B12" t="s">
        <v>32</v>
      </c>
      <c r="C12" t="s">
        <v>33</v>
      </c>
      <c r="D12" t="s">
        <v>34</v>
      </c>
      <c r="E12" t="s">
        <v>35</v>
      </c>
      <c r="F12">
        <v>15</v>
      </c>
      <c r="G12" t="s">
        <v>72</v>
      </c>
      <c r="H12" t="s">
        <v>73</v>
      </c>
      <c r="I12" t="s">
        <v>74</v>
      </c>
      <c r="J12" t="s">
        <v>74</v>
      </c>
      <c r="K12" t="s">
        <v>46</v>
      </c>
      <c r="L12" s="1">
        <v>0.58299999999999996</v>
      </c>
      <c r="M12">
        <v>5.83</v>
      </c>
      <c r="N12" s="2">
        <v>-0.58299999999999996</v>
      </c>
      <c r="O12" t="s">
        <v>47</v>
      </c>
      <c r="P12">
        <v>0.40600000000000003</v>
      </c>
      <c r="Q12" s="1">
        <v>0.17699999999999994</v>
      </c>
      <c r="R12">
        <v>15.93</v>
      </c>
      <c r="S12" s="2">
        <v>-1.593</v>
      </c>
      <c r="T12">
        <v>31.959900000000001</v>
      </c>
      <c r="U12">
        <v>79.7</v>
      </c>
      <c r="V12">
        <v>858</v>
      </c>
      <c r="W12">
        <v>42.82590062906975</v>
      </c>
      <c r="X12">
        <v>0.43596059113300473</v>
      </c>
      <c r="Y12">
        <v>4.2825900629069753E-5</v>
      </c>
      <c r="Z12">
        <v>2.9673565322247946E-5</v>
      </c>
      <c r="AA12" s="3">
        <v>29.673565322247946</v>
      </c>
      <c r="AB12" s="3">
        <v>29.379767645790047</v>
      </c>
      <c r="AC12">
        <v>31.959900000000001</v>
      </c>
      <c r="AD12">
        <v>79.7</v>
      </c>
      <c r="AE12">
        <v>858</v>
      </c>
      <c r="AF12">
        <v>42.82590062906975</v>
      </c>
      <c r="AH12" s="5">
        <v>44805</v>
      </c>
      <c r="AI12" s="6" t="s">
        <v>32</v>
      </c>
      <c r="AJ12" s="6" t="s">
        <v>40</v>
      </c>
      <c r="AK12" t="s">
        <v>34</v>
      </c>
      <c r="AL12" t="s">
        <v>35</v>
      </c>
      <c r="AM12">
        <v>6</v>
      </c>
      <c r="AN12" t="s">
        <v>75</v>
      </c>
      <c r="AO12" t="s">
        <v>76</v>
      </c>
      <c r="AP12" t="s">
        <v>74</v>
      </c>
      <c r="AQ12" t="s">
        <v>74</v>
      </c>
      <c r="AR12" t="s">
        <v>48</v>
      </c>
      <c r="AS12" s="1">
        <v>0.72099999999999997</v>
      </c>
      <c r="AT12">
        <v>27.14</v>
      </c>
      <c r="AU12" s="1">
        <v>-2.714</v>
      </c>
      <c r="AV12" t="s">
        <v>49</v>
      </c>
      <c r="AW12">
        <v>0.56699999999999995</v>
      </c>
      <c r="AX12" s="1">
        <v>0.15400000000000003</v>
      </c>
      <c r="AY12">
        <v>36.89</v>
      </c>
      <c r="AZ12" s="4">
        <v>-3.6890000000000001</v>
      </c>
      <c r="BA12">
        <v>34.357199999999999</v>
      </c>
      <c r="BB12">
        <v>79.7</v>
      </c>
      <c r="BC12">
        <v>858</v>
      </c>
      <c r="BD12">
        <v>23.917964846479045</v>
      </c>
      <c r="BE12">
        <v>0.27160493827160503</v>
      </c>
      <c r="BF12">
        <v>2.3917964846479044E-5</v>
      </c>
      <c r="BG12">
        <v>1.6572477912244257E-5</v>
      </c>
      <c r="BH12" s="3">
        <v>16.572477912244256</v>
      </c>
      <c r="BI12" s="3">
        <v>16.99741324332744</v>
      </c>
      <c r="BJ12">
        <v>34.357199999999999</v>
      </c>
      <c r="BK12">
        <v>79.7</v>
      </c>
      <c r="BL12">
        <v>858</v>
      </c>
      <c r="BM12">
        <v>23.917964846479045</v>
      </c>
      <c r="BN12" s="1">
        <f t="shared" si="0"/>
        <v>2.1310000000000002</v>
      </c>
      <c r="BO12" s="1">
        <f t="shared" si="1"/>
        <v>2.0960000000000001</v>
      </c>
      <c r="BP12">
        <f t="shared" si="2"/>
        <v>18.907935782590705</v>
      </c>
      <c r="BQ12" s="3">
        <f t="shared" si="3"/>
        <v>12.382354402462607</v>
      </c>
      <c r="BR12" s="3">
        <f t="shared" si="4"/>
        <v>13.101087410003689</v>
      </c>
    </row>
    <row r="13" spans="1:70" x14ac:dyDescent="0.35">
      <c r="A13" s="5">
        <v>44723</v>
      </c>
      <c r="B13" t="s">
        <v>32</v>
      </c>
      <c r="C13" t="s">
        <v>33</v>
      </c>
      <c r="D13" t="s">
        <v>34</v>
      </c>
      <c r="E13" t="s">
        <v>35</v>
      </c>
      <c r="F13">
        <v>2</v>
      </c>
      <c r="G13" t="s">
        <v>75</v>
      </c>
      <c r="H13" t="s">
        <v>76</v>
      </c>
      <c r="I13" t="s">
        <v>77</v>
      </c>
      <c r="J13" t="s">
        <v>77</v>
      </c>
      <c r="K13" t="s">
        <v>38</v>
      </c>
      <c r="L13" s="1">
        <v>0.70799999999999996</v>
      </c>
      <c r="M13">
        <v>6.04</v>
      </c>
      <c r="N13" s="2">
        <v>-0.60399999999999998</v>
      </c>
      <c r="O13" t="s">
        <v>39</v>
      </c>
      <c r="P13">
        <v>0.71</v>
      </c>
      <c r="Q13" s="1">
        <v>-2.0000000000000018E-3</v>
      </c>
      <c r="R13">
        <v>15.71</v>
      </c>
      <c r="S13" s="2">
        <v>-1.5710000000000002</v>
      </c>
      <c r="T13">
        <v>31.959900000000001</v>
      </c>
      <c r="U13">
        <v>51.9</v>
      </c>
      <c r="V13">
        <v>645</v>
      </c>
      <c r="W13">
        <v>8.6641097677986695E-2</v>
      </c>
      <c r="X13">
        <v>2.8248587570621495E-3</v>
      </c>
      <c r="Y13">
        <v>8.66410976779867E-8</v>
      </c>
      <c r="Z13">
        <v>2.2840230539759293E-8</v>
      </c>
      <c r="AA13" s="3">
        <v>2.2840230539759292E-2</v>
      </c>
      <c r="AB13" s="3">
        <v>2.361967997906855E-2</v>
      </c>
      <c r="AC13">
        <v>31.959900000000001</v>
      </c>
      <c r="AD13">
        <v>51.9</v>
      </c>
      <c r="AE13">
        <v>645</v>
      </c>
      <c r="AF13">
        <v>8.6641097677986695E-2</v>
      </c>
      <c r="AH13" s="5">
        <v>44804</v>
      </c>
      <c r="AI13" s="6" t="s">
        <v>32</v>
      </c>
      <c r="AJ13" s="6" t="s">
        <v>40</v>
      </c>
      <c r="AK13" t="s">
        <v>34</v>
      </c>
      <c r="AL13" t="s">
        <v>35</v>
      </c>
      <c r="AM13">
        <v>4</v>
      </c>
      <c r="AN13" t="s">
        <v>78</v>
      </c>
      <c r="AO13" t="s">
        <v>79</v>
      </c>
      <c r="AP13" t="s">
        <v>77</v>
      </c>
      <c r="AQ13" t="s">
        <v>77</v>
      </c>
      <c r="AR13" t="s">
        <v>48</v>
      </c>
      <c r="AS13" s="1">
        <v>0.79900000000000004</v>
      </c>
      <c r="AT13">
        <v>16.09</v>
      </c>
      <c r="AU13" s="1">
        <v>-1.609</v>
      </c>
      <c r="AV13" t="s">
        <v>49</v>
      </c>
      <c r="AW13">
        <v>0.77100000000000002</v>
      </c>
      <c r="AX13" s="1">
        <v>2.8000000000000025E-2</v>
      </c>
      <c r="AY13">
        <v>23.56</v>
      </c>
      <c r="AZ13" s="4">
        <v>-2.3559999999999999</v>
      </c>
      <c r="BA13">
        <v>34.357199999999999</v>
      </c>
      <c r="BB13">
        <v>51.9</v>
      </c>
      <c r="BC13">
        <v>645</v>
      </c>
      <c r="BD13">
        <v>2.0092526907292378</v>
      </c>
      <c r="BE13">
        <v>3.6316472114137514E-2</v>
      </c>
      <c r="BF13">
        <v>2.0092526907292379E-6</v>
      </c>
      <c r="BG13">
        <v>5.2967697661738432E-7</v>
      </c>
      <c r="BH13" s="3">
        <v>0.52967697661738433</v>
      </c>
      <c r="BI13" s="3">
        <v>0.7090722578545976</v>
      </c>
      <c r="BJ13">
        <v>34.357199999999999</v>
      </c>
      <c r="BK13">
        <v>51.9</v>
      </c>
      <c r="BL13">
        <v>645</v>
      </c>
      <c r="BM13">
        <v>2.0092526907292378</v>
      </c>
      <c r="BN13" s="1">
        <f t="shared" si="0"/>
        <v>1.0049999999999999</v>
      </c>
      <c r="BO13" s="1">
        <f t="shared" si="1"/>
        <v>0.7849999999999997</v>
      </c>
      <c r="BP13">
        <f t="shared" si="2"/>
        <v>-1.9226115930512511</v>
      </c>
      <c r="BQ13" s="3">
        <f t="shared" si="3"/>
        <v>-0.68545257787552905</v>
      </c>
      <c r="BR13" s="3">
        <f t="shared" si="4"/>
        <v>-0.50683674607762508</v>
      </c>
    </row>
    <row r="14" spans="1:70" x14ac:dyDescent="0.35">
      <c r="A14" s="5">
        <v>44723</v>
      </c>
      <c r="B14" t="s">
        <v>32</v>
      </c>
      <c r="C14" t="s">
        <v>33</v>
      </c>
      <c r="D14" t="s">
        <v>34</v>
      </c>
      <c r="E14" t="s">
        <v>35</v>
      </c>
      <c r="F14">
        <v>13</v>
      </c>
      <c r="G14" t="s">
        <v>78</v>
      </c>
      <c r="H14" t="s">
        <v>79</v>
      </c>
      <c r="I14" t="s">
        <v>80</v>
      </c>
      <c r="J14" t="s">
        <v>80</v>
      </c>
      <c r="K14" t="s">
        <v>46</v>
      </c>
      <c r="L14" s="1">
        <v>0.85399999999999998</v>
      </c>
      <c r="M14">
        <v>5.58</v>
      </c>
      <c r="N14" s="2">
        <v>-0.55800000000000005</v>
      </c>
      <c r="O14" t="s">
        <v>47</v>
      </c>
      <c r="P14">
        <v>0.91500000000000004</v>
      </c>
      <c r="Q14" s="1">
        <v>-6.1000000000000054E-2</v>
      </c>
      <c r="R14">
        <v>9.51</v>
      </c>
      <c r="S14" s="2">
        <v>-0.95099999999999996</v>
      </c>
      <c r="T14">
        <v>31.959900000000001</v>
      </c>
      <c r="U14">
        <v>90</v>
      </c>
      <c r="V14">
        <v>735</v>
      </c>
      <c r="W14">
        <v>4.6202273801033664</v>
      </c>
      <c r="X14">
        <v>7.1428571428571494E-2</v>
      </c>
      <c r="Y14">
        <v>4.6202273801033669E-6</v>
      </c>
      <c r="Z14">
        <v>2.8954903368825115E-6</v>
      </c>
      <c r="AA14" s="3">
        <v>2.8954903368825113</v>
      </c>
      <c r="AB14" s="3">
        <v>7.3676598902862898</v>
      </c>
      <c r="AC14">
        <v>31.959900000000001</v>
      </c>
      <c r="AD14">
        <v>90</v>
      </c>
      <c r="AE14">
        <v>735</v>
      </c>
      <c r="AF14">
        <v>4.6202273801033664</v>
      </c>
      <c r="AH14" s="5">
        <v>44805</v>
      </c>
      <c r="AI14" s="6" t="s">
        <v>32</v>
      </c>
      <c r="AJ14" s="6" t="s">
        <v>40</v>
      </c>
      <c r="AK14" t="s">
        <v>34</v>
      </c>
      <c r="AL14" t="s">
        <v>35</v>
      </c>
      <c r="AM14">
        <v>3</v>
      </c>
      <c r="AN14" t="s">
        <v>81</v>
      </c>
      <c r="AO14" t="s">
        <v>82</v>
      </c>
      <c r="AP14" t="s">
        <v>80</v>
      </c>
      <c r="AQ14" t="s">
        <v>80</v>
      </c>
      <c r="AR14" t="s">
        <v>41</v>
      </c>
      <c r="AS14" s="1">
        <v>1.016</v>
      </c>
      <c r="AT14">
        <v>10.119999999999999</v>
      </c>
      <c r="AU14" s="1">
        <v>-1.012</v>
      </c>
      <c r="AV14" t="s">
        <v>42</v>
      </c>
      <c r="AW14">
        <v>0.97299999999999998</v>
      </c>
      <c r="AX14" s="1">
        <v>4.3000000000000038E-2</v>
      </c>
      <c r="AY14">
        <v>9.89</v>
      </c>
      <c r="AZ14" s="4">
        <v>-0.9890000000000001</v>
      </c>
      <c r="BA14">
        <v>32.519599999999997</v>
      </c>
      <c r="BB14">
        <v>90</v>
      </c>
      <c r="BC14">
        <v>735</v>
      </c>
      <c r="BD14">
        <v>2.5584664355051094</v>
      </c>
      <c r="BE14">
        <v>4.4193216855087397E-2</v>
      </c>
      <c r="BF14">
        <v>2.5584664355051095E-6</v>
      </c>
      <c r="BG14">
        <v>1.6033875027764435E-6</v>
      </c>
      <c r="BH14" s="3">
        <v>1.6033875027764435</v>
      </c>
      <c r="BI14" s="3">
        <v>69.712500120715205</v>
      </c>
      <c r="BJ14">
        <v>32.519599999999997</v>
      </c>
      <c r="BK14">
        <v>90</v>
      </c>
      <c r="BL14">
        <v>735</v>
      </c>
      <c r="BM14">
        <v>2.5584664355051094</v>
      </c>
      <c r="BN14" s="1">
        <f t="shared" si="0"/>
        <v>0.45399999999999996</v>
      </c>
      <c r="BO14" s="1">
        <f t="shared" si="1"/>
        <v>3.8000000000000145E-2</v>
      </c>
      <c r="BP14">
        <f t="shared" si="2"/>
        <v>2.061760944598257</v>
      </c>
      <c r="BQ14" s="3">
        <f t="shared" si="3"/>
        <v>-62.344840230428915</v>
      </c>
      <c r="BR14" s="3">
        <f t="shared" si="4"/>
        <v>1.2921028341060679</v>
      </c>
    </row>
    <row r="15" spans="1:70" x14ac:dyDescent="0.35">
      <c r="A15" s="5">
        <v>44723</v>
      </c>
      <c r="B15" t="s">
        <v>32</v>
      </c>
      <c r="C15" t="s">
        <v>33</v>
      </c>
      <c r="D15" t="s">
        <v>34</v>
      </c>
      <c r="E15" t="s">
        <v>35</v>
      </c>
      <c r="F15">
        <v>5</v>
      </c>
      <c r="G15" t="s">
        <v>81</v>
      </c>
      <c r="H15" t="s">
        <v>82</v>
      </c>
      <c r="I15" t="s">
        <v>83</v>
      </c>
      <c r="J15" t="s">
        <v>83</v>
      </c>
      <c r="K15" t="s">
        <v>38</v>
      </c>
      <c r="L15" s="1">
        <v>0.71099999999999997</v>
      </c>
      <c r="M15">
        <v>4.2699999999999996</v>
      </c>
      <c r="N15" s="2">
        <v>-0.42699999999999994</v>
      </c>
      <c r="O15" t="s">
        <v>39</v>
      </c>
      <c r="P15">
        <v>0.72899999999999998</v>
      </c>
      <c r="Q15" s="1">
        <v>-1.8000000000000016E-2</v>
      </c>
      <c r="R15">
        <v>12.05</v>
      </c>
      <c r="S15" s="2">
        <v>-1.2050000000000001</v>
      </c>
      <c r="T15">
        <v>31.959900000000001</v>
      </c>
      <c r="U15" s="8">
        <v>20</v>
      </c>
      <c r="V15" s="8">
        <v>384</v>
      </c>
      <c r="W15">
        <v>1.2886528443421936</v>
      </c>
      <c r="X15">
        <v>2.5316455696202556E-2</v>
      </c>
      <c r="Y15">
        <v>1.2886528443421936E-6</v>
      </c>
      <c r="Z15">
        <v>1.1790510977757682E-7</v>
      </c>
      <c r="AA15" s="3">
        <v>0.11790510977757682</v>
      </c>
      <c r="AB15" s="3">
        <v>0.15154898428994446</v>
      </c>
      <c r="AC15">
        <v>31.959900000000001</v>
      </c>
      <c r="AD15" s="8">
        <v>20</v>
      </c>
      <c r="AE15" s="8">
        <v>384</v>
      </c>
      <c r="AF15">
        <v>1.2886528443421936</v>
      </c>
      <c r="AH15" s="5">
        <v>44805</v>
      </c>
      <c r="AI15" s="6" t="s">
        <v>32</v>
      </c>
      <c r="AJ15" s="6" t="s">
        <v>40</v>
      </c>
      <c r="AK15" t="s">
        <v>34</v>
      </c>
      <c r="AL15" t="s">
        <v>35</v>
      </c>
      <c r="AM15">
        <v>5</v>
      </c>
      <c r="AN15" t="s">
        <v>81</v>
      </c>
      <c r="AO15" t="s">
        <v>84</v>
      </c>
      <c r="AP15" t="s">
        <v>83</v>
      </c>
      <c r="AQ15" t="s">
        <v>83</v>
      </c>
      <c r="AR15" t="s">
        <v>48</v>
      </c>
      <c r="AS15" s="1">
        <v>0.79700000000000004</v>
      </c>
      <c r="AT15">
        <v>26.23</v>
      </c>
      <c r="AU15" s="1">
        <v>-2.6230000000000002</v>
      </c>
      <c r="AV15" t="s">
        <v>49</v>
      </c>
      <c r="AW15">
        <v>0.81200000000000006</v>
      </c>
      <c r="AX15" s="1">
        <v>-1.5000000000000013E-2</v>
      </c>
      <c r="AY15">
        <v>27.68</v>
      </c>
      <c r="AZ15" s="4">
        <v>-2.7679999999999998</v>
      </c>
      <c r="BA15">
        <v>34.357199999999999</v>
      </c>
      <c r="BB15" s="8">
        <v>20</v>
      </c>
      <c r="BC15" s="8">
        <v>384</v>
      </c>
      <c r="BD15">
        <v>0.8945819015850317</v>
      </c>
      <c r="BE15">
        <v>1.882057716436639E-2</v>
      </c>
      <c r="BF15">
        <v>8.9458190158503175E-7</v>
      </c>
      <c r="BG15">
        <v>8.1849644591641596E-8</v>
      </c>
      <c r="BH15" s="3">
        <v>8.1849644591641596E-2</v>
      </c>
      <c r="BI15" s="3">
        <v>0.56448030752856437</v>
      </c>
      <c r="BJ15">
        <v>34.357199999999999</v>
      </c>
      <c r="BK15">
        <v>20</v>
      </c>
      <c r="BL15">
        <v>384</v>
      </c>
      <c r="BM15">
        <v>0.8945819015850317</v>
      </c>
      <c r="BN15" s="1">
        <f t="shared" si="0"/>
        <v>2.1960000000000002</v>
      </c>
      <c r="BO15" s="1">
        <f t="shared" si="1"/>
        <v>1.5629999999999997</v>
      </c>
      <c r="BP15">
        <f t="shared" si="2"/>
        <v>0.39407094275716192</v>
      </c>
      <c r="BQ15" s="3">
        <f t="shared" si="3"/>
        <v>-0.41293132323861992</v>
      </c>
      <c r="BR15" s="3">
        <f t="shared" si="4"/>
        <v>3.605546518593522E-2</v>
      </c>
    </row>
    <row r="16" spans="1:70" x14ac:dyDescent="0.35">
      <c r="A16" s="5">
        <v>44723</v>
      </c>
      <c r="B16" t="s">
        <v>32</v>
      </c>
      <c r="C16" t="s">
        <v>33</v>
      </c>
      <c r="D16" t="s">
        <v>34</v>
      </c>
      <c r="E16" t="s">
        <v>35</v>
      </c>
      <c r="F16">
        <v>4</v>
      </c>
      <c r="G16" t="s">
        <v>81</v>
      </c>
      <c r="H16" t="s">
        <v>84</v>
      </c>
      <c r="I16" t="s">
        <v>85</v>
      </c>
      <c r="J16" t="s">
        <v>85</v>
      </c>
      <c r="K16" t="s">
        <v>38</v>
      </c>
      <c r="L16" s="1">
        <v>0.69099999999999995</v>
      </c>
      <c r="M16">
        <v>5.42</v>
      </c>
      <c r="N16" s="2">
        <v>-0.54200000000000004</v>
      </c>
      <c r="O16" t="s">
        <v>39</v>
      </c>
      <c r="P16">
        <v>0.57499999999999996</v>
      </c>
      <c r="Q16" s="1">
        <v>0.11599999999999999</v>
      </c>
      <c r="R16">
        <v>6.92</v>
      </c>
      <c r="S16" s="2">
        <v>-0.69199999999999995</v>
      </c>
      <c r="T16">
        <v>31.959900000000001</v>
      </c>
      <c r="U16" s="8">
        <v>24.6</v>
      </c>
      <c r="V16" s="8">
        <v>490</v>
      </c>
      <c r="W16">
        <v>16.586075169795127</v>
      </c>
      <c r="X16">
        <v>0.20173913043478262</v>
      </c>
      <c r="Y16">
        <v>1.6586075169795125E-5</v>
      </c>
      <c r="Z16">
        <v>1.0538476405481777E-6</v>
      </c>
      <c r="AA16" s="3">
        <v>1.0538476405481776</v>
      </c>
      <c r="AB16" s="3">
        <v>7.025650936987855</v>
      </c>
      <c r="AC16">
        <v>31.959900000000001</v>
      </c>
      <c r="AD16" s="8">
        <v>24.6</v>
      </c>
      <c r="AE16" s="8">
        <v>490</v>
      </c>
      <c r="AF16">
        <v>16.586075169795127</v>
      </c>
      <c r="AH16" s="5">
        <v>44806</v>
      </c>
      <c r="AI16" s="6" t="s">
        <v>32</v>
      </c>
      <c r="AJ16" s="6" t="s">
        <v>40</v>
      </c>
      <c r="AK16" t="s">
        <v>86</v>
      </c>
      <c r="AL16" t="s">
        <v>35</v>
      </c>
      <c r="AM16">
        <v>4</v>
      </c>
      <c r="AN16" t="s">
        <v>87</v>
      </c>
      <c r="AO16" t="s">
        <v>24</v>
      </c>
      <c r="AP16" t="s">
        <v>85</v>
      </c>
      <c r="AQ16" t="s">
        <v>85</v>
      </c>
      <c r="AR16" t="s">
        <v>48</v>
      </c>
      <c r="AS16" s="1">
        <v>0.85399999999999998</v>
      </c>
      <c r="AT16">
        <v>23.19</v>
      </c>
      <c r="AU16" s="1">
        <v>-2.319</v>
      </c>
      <c r="AV16" t="s">
        <v>49</v>
      </c>
      <c r="AW16">
        <v>0.77500000000000002</v>
      </c>
      <c r="AX16" s="1">
        <v>7.8999999999999959E-2</v>
      </c>
      <c r="AY16">
        <v>26.23</v>
      </c>
      <c r="AZ16" s="4">
        <v>-2.6230000000000002</v>
      </c>
      <c r="BA16">
        <v>34.357199999999999</v>
      </c>
      <c r="BB16" s="8">
        <v>24.6</v>
      </c>
      <c r="BC16" s="8">
        <v>490</v>
      </c>
      <c r="BD16">
        <v>7.1580629765086874</v>
      </c>
      <c r="BE16">
        <v>0.10193548387096768</v>
      </c>
      <c r="BF16">
        <v>7.158062976508687E-6</v>
      </c>
      <c r="BG16">
        <v>4.5480969436497039E-7</v>
      </c>
      <c r="BH16" s="3">
        <v>0.45480969436497037</v>
      </c>
      <c r="BI16" s="3">
        <v>1.4960845209374012</v>
      </c>
      <c r="BJ16">
        <v>34.357199999999999</v>
      </c>
      <c r="BK16">
        <v>24.6</v>
      </c>
      <c r="BL16">
        <v>490</v>
      </c>
      <c r="BM16">
        <v>7.1580629765086874</v>
      </c>
      <c r="BN16" s="1">
        <f t="shared" si="0"/>
        <v>1.7769999999999999</v>
      </c>
      <c r="BO16" s="1">
        <f t="shared" si="1"/>
        <v>1.9310000000000003</v>
      </c>
      <c r="BP16">
        <f t="shared" si="2"/>
        <v>9.4280121932864382</v>
      </c>
      <c r="BQ16" s="3">
        <f t="shared" si="3"/>
        <v>5.5295664160504536</v>
      </c>
      <c r="BR16" s="3">
        <f t="shared" si="4"/>
        <v>0.59903794618320716</v>
      </c>
    </row>
    <row r="17" spans="1:70" x14ac:dyDescent="0.35">
      <c r="A17" s="5">
        <v>44720</v>
      </c>
      <c r="B17" t="s">
        <v>32</v>
      </c>
      <c r="C17" t="s">
        <v>33</v>
      </c>
      <c r="D17" t="s">
        <v>86</v>
      </c>
      <c r="E17" t="s">
        <v>35</v>
      </c>
      <c r="F17">
        <v>7</v>
      </c>
      <c r="G17" t="s">
        <v>87</v>
      </c>
      <c r="H17" t="s">
        <v>24</v>
      </c>
      <c r="I17" t="s">
        <v>88</v>
      </c>
      <c r="J17" t="s">
        <v>88</v>
      </c>
      <c r="K17" t="s">
        <v>89</v>
      </c>
      <c r="L17" s="1">
        <v>0.80200000000000005</v>
      </c>
      <c r="M17">
        <v>3.66</v>
      </c>
      <c r="N17" s="2">
        <v>-0.36599999999999999</v>
      </c>
      <c r="O17" t="s">
        <v>90</v>
      </c>
      <c r="P17">
        <v>0.65900000000000003</v>
      </c>
      <c r="Q17" s="1">
        <v>0.14300000000000002</v>
      </c>
      <c r="R17">
        <v>3.58</v>
      </c>
      <c r="S17" s="2">
        <v>-0.35799999999999998</v>
      </c>
      <c r="T17">
        <v>26.9267</v>
      </c>
      <c r="U17" s="8">
        <v>63.2</v>
      </c>
      <c r="V17" s="8">
        <v>602</v>
      </c>
      <c r="W17">
        <v>18.143358338690142</v>
      </c>
      <c r="X17">
        <v>0.21699544764795145</v>
      </c>
      <c r="Y17">
        <v>1.814335833869014E-5</v>
      </c>
      <c r="Z17">
        <v>8.9677025990393603E-6</v>
      </c>
      <c r="AA17" s="3">
        <v>8.9677025990393595</v>
      </c>
      <c r="AB17" s="3" t="s">
        <v>64</v>
      </c>
      <c r="AC17">
        <v>26.9267</v>
      </c>
      <c r="AD17" s="8">
        <v>63.2</v>
      </c>
      <c r="AE17" s="8">
        <v>602</v>
      </c>
      <c r="AF17">
        <v>18.143358338690142</v>
      </c>
      <c r="AH17" s="5">
        <v>44806</v>
      </c>
      <c r="AI17" s="6" t="s">
        <v>32</v>
      </c>
      <c r="AJ17" s="6" t="s">
        <v>40</v>
      </c>
      <c r="AK17" t="s">
        <v>86</v>
      </c>
      <c r="AL17" t="s">
        <v>35</v>
      </c>
      <c r="AM17" s="9">
        <v>11</v>
      </c>
      <c r="AN17" t="s">
        <v>87</v>
      </c>
      <c r="AO17" t="s">
        <v>91</v>
      </c>
      <c r="AP17" t="s">
        <v>88</v>
      </c>
      <c r="AQ17" t="s">
        <v>88</v>
      </c>
      <c r="AR17" t="s">
        <v>92</v>
      </c>
      <c r="AS17" s="1">
        <v>1.0429999999999999</v>
      </c>
      <c r="AT17">
        <v>22.61</v>
      </c>
      <c r="AU17" s="1">
        <v>-2.2610000000000001</v>
      </c>
      <c r="AV17" t="s">
        <v>93</v>
      </c>
      <c r="AW17">
        <v>0.98299999999999998</v>
      </c>
      <c r="AX17" s="1">
        <v>5.9999999999999942E-2</v>
      </c>
      <c r="AY17">
        <v>29.56</v>
      </c>
      <c r="AZ17" s="4">
        <v>-2.956</v>
      </c>
      <c r="BA17">
        <v>35.566600000000001</v>
      </c>
      <c r="BB17" s="8">
        <v>63.2</v>
      </c>
      <c r="BC17" s="8">
        <v>602</v>
      </c>
      <c r="BD17">
        <v>3.807305885342902</v>
      </c>
      <c r="BE17">
        <v>6.1037639877924661E-2</v>
      </c>
      <c r="BF17">
        <v>3.8073058853429022E-6</v>
      </c>
      <c r="BG17">
        <v>1.8818339056071543E-6</v>
      </c>
      <c r="BH17" s="3">
        <v>1.8818339056071542</v>
      </c>
      <c r="BI17" s="3">
        <v>2.7076746843268413</v>
      </c>
      <c r="BJ17">
        <v>35.566600000000001</v>
      </c>
      <c r="BK17">
        <v>63.2</v>
      </c>
      <c r="BL17">
        <v>602</v>
      </c>
      <c r="BM17">
        <v>3.807305885342902</v>
      </c>
      <c r="BN17" s="1">
        <f t="shared" si="0"/>
        <v>1.895</v>
      </c>
      <c r="BO17" s="1">
        <f t="shared" si="1"/>
        <v>2.5979999999999999</v>
      </c>
      <c r="BP17">
        <f t="shared" si="2"/>
        <v>14.336052453347239</v>
      </c>
      <c r="BQ17" s="3" t="e">
        <f t="shared" si="3"/>
        <v>#VALUE!</v>
      </c>
      <c r="BR17" s="3">
        <f t="shared" si="4"/>
        <v>7.0858686934322055</v>
      </c>
    </row>
    <row r="18" spans="1:70" x14ac:dyDescent="0.35">
      <c r="A18" s="5">
        <v>44720</v>
      </c>
      <c r="B18" t="s">
        <v>32</v>
      </c>
      <c r="C18" t="s">
        <v>33</v>
      </c>
      <c r="D18" t="s">
        <v>86</v>
      </c>
      <c r="E18" t="s">
        <v>35</v>
      </c>
      <c r="F18">
        <v>12</v>
      </c>
      <c r="G18" t="s">
        <v>87</v>
      </c>
      <c r="H18" t="s">
        <v>91</v>
      </c>
      <c r="I18" t="s">
        <v>94</v>
      </c>
      <c r="J18" t="s">
        <v>94</v>
      </c>
      <c r="K18" t="s">
        <v>95</v>
      </c>
      <c r="L18" s="1">
        <v>0.63400000000000001</v>
      </c>
      <c r="M18">
        <v>9.3800000000000008</v>
      </c>
      <c r="N18" s="2">
        <v>-0.93800000000000006</v>
      </c>
      <c r="O18" t="s">
        <v>96</v>
      </c>
      <c r="P18">
        <v>0.51700000000000002</v>
      </c>
      <c r="Q18" s="1">
        <v>0.11699999999999999</v>
      </c>
      <c r="R18">
        <v>18.559999999999999</v>
      </c>
      <c r="S18" s="2">
        <v>-1.8559999999999999</v>
      </c>
      <c r="T18">
        <v>26.9267</v>
      </c>
      <c r="U18" s="8">
        <v>73.400000000000006</v>
      </c>
      <c r="V18" s="8">
        <v>670</v>
      </c>
      <c r="W18">
        <v>19.106313464775887</v>
      </c>
      <c r="X18">
        <v>0.22630560928433266</v>
      </c>
      <c r="Y18">
        <v>1.9106313464775888E-5</v>
      </c>
      <c r="Z18">
        <v>9.8404870274279783E-6</v>
      </c>
      <c r="AA18" s="3">
        <v>9.8404870274279777</v>
      </c>
      <c r="AB18" s="3">
        <v>10.71948477933331</v>
      </c>
      <c r="AC18">
        <v>26.9267</v>
      </c>
      <c r="AD18" s="8">
        <v>73.400000000000006</v>
      </c>
      <c r="AE18" s="8">
        <v>670</v>
      </c>
      <c r="AF18">
        <v>19.106313464775887</v>
      </c>
      <c r="AH18" s="5">
        <v>44806</v>
      </c>
      <c r="AI18" s="6" t="s">
        <v>32</v>
      </c>
      <c r="AJ18" s="6" t="s">
        <v>40</v>
      </c>
      <c r="AK18" t="s">
        <v>86</v>
      </c>
      <c r="AL18" t="s">
        <v>35</v>
      </c>
      <c r="AM18">
        <v>2</v>
      </c>
      <c r="AN18" t="s">
        <v>36</v>
      </c>
      <c r="AO18" t="s">
        <v>97</v>
      </c>
      <c r="AP18" t="s">
        <v>94</v>
      </c>
      <c r="AQ18" t="s">
        <v>94</v>
      </c>
      <c r="AR18" t="s">
        <v>41</v>
      </c>
      <c r="AS18" s="1">
        <v>0.74299999999999999</v>
      </c>
      <c r="AT18">
        <v>25.23</v>
      </c>
      <c r="AU18" s="1">
        <v>-2.5230000000000001</v>
      </c>
      <c r="AV18" t="s">
        <v>98</v>
      </c>
      <c r="AW18">
        <v>0.57999999999999996</v>
      </c>
      <c r="AX18" s="1">
        <v>0.16300000000000003</v>
      </c>
      <c r="AY18">
        <v>35.65</v>
      </c>
      <c r="AZ18" s="4">
        <v>-3.5649999999999999</v>
      </c>
      <c r="BA18">
        <v>35.566600000000001</v>
      </c>
      <c r="BB18" s="8">
        <v>73.400000000000006</v>
      </c>
      <c r="BC18" s="8">
        <v>670</v>
      </c>
      <c r="BD18">
        <v>24.944226555680139</v>
      </c>
      <c r="BE18">
        <v>0.28103448275862075</v>
      </c>
      <c r="BF18">
        <v>2.4944226555680138E-5</v>
      </c>
      <c r="BG18">
        <v>1.2847237028897667E-5</v>
      </c>
      <c r="BH18" s="3">
        <v>12.847237028897666</v>
      </c>
      <c r="BI18" s="3">
        <v>12.329402139057263</v>
      </c>
      <c r="BJ18">
        <v>35.566600000000001</v>
      </c>
      <c r="BK18">
        <v>73.400000000000006</v>
      </c>
      <c r="BL18">
        <v>670</v>
      </c>
      <c r="BM18">
        <v>24.944226555680139</v>
      </c>
      <c r="BN18" s="1">
        <f t="shared" si="0"/>
        <v>1.585</v>
      </c>
      <c r="BO18" s="1">
        <f t="shared" si="1"/>
        <v>1.7090000000000001</v>
      </c>
      <c r="BP18">
        <f t="shared" si="2"/>
        <v>-5.8379130909042516</v>
      </c>
      <c r="BQ18" s="3">
        <f t="shared" si="3"/>
        <v>-1.6099173597239531</v>
      </c>
      <c r="BR18" s="3">
        <f t="shared" si="4"/>
        <v>-3.0067500014696886</v>
      </c>
    </row>
    <row r="19" spans="1:70" x14ac:dyDescent="0.35">
      <c r="A19" s="5">
        <v>44720</v>
      </c>
      <c r="B19" t="s">
        <v>32</v>
      </c>
      <c r="C19" t="s">
        <v>33</v>
      </c>
      <c r="D19" t="s">
        <v>86</v>
      </c>
      <c r="E19" t="s">
        <v>35</v>
      </c>
      <c r="F19">
        <v>3</v>
      </c>
      <c r="G19" t="s">
        <v>36</v>
      </c>
      <c r="H19" t="s">
        <v>97</v>
      </c>
      <c r="I19" t="s">
        <v>99</v>
      </c>
      <c r="J19" t="s">
        <v>99</v>
      </c>
      <c r="K19" t="s">
        <v>89</v>
      </c>
      <c r="L19" s="1">
        <v>0.72299999999999998</v>
      </c>
      <c r="M19">
        <v>7.49</v>
      </c>
      <c r="N19" s="2">
        <v>-0.749</v>
      </c>
      <c r="O19" t="s">
        <v>90</v>
      </c>
      <c r="P19">
        <v>0.54200000000000004</v>
      </c>
      <c r="Q19" s="1">
        <v>0.18099999999999994</v>
      </c>
      <c r="R19">
        <v>5.67</v>
      </c>
      <c r="S19" s="2">
        <v>-0.56699999999999995</v>
      </c>
      <c r="T19">
        <v>26.9267</v>
      </c>
      <c r="U19" s="8">
        <v>62.2</v>
      </c>
      <c r="V19" s="8">
        <v>560</v>
      </c>
      <c r="W19">
        <v>30.845809018388341</v>
      </c>
      <c r="X19" s="10">
        <v>0.3339483394833947</v>
      </c>
      <c r="Y19" s="11">
        <v>3.084580901838834E-5</v>
      </c>
      <c r="Z19" s="11">
        <v>1.4826359093888454E-5</v>
      </c>
      <c r="AA19" s="3">
        <v>14.826359093888454</v>
      </c>
      <c r="AB19" s="3">
        <v>81.463511504881595</v>
      </c>
      <c r="AC19">
        <v>26.9267</v>
      </c>
      <c r="AD19" s="8">
        <v>62.2</v>
      </c>
      <c r="AE19" s="8">
        <v>560</v>
      </c>
      <c r="AF19">
        <v>30.845809018388341</v>
      </c>
      <c r="AH19" s="5">
        <v>44806</v>
      </c>
      <c r="AI19" s="6" t="s">
        <v>32</v>
      </c>
      <c r="AJ19" s="6" t="s">
        <v>40</v>
      </c>
      <c r="AK19" t="s">
        <v>86</v>
      </c>
      <c r="AL19" t="s">
        <v>35</v>
      </c>
      <c r="AM19">
        <v>1</v>
      </c>
      <c r="AN19" t="s">
        <v>43</v>
      </c>
      <c r="AO19" t="s">
        <v>100</v>
      </c>
      <c r="AP19" t="s">
        <v>99</v>
      </c>
      <c r="AQ19" t="s">
        <v>99</v>
      </c>
      <c r="AR19" t="s">
        <v>92</v>
      </c>
      <c r="AS19" s="1">
        <v>0.82399999999999995</v>
      </c>
      <c r="AT19">
        <v>27.04</v>
      </c>
      <c r="AU19" s="1">
        <v>-2.7039999999999997</v>
      </c>
      <c r="AV19" t="s">
        <v>93</v>
      </c>
      <c r="AW19">
        <v>0.69199999999999995</v>
      </c>
      <c r="AX19" s="1">
        <v>0.13200000000000001</v>
      </c>
      <c r="AY19">
        <v>33.229999999999997</v>
      </c>
      <c r="AZ19" s="4">
        <v>-3.3229999999999995</v>
      </c>
      <c r="BA19">
        <v>35.566600000000001</v>
      </c>
      <c r="BB19" s="8">
        <v>62.2</v>
      </c>
      <c r="BC19" s="8">
        <v>560</v>
      </c>
      <c r="BD19">
        <v>15.48113751665675</v>
      </c>
      <c r="BE19">
        <v>0.19075144508670522</v>
      </c>
      <c r="BF19">
        <v>1.548113751665675E-5</v>
      </c>
      <c r="BG19">
        <v>7.4411698479683505E-6</v>
      </c>
      <c r="BH19" s="3">
        <v>7.4411698479683501</v>
      </c>
      <c r="BI19" s="3">
        <v>12.021276006410909</v>
      </c>
      <c r="BJ19">
        <v>35.566600000000001</v>
      </c>
      <c r="BK19">
        <v>62.2</v>
      </c>
      <c r="BL19">
        <v>560</v>
      </c>
      <c r="BM19">
        <v>15.48113751665675</v>
      </c>
      <c r="BN19" s="1">
        <f t="shared" si="0"/>
        <v>1.9549999999999996</v>
      </c>
      <c r="BO19" s="1">
        <f t="shared" si="1"/>
        <v>2.7559999999999993</v>
      </c>
      <c r="BP19">
        <f t="shared" si="2"/>
        <v>15.364671501731591</v>
      </c>
      <c r="BQ19" s="3">
        <f t="shared" si="3"/>
        <v>69.44223549847068</v>
      </c>
      <c r="BR19" s="3">
        <f t="shared" si="4"/>
        <v>7.3851892459201043</v>
      </c>
    </row>
    <row r="20" spans="1:70" x14ac:dyDescent="0.35">
      <c r="A20" s="5">
        <v>44720</v>
      </c>
      <c r="B20" t="s">
        <v>32</v>
      </c>
      <c r="C20" t="s">
        <v>33</v>
      </c>
      <c r="D20" t="s">
        <v>86</v>
      </c>
      <c r="E20" t="s">
        <v>35</v>
      </c>
      <c r="F20">
        <v>13</v>
      </c>
      <c r="G20" t="s">
        <v>43</v>
      </c>
      <c r="H20" t="s">
        <v>100</v>
      </c>
      <c r="I20" t="s">
        <v>101</v>
      </c>
      <c r="J20" t="s">
        <v>101</v>
      </c>
      <c r="K20" t="s">
        <v>95</v>
      </c>
      <c r="L20" s="1">
        <v>0.53100000000000003</v>
      </c>
      <c r="M20">
        <v>1.99</v>
      </c>
      <c r="N20" s="2">
        <v>-0.19900000000000001</v>
      </c>
      <c r="O20" t="s">
        <v>96</v>
      </c>
      <c r="P20">
        <v>0.44800000000000001</v>
      </c>
      <c r="Q20" s="1">
        <v>8.3000000000000018E-2</v>
      </c>
      <c r="R20">
        <v>3.56</v>
      </c>
      <c r="S20" s="2">
        <v>-0.35599999999999998</v>
      </c>
      <c r="T20">
        <v>26.9267</v>
      </c>
      <c r="U20" s="8">
        <v>83.6</v>
      </c>
      <c r="V20" s="8">
        <v>660</v>
      </c>
      <c r="W20">
        <v>14.935124865160308</v>
      </c>
      <c r="X20">
        <v>0.18526785714285718</v>
      </c>
      <c r="Y20">
        <v>1.4935124865160307E-5</v>
      </c>
      <c r="Z20">
        <v>9.7621226748523176E-6</v>
      </c>
      <c r="AA20" s="3">
        <v>9.7621226748523178</v>
      </c>
      <c r="AB20" s="3">
        <v>62.179125317530698</v>
      </c>
      <c r="AC20">
        <v>26.9267</v>
      </c>
      <c r="AD20" s="8">
        <v>83.6</v>
      </c>
      <c r="AE20" s="8">
        <v>660</v>
      </c>
      <c r="AF20">
        <v>14.935124865160308</v>
      </c>
      <c r="AH20" s="5">
        <v>44806</v>
      </c>
      <c r="AI20" s="6" t="s">
        <v>32</v>
      </c>
      <c r="AJ20" s="6" t="s">
        <v>40</v>
      </c>
      <c r="AK20" t="s">
        <v>86</v>
      </c>
      <c r="AL20" t="s">
        <v>35</v>
      </c>
      <c r="AM20">
        <v>6</v>
      </c>
      <c r="AN20" t="s">
        <v>43</v>
      </c>
      <c r="AO20" t="s">
        <v>76</v>
      </c>
      <c r="AP20" t="s">
        <v>101</v>
      </c>
      <c r="AQ20" t="s">
        <v>101</v>
      </c>
      <c r="AR20" t="s">
        <v>92</v>
      </c>
      <c r="AS20" s="1">
        <v>0.79200000000000004</v>
      </c>
      <c r="AT20">
        <v>2.79</v>
      </c>
      <c r="AU20" s="1">
        <v>-0.27900000000000003</v>
      </c>
      <c r="AV20" t="s">
        <v>93</v>
      </c>
      <c r="AW20">
        <v>0.58599999999999997</v>
      </c>
      <c r="AX20" s="1">
        <v>0.20600000000000007</v>
      </c>
      <c r="AY20">
        <v>8.5399999999999991</v>
      </c>
      <c r="AZ20" s="4">
        <v>-0.85399999999999987</v>
      </c>
      <c r="BA20">
        <v>35.566600000000001</v>
      </c>
      <c r="BB20" s="8">
        <v>83.6</v>
      </c>
      <c r="BC20" s="8">
        <v>660</v>
      </c>
      <c r="BD20">
        <v>32.857577758948679</v>
      </c>
      <c r="BE20">
        <v>0.35153583617747453</v>
      </c>
      <c r="BF20">
        <v>3.2857577758948682E-5</v>
      </c>
      <c r="BG20">
        <v>2.1476867972466947E-5</v>
      </c>
      <c r="BH20" s="3">
        <v>21.476867972466948</v>
      </c>
      <c r="BI20" s="3">
        <v>37.351074734725138</v>
      </c>
      <c r="BJ20">
        <v>35.566600000000001</v>
      </c>
      <c r="BK20">
        <v>83.6</v>
      </c>
      <c r="BL20">
        <v>660</v>
      </c>
      <c r="BM20">
        <v>32.857577758948679</v>
      </c>
      <c r="BN20" s="1">
        <f t="shared" si="0"/>
        <v>8.0000000000000016E-2</v>
      </c>
      <c r="BO20" s="1">
        <f t="shared" si="1"/>
        <v>0.49799999999999989</v>
      </c>
      <c r="BP20">
        <f t="shared" si="2"/>
        <v>-17.922452893788371</v>
      </c>
      <c r="BQ20" s="3">
        <f t="shared" si="3"/>
        <v>24.82805058280556</v>
      </c>
      <c r="BR20" s="3">
        <f t="shared" si="4"/>
        <v>-11.71474529761463</v>
      </c>
    </row>
    <row r="21" spans="1:70" x14ac:dyDescent="0.35">
      <c r="A21" s="5">
        <v>44720</v>
      </c>
      <c r="B21" t="s">
        <v>32</v>
      </c>
      <c r="C21" t="s">
        <v>33</v>
      </c>
      <c r="D21" t="s">
        <v>86</v>
      </c>
      <c r="E21" t="s">
        <v>35</v>
      </c>
      <c r="F21">
        <v>9</v>
      </c>
      <c r="G21" t="s">
        <v>43</v>
      </c>
      <c r="H21" t="s">
        <v>76</v>
      </c>
      <c r="I21" t="s">
        <v>102</v>
      </c>
      <c r="J21" t="s">
        <v>102</v>
      </c>
      <c r="K21" t="s">
        <v>95</v>
      </c>
      <c r="L21" s="1">
        <v>0.504</v>
      </c>
      <c r="M21">
        <v>9.01</v>
      </c>
      <c r="N21" s="2">
        <v>-0.90100000000000002</v>
      </c>
      <c r="O21" t="s">
        <v>96</v>
      </c>
      <c r="P21">
        <v>0.52200000000000002</v>
      </c>
      <c r="Q21" s="1">
        <v>-1.8000000000000016E-2</v>
      </c>
      <c r="R21">
        <v>19.23</v>
      </c>
      <c r="S21" s="2">
        <v>-1.923</v>
      </c>
      <c r="T21">
        <v>26.9267</v>
      </c>
      <c r="U21" s="8">
        <v>64.5</v>
      </c>
      <c r="V21" s="8">
        <v>700</v>
      </c>
      <c r="W21">
        <v>1.9683187285601462</v>
      </c>
      <c r="X21">
        <v>3.5714285714285747E-2</v>
      </c>
      <c r="Y21">
        <v>1.9683187285601463E-6</v>
      </c>
      <c r="Z21">
        <v>1.2418400711278485E-6</v>
      </c>
      <c r="AA21" s="3">
        <v>1.2418400711278486</v>
      </c>
      <c r="AB21" s="3">
        <v>1.2151077016906542</v>
      </c>
      <c r="AC21">
        <v>26.9267</v>
      </c>
      <c r="AD21" s="8">
        <v>64.5</v>
      </c>
      <c r="AE21" s="8">
        <v>700</v>
      </c>
      <c r="AF21">
        <v>1.9683187285601462</v>
      </c>
      <c r="AH21" s="5">
        <v>44806</v>
      </c>
      <c r="AI21" s="6" t="s">
        <v>32</v>
      </c>
      <c r="AJ21" s="6" t="s">
        <v>40</v>
      </c>
      <c r="AK21" t="s">
        <v>86</v>
      </c>
      <c r="AL21" t="s">
        <v>35</v>
      </c>
      <c r="AM21">
        <v>14</v>
      </c>
      <c r="AN21" t="s">
        <v>50</v>
      </c>
      <c r="AO21" t="s">
        <v>103</v>
      </c>
      <c r="AP21" t="s">
        <v>102</v>
      </c>
      <c r="AQ21" t="s">
        <v>102</v>
      </c>
      <c r="AR21" t="s">
        <v>92</v>
      </c>
      <c r="AS21" s="1">
        <v>0.63900000000000001</v>
      </c>
      <c r="AT21">
        <v>3.18</v>
      </c>
      <c r="AU21" s="1">
        <v>-0.318</v>
      </c>
      <c r="AV21" t="s">
        <v>93</v>
      </c>
      <c r="AW21">
        <v>0.47799999999999998</v>
      </c>
      <c r="AX21" s="1">
        <v>0.16100000000000003</v>
      </c>
      <c r="AY21">
        <v>10.23</v>
      </c>
      <c r="AZ21" s="4">
        <v>-1.0230000000000001</v>
      </c>
      <c r="BA21">
        <v>35.566600000000001</v>
      </c>
      <c r="BB21" s="8">
        <v>64.5</v>
      </c>
      <c r="BC21" s="8">
        <v>700</v>
      </c>
      <c r="BD21">
        <v>31.172660813787893</v>
      </c>
      <c r="BE21">
        <v>0.33682008368200844</v>
      </c>
      <c r="BF21">
        <v>3.1172660813787891E-5</v>
      </c>
      <c r="BG21">
        <v>1.9667271748491995E-5</v>
      </c>
      <c r="BH21" s="3">
        <v>19.667271748491995</v>
      </c>
      <c r="BI21" s="3">
        <v>27.89683935956311</v>
      </c>
      <c r="BJ21">
        <v>35.566600000000001</v>
      </c>
      <c r="BK21">
        <v>64.5</v>
      </c>
      <c r="BL21">
        <v>700</v>
      </c>
      <c r="BM21">
        <v>31.172660813787893</v>
      </c>
      <c r="BN21" s="1">
        <f t="shared" si="0"/>
        <v>-0.58299999999999996</v>
      </c>
      <c r="BO21" s="1">
        <f t="shared" si="1"/>
        <v>-0.89999999999999991</v>
      </c>
      <c r="BP21">
        <f t="shared" si="2"/>
        <v>-29.204342085227747</v>
      </c>
      <c r="BQ21" s="3">
        <f t="shared" si="3"/>
        <v>-26.681731657872454</v>
      </c>
      <c r="BR21" s="3">
        <f t="shared" si="4"/>
        <v>-18.425431677364145</v>
      </c>
    </row>
    <row r="22" spans="1:70" x14ac:dyDescent="0.35">
      <c r="A22" s="5">
        <v>44720</v>
      </c>
      <c r="B22" t="s">
        <v>32</v>
      </c>
      <c r="C22" t="s">
        <v>33</v>
      </c>
      <c r="D22" t="s">
        <v>86</v>
      </c>
      <c r="E22" t="s">
        <v>35</v>
      </c>
      <c r="F22">
        <v>10</v>
      </c>
      <c r="G22" t="s">
        <v>50</v>
      </c>
      <c r="H22" t="s">
        <v>103</v>
      </c>
      <c r="I22" t="s">
        <v>104</v>
      </c>
      <c r="J22" t="s">
        <v>104</v>
      </c>
      <c r="K22" t="s">
        <v>95</v>
      </c>
      <c r="L22" s="1">
        <v>0.49299999999999999</v>
      </c>
      <c r="M22">
        <v>11.63</v>
      </c>
      <c r="N22" s="2">
        <v>-1.163</v>
      </c>
      <c r="O22" t="s">
        <v>96</v>
      </c>
      <c r="P22">
        <v>0.57399999999999995</v>
      </c>
      <c r="Q22" s="1">
        <v>-8.0999999999999961E-2</v>
      </c>
      <c r="R22">
        <v>17.670000000000002</v>
      </c>
      <c r="S22" s="2">
        <v>-1.7670000000000001</v>
      </c>
      <c r="T22">
        <v>26.9267</v>
      </c>
      <c r="U22" s="8">
        <v>74.8</v>
      </c>
      <c r="V22" s="8">
        <v>661</v>
      </c>
      <c r="W22">
        <v>12.882420232406085</v>
      </c>
      <c r="X22">
        <v>0.16430020283975652</v>
      </c>
      <c r="Y22">
        <v>1.2882420232406085E-5</v>
      </c>
      <c r="Z22">
        <v>6.1368009093590302E-6</v>
      </c>
      <c r="AA22" s="3">
        <v>6.1368009093590299</v>
      </c>
      <c r="AB22" s="3">
        <v>10.160266406223558</v>
      </c>
      <c r="AC22">
        <v>26.9267</v>
      </c>
      <c r="AD22" s="8">
        <v>74.8</v>
      </c>
      <c r="AE22" s="8">
        <v>661</v>
      </c>
      <c r="AF22">
        <v>12.882420232406085</v>
      </c>
      <c r="AH22" s="5">
        <v>44806</v>
      </c>
      <c r="AI22" s="6" t="s">
        <v>32</v>
      </c>
      <c r="AJ22" s="6" t="s">
        <v>40</v>
      </c>
      <c r="AK22" t="s">
        <v>86</v>
      </c>
      <c r="AL22" t="s">
        <v>35</v>
      </c>
      <c r="AM22">
        <v>10</v>
      </c>
      <c r="AN22" t="s">
        <v>58</v>
      </c>
      <c r="AO22" t="s">
        <v>105</v>
      </c>
      <c r="AP22" t="s">
        <v>104</v>
      </c>
      <c r="AQ22" t="s">
        <v>104</v>
      </c>
      <c r="AR22" t="s">
        <v>41</v>
      </c>
      <c r="AS22" s="1">
        <v>0.73099999999999998</v>
      </c>
      <c r="AT22">
        <v>32.450000000000003</v>
      </c>
      <c r="AU22" s="1">
        <v>-3.2450000000000001</v>
      </c>
      <c r="AV22" t="s">
        <v>98</v>
      </c>
      <c r="AW22">
        <v>0.61199999999999999</v>
      </c>
      <c r="AX22" s="1">
        <v>0.11899999999999999</v>
      </c>
      <c r="AY22">
        <v>43.23</v>
      </c>
      <c r="AZ22" s="4">
        <v>-4.3229999999999995</v>
      </c>
      <c r="BA22">
        <v>35.566600000000001</v>
      </c>
      <c r="BB22" s="8">
        <v>74.8</v>
      </c>
      <c r="BC22" s="8">
        <v>661</v>
      </c>
      <c r="BD22">
        <v>15.850912558887501</v>
      </c>
      <c r="BE22">
        <v>0.19444444444444445</v>
      </c>
      <c r="BF22">
        <v>1.5850912558887501E-5</v>
      </c>
      <c r="BG22">
        <v>7.5509021480960634E-6</v>
      </c>
      <c r="BH22" s="3">
        <v>7.5509021480960632</v>
      </c>
      <c r="BI22" s="3">
        <v>7.0045474472134206</v>
      </c>
      <c r="BJ22">
        <v>35.566600000000001</v>
      </c>
      <c r="BK22">
        <v>74.8</v>
      </c>
      <c r="BL22">
        <v>661</v>
      </c>
      <c r="BM22">
        <v>15.850912558887501</v>
      </c>
      <c r="BN22" s="1">
        <f t="shared" si="0"/>
        <v>2.0819999999999999</v>
      </c>
      <c r="BO22" s="1">
        <f t="shared" si="1"/>
        <v>2.5559999999999992</v>
      </c>
      <c r="BP22">
        <f t="shared" si="2"/>
        <v>-2.9684923264814156</v>
      </c>
      <c r="BQ22" s="3">
        <f t="shared" si="3"/>
        <v>3.1557189590101373</v>
      </c>
      <c r="BR22" s="3">
        <f t="shared" si="4"/>
        <v>-1.4141012387370333</v>
      </c>
    </row>
    <row r="23" spans="1:70" x14ac:dyDescent="0.35">
      <c r="A23" s="5">
        <v>44720</v>
      </c>
      <c r="B23" t="s">
        <v>32</v>
      </c>
      <c r="C23" t="s">
        <v>33</v>
      </c>
      <c r="D23" t="s">
        <v>86</v>
      </c>
      <c r="E23" t="s">
        <v>35</v>
      </c>
      <c r="F23">
        <v>2</v>
      </c>
      <c r="G23" t="s">
        <v>58</v>
      </c>
      <c r="H23" t="s">
        <v>105</v>
      </c>
      <c r="I23" t="s">
        <v>106</v>
      </c>
      <c r="J23" t="s">
        <v>106</v>
      </c>
      <c r="K23" t="s">
        <v>89</v>
      </c>
      <c r="L23" s="1">
        <v>0.77700000000000002</v>
      </c>
      <c r="M23">
        <v>10.72</v>
      </c>
      <c r="N23" s="2">
        <v>-1.0720000000000001</v>
      </c>
      <c r="O23" t="s">
        <v>90</v>
      </c>
      <c r="P23">
        <v>0.67600000000000005</v>
      </c>
      <c r="Q23" s="1">
        <v>0.10099999999999998</v>
      </c>
      <c r="R23">
        <v>11.04</v>
      </c>
      <c r="S23" s="2">
        <v>-1.1039999999999999</v>
      </c>
      <c r="T23">
        <v>26.9267</v>
      </c>
      <c r="U23" s="8">
        <v>57.9</v>
      </c>
      <c r="V23" s="8">
        <v>680</v>
      </c>
      <c r="W23">
        <v>11.460463697570793</v>
      </c>
      <c r="X23">
        <v>0.1494082840236686</v>
      </c>
      <c r="Y23">
        <v>1.1460463697570792E-5</v>
      </c>
      <c r="Z23">
        <v>6.2425474102953043E-6</v>
      </c>
      <c r="AA23" s="3">
        <v>6.2425474102953045</v>
      </c>
      <c r="AB23" s="3">
        <v>195.07960657172944</v>
      </c>
      <c r="AC23">
        <v>26.9267</v>
      </c>
      <c r="AD23" s="8">
        <v>57.9</v>
      </c>
      <c r="AE23" s="8">
        <v>680</v>
      </c>
      <c r="AF23">
        <v>11.460463697570793</v>
      </c>
      <c r="AH23" s="5">
        <v>44806</v>
      </c>
      <c r="AI23" s="6" t="s">
        <v>32</v>
      </c>
      <c r="AJ23" s="6" t="s">
        <v>40</v>
      </c>
      <c r="AK23" t="s">
        <v>86</v>
      </c>
      <c r="AL23" t="s">
        <v>35</v>
      </c>
      <c r="AM23">
        <v>7</v>
      </c>
      <c r="AN23" t="s">
        <v>58</v>
      </c>
      <c r="AO23" t="s">
        <v>107</v>
      </c>
      <c r="AP23" t="s">
        <v>106</v>
      </c>
      <c r="AQ23" t="s">
        <v>106</v>
      </c>
      <c r="AR23" t="s">
        <v>41</v>
      </c>
      <c r="AS23" s="1">
        <v>0.66100000000000003</v>
      </c>
      <c r="AT23">
        <v>9.15</v>
      </c>
      <c r="AU23" s="1">
        <v>-0.91500000000000004</v>
      </c>
      <c r="AV23" t="s">
        <v>98</v>
      </c>
      <c r="AW23">
        <v>0.57299999999999995</v>
      </c>
      <c r="AX23" s="1">
        <v>8.8000000000000078E-2</v>
      </c>
      <c r="AY23">
        <v>5.67</v>
      </c>
      <c r="AZ23" s="4">
        <v>-0.56699999999999995</v>
      </c>
      <c r="BA23">
        <v>35.566600000000001</v>
      </c>
      <c r="BB23" s="8">
        <v>57.9</v>
      </c>
      <c r="BC23" s="8">
        <v>680</v>
      </c>
      <c r="BD23">
        <v>11.85541582071783</v>
      </c>
      <c r="BE23">
        <v>0.15357766143106472</v>
      </c>
      <c r="BF23">
        <v>1.185541582071783E-5</v>
      </c>
      <c r="BG23">
        <v>6.4576789633113279E-6</v>
      </c>
      <c r="BH23" s="3">
        <v>6.4576789633113281</v>
      </c>
      <c r="BI23" s="3">
        <v>18.556548745147492</v>
      </c>
      <c r="BJ23">
        <v>35.566600000000001</v>
      </c>
      <c r="BK23">
        <v>57.9</v>
      </c>
      <c r="BL23">
        <v>680</v>
      </c>
      <c r="BM23">
        <v>11.85541582071783</v>
      </c>
      <c r="BN23" s="1">
        <f t="shared" si="0"/>
        <v>-0.15700000000000003</v>
      </c>
      <c r="BO23" s="1">
        <f t="shared" si="1"/>
        <v>-0.53699999999999992</v>
      </c>
      <c r="BP23">
        <f t="shared" si="2"/>
        <v>-0.39495212314703743</v>
      </c>
      <c r="BQ23" s="3">
        <f t="shared" si="3"/>
        <v>176.52305782658195</v>
      </c>
      <c r="BR23" s="3">
        <f t="shared" si="4"/>
        <v>-0.2151315530160236</v>
      </c>
    </row>
    <row r="24" spans="1:70" x14ac:dyDescent="0.35">
      <c r="A24" s="5">
        <v>44720</v>
      </c>
      <c r="B24" t="s">
        <v>32</v>
      </c>
      <c r="C24" t="s">
        <v>33</v>
      </c>
      <c r="D24" t="s">
        <v>86</v>
      </c>
      <c r="E24" t="s">
        <v>35</v>
      </c>
      <c r="F24">
        <v>6</v>
      </c>
      <c r="G24" t="s">
        <v>58</v>
      </c>
      <c r="H24" t="s">
        <v>107</v>
      </c>
      <c r="I24" t="s">
        <v>108</v>
      </c>
      <c r="J24" t="s">
        <v>108</v>
      </c>
      <c r="K24" t="s">
        <v>89</v>
      </c>
      <c r="L24" s="1">
        <v>0.622</v>
      </c>
      <c r="M24">
        <v>10.24</v>
      </c>
      <c r="N24" s="2">
        <v>-1.024</v>
      </c>
      <c r="O24" t="s">
        <v>90</v>
      </c>
      <c r="P24">
        <v>0.71099999999999997</v>
      </c>
      <c r="Q24" s="1">
        <v>-8.8999999999999968E-2</v>
      </c>
      <c r="R24">
        <v>5.16</v>
      </c>
      <c r="S24" s="2">
        <v>-0.51600000000000001</v>
      </c>
      <c r="T24">
        <v>26.9267</v>
      </c>
      <c r="U24" s="8">
        <v>86.4</v>
      </c>
      <c r="V24" s="8">
        <v>632</v>
      </c>
      <c r="W24">
        <v>10.8665103006454</v>
      </c>
      <c r="X24">
        <v>0.14308681672025719</v>
      </c>
      <c r="Y24">
        <v>1.0866510300645401E-5</v>
      </c>
      <c r="Z24">
        <v>5.4661610760657019E-6</v>
      </c>
      <c r="AA24" s="3">
        <v>5.4661610760657018</v>
      </c>
      <c r="AB24" s="3">
        <v>10.76015959855453</v>
      </c>
      <c r="AC24">
        <v>26.9267</v>
      </c>
      <c r="AD24" s="8">
        <v>86.4</v>
      </c>
      <c r="AE24" s="8">
        <v>632</v>
      </c>
      <c r="AF24">
        <v>10.8665103006454</v>
      </c>
      <c r="AH24" s="5">
        <v>44806</v>
      </c>
      <c r="AI24" s="6" t="s">
        <v>32</v>
      </c>
      <c r="AJ24" s="6" t="s">
        <v>40</v>
      </c>
      <c r="AK24" t="s">
        <v>86</v>
      </c>
      <c r="AL24" t="s">
        <v>35</v>
      </c>
      <c r="AM24">
        <v>13</v>
      </c>
      <c r="AN24" t="s">
        <v>61</v>
      </c>
      <c r="AO24" t="s">
        <v>65</v>
      </c>
      <c r="AP24" t="s">
        <v>108</v>
      </c>
      <c r="AQ24" t="s">
        <v>108</v>
      </c>
      <c r="AR24" t="s">
        <v>92</v>
      </c>
      <c r="AS24" s="1" t="s">
        <v>109</v>
      </c>
      <c r="AT24">
        <v>5.54</v>
      </c>
      <c r="AU24" s="1">
        <v>-0.55400000000000005</v>
      </c>
      <c r="AV24" t="s">
        <v>93</v>
      </c>
      <c r="AW24">
        <v>0.72899999999999998</v>
      </c>
      <c r="AX24" s="1" t="e">
        <v>#VALUE!</v>
      </c>
      <c r="AY24">
        <v>7.89</v>
      </c>
      <c r="AZ24" s="4">
        <v>-0.78899999999999992</v>
      </c>
      <c r="BA24">
        <v>35.566600000000001</v>
      </c>
      <c r="BB24" s="8">
        <v>86.4</v>
      </c>
      <c r="BC24" s="8">
        <v>632</v>
      </c>
      <c r="BD24" t="e">
        <v>#VALUE!</v>
      </c>
      <c r="BE24" t="s">
        <v>109</v>
      </c>
      <c r="BF24" t="s">
        <v>64</v>
      </c>
      <c r="BG24" t="s">
        <v>64</v>
      </c>
      <c r="BH24" s="3" t="s">
        <v>64</v>
      </c>
      <c r="BI24" s="3" t="s">
        <v>64</v>
      </c>
      <c r="BJ24">
        <v>35.566600000000001</v>
      </c>
      <c r="BK24">
        <v>86.4</v>
      </c>
      <c r="BL24">
        <v>632</v>
      </c>
      <c r="BM24" t="e">
        <v>#VALUE!</v>
      </c>
      <c r="BN24" s="1">
        <f t="shared" si="0"/>
        <v>-0.47</v>
      </c>
      <c r="BO24" s="1">
        <f t="shared" si="1"/>
        <v>0.27299999999999991</v>
      </c>
      <c r="BP24" t="e">
        <f t="shared" si="2"/>
        <v>#VALUE!</v>
      </c>
      <c r="BQ24" s="3" t="e">
        <f t="shared" si="3"/>
        <v>#VALUE!</v>
      </c>
      <c r="BR24" s="3" t="e">
        <f t="shared" si="4"/>
        <v>#VALUE!</v>
      </c>
    </row>
    <row r="25" spans="1:70" x14ac:dyDescent="0.35">
      <c r="A25" s="5">
        <v>44720</v>
      </c>
      <c r="B25" t="s">
        <v>32</v>
      </c>
      <c r="C25" t="s">
        <v>33</v>
      </c>
      <c r="D25" t="s">
        <v>86</v>
      </c>
      <c r="E25" t="s">
        <v>35</v>
      </c>
      <c r="F25">
        <v>1</v>
      </c>
      <c r="G25" t="s">
        <v>61</v>
      </c>
      <c r="H25" t="s">
        <v>65</v>
      </c>
      <c r="I25" t="s">
        <v>110</v>
      </c>
      <c r="J25" t="s">
        <v>110</v>
      </c>
      <c r="K25" t="s">
        <v>89</v>
      </c>
      <c r="L25" s="1">
        <v>0.69299999999999995</v>
      </c>
      <c r="M25">
        <v>11.64</v>
      </c>
      <c r="N25" s="2">
        <v>-1.1640000000000001</v>
      </c>
      <c r="O25" t="s">
        <v>90</v>
      </c>
      <c r="P25">
        <v>0.746</v>
      </c>
      <c r="Q25" s="1">
        <v>-5.3000000000000047E-2</v>
      </c>
      <c r="R25">
        <v>13.48</v>
      </c>
      <c r="S25" s="2">
        <v>-1.3480000000000001</v>
      </c>
      <c r="T25">
        <v>26.9267</v>
      </c>
      <c r="U25" s="8">
        <v>33.4</v>
      </c>
      <c r="V25" s="8">
        <v>340</v>
      </c>
      <c r="W25">
        <v>5.025600300979054</v>
      </c>
      <c r="X25">
        <v>7.6479076479076549E-2</v>
      </c>
      <c r="Y25">
        <v>5.0256003009790537E-6</v>
      </c>
      <c r="Z25">
        <v>9.0705751291692576E-7</v>
      </c>
      <c r="AA25" s="3">
        <v>0.90705751291692571</v>
      </c>
      <c r="AB25" s="3">
        <v>4.9296603962876411</v>
      </c>
      <c r="AC25">
        <v>26.9267</v>
      </c>
      <c r="AD25" s="8">
        <v>33.4</v>
      </c>
      <c r="AE25" s="8">
        <v>340</v>
      </c>
      <c r="AF25">
        <v>5.025600300979054</v>
      </c>
      <c r="AH25" s="5">
        <v>44806</v>
      </c>
      <c r="AI25" s="6" t="s">
        <v>32</v>
      </c>
      <c r="AJ25" s="6" t="s">
        <v>40</v>
      </c>
      <c r="AK25" t="s">
        <v>86</v>
      </c>
      <c r="AL25" t="s">
        <v>35</v>
      </c>
      <c r="AM25">
        <v>12</v>
      </c>
      <c r="AN25" t="s">
        <v>69</v>
      </c>
      <c r="AO25" t="s">
        <v>73</v>
      </c>
      <c r="AP25" t="s">
        <v>110</v>
      </c>
      <c r="AQ25" t="s">
        <v>110</v>
      </c>
      <c r="AR25" t="s">
        <v>41</v>
      </c>
      <c r="AS25" s="1">
        <v>0.86099999999999999</v>
      </c>
      <c r="AT25" t="s">
        <v>109</v>
      </c>
      <c r="AU25" s="1" t="s">
        <v>64</v>
      </c>
      <c r="AV25" t="s">
        <v>98</v>
      </c>
      <c r="AW25">
        <v>0.80800000000000005</v>
      </c>
      <c r="AX25" s="1">
        <v>5.2999999999999936E-2</v>
      </c>
      <c r="AY25" t="s">
        <v>109</v>
      </c>
      <c r="AZ25" s="4" t="s">
        <v>109</v>
      </c>
      <c r="BA25">
        <v>35.566600000000001</v>
      </c>
      <c r="BB25" s="8">
        <v>33.4</v>
      </c>
      <c r="BC25" s="8">
        <v>340</v>
      </c>
      <c r="BD25">
        <v>4.1601325828999673</v>
      </c>
      <c r="BE25">
        <v>6.5594059405940514E-2</v>
      </c>
      <c r="BF25">
        <v>4.1601325828999674E-6</v>
      </c>
      <c r="BG25">
        <v>7.5085149794240251E-7</v>
      </c>
      <c r="BH25" s="3">
        <v>0.75085149794240247</v>
      </c>
      <c r="BI25" s="3" t="s">
        <v>64</v>
      </c>
      <c r="BJ25">
        <v>35.566600000000001</v>
      </c>
      <c r="BK25">
        <v>33.4</v>
      </c>
      <c r="BL25">
        <v>340</v>
      </c>
      <c r="BM25">
        <v>4.1601325828999673</v>
      </c>
      <c r="BN25" s="1" t="e">
        <f t="shared" si="0"/>
        <v>#VALUE!</v>
      </c>
      <c r="BO25" s="1" t="e">
        <f t="shared" si="1"/>
        <v>#VALUE!</v>
      </c>
      <c r="BP25">
        <f t="shared" si="2"/>
        <v>0.86546771807908662</v>
      </c>
      <c r="BQ25" s="3" t="e">
        <f t="shared" si="3"/>
        <v>#VALUE!</v>
      </c>
      <c r="BR25" s="3">
        <f t="shared" si="4"/>
        <v>0.15620601497452324</v>
      </c>
    </row>
    <row r="26" spans="1:70" x14ac:dyDescent="0.35">
      <c r="A26" s="5">
        <v>44720</v>
      </c>
      <c r="B26" t="s">
        <v>32</v>
      </c>
      <c r="C26" t="s">
        <v>33</v>
      </c>
      <c r="D26" t="s">
        <v>86</v>
      </c>
      <c r="E26" t="s">
        <v>35</v>
      </c>
      <c r="F26">
        <v>14</v>
      </c>
      <c r="G26" t="s">
        <v>69</v>
      </c>
      <c r="H26" t="s">
        <v>73</v>
      </c>
      <c r="I26" t="s">
        <v>111</v>
      </c>
      <c r="J26" t="s">
        <v>111</v>
      </c>
      <c r="K26" t="s">
        <v>95</v>
      </c>
      <c r="L26" s="1">
        <v>0.56299999999999994</v>
      </c>
      <c r="M26">
        <v>8.15</v>
      </c>
      <c r="N26" s="2">
        <v>-0.81500000000000006</v>
      </c>
      <c r="O26" t="s">
        <v>96</v>
      </c>
      <c r="P26">
        <v>0.433</v>
      </c>
      <c r="Q26" s="1">
        <v>0.12999999999999995</v>
      </c>
      <c r="R26">
        <v>14.72</v>
      </c>
      <c r="S26" s="2">
        <v>-1.472</v>
      </c>
      <c r="T26">
        <v>26.9267</v>
      </c>
      <c r="U26" s="8">
        <v>99.7</v>
      </c>
      <c r="V26" s="8">
        <v>730</v>
      </c>
      <c r="W26">
        <v>27.05793366117415</v>
      </c>
      <c r="X26">
        <v>0.30023094688221696</v>
      </c>
      <c r="Y26">
        <v>2.705793366117415E-5</v>
      </c>
      <c r="Z26">
        <v>2.9200479779035872E-5</v>
      </c>
      <c r="AA26" s="3">
        <v>29.20047977903587</v>
      </c>
      <c r="AB26" s="3">
        <v>44.445174701728881</v>
      </c>
      <c r="AC26">
        <v>26.9267</v>
      </c>
      <c r="AD26" s="8">
        <v>99.7</v>
      </c>
      <c r="AE26" s="8">
        <v>730</v>
      </c>
      <c r="AF26">
        <v>27.05793366117415</v>
      </c>
      <c r="AH26" s="5">
        <v>44806</v>
      </c>
      <c r="AI26" s="6" t="s">
        <v>32</v>
      </c>
      <c r="AJ26" s="6" t="s">
        <v>40</v>
      </c>
      <c r="AK26" t="s">
        <v>86</v>
      </c>
      <c r="AL26" t="s">
        <v>35</v>
      </c>
      <c r="AM26">
        <v>5</v>
      </c>
      <c r="AN26" t="s">
        <v>72</v>
      </c>
      <c r="AO26" t="s">
        <v>112</v>
      </c>
      <c r="AP26" t="s">
        <v>111</v>
      </c>
      <c r="AQ26" t="s">
        <v>111</v>
      </c>
      <c r="AR26" t="s">
        <v>41</v>
      </c>
      <c r="AS26" s="1">
        <v>0.69499999999999995</v>
      </c>
      <c r="AT26">
        <v>19.649999999999999</v>
      </c>
      <c r="AU26" s="1">
        <v>-1.9649999999999999</v>
      </c>
      <c r="AV26" t="s">
        <v>98</v>
      </c>
      <c r="AW26">
        <v>0.40699999999999997</v>
      </c>
      <c r="AX26" s="1">
        <v>0.28799999999999998</v>
      </c>
      <c r="AY26">
        <v>25.03</v>
      </c>
      <c r="AZ26" s="4">
        <v>-2.5030000000000001</v>
      </c>
      <c r="BA26">
        <v>35.566600000000001</v>
      </c>
      <c r="BB26" s="8">
        <v>99.7</v>
      </c>
      <c r="BC26" s="8">
        <v>730</v>
      </c>
      <c r="BD26">
        <v>77.740690913819378</v>
      </c>
      <c r="BE26">
        <v>0.70761670761670759</v>
      </c>
      <c r="BF26">
        <v>7.7740690913819373E-5</v>
      </c>
      <c r="BG26">
        <v>8.3896483059776747E-5</v>
      </c>
      <c r="BH26" s="3">
        <v>83.896483059776742</v>
      </c>
      <c r="BI26" s="3" t="s">
        <v>64</v>
      </c>
      <c r="BJ26">
        <v>35.566600000000001</v>
      </c>
      <c r="BK26">
        <v>99.7</v>
      </c>
      <c r="BL26">
        <v>730</v>
      </c>
      <c r="BM26">
        <v>77.740690913819378</v>
      </c>
      <c r="BN26" s="1">
        <f t="shared" si="0"/>
        <v>1.1499999999999999</v>
      </c>
      <c r="BO26" s="1">
        <f t="shared" si="1"/>
        <v>1.0310000000000001</v>
      </c>
      <c r="BP26">
        <f t="shared" si="2"/>
        <v>-50.682757252645231</v>
      </c>
      <c r="BQ26" s="3" t="e">
        <f t="shared" si="3"/>
        <v>#VALUE!</v>
      </c>
      <c r="BR26" s="3">
        <f t="shared" si="4"/>
        <v>-54.696003280740868</v>
      </c>
    </row>
    <row r="27" spans="1:70" x14ac:dyDescent="0.35">
      <c r="A27" s="5">
        <v>44720</v>
      </c>
      <c r="B27" t="s">
        <v>32</v>
      </c>
      <c r="C27" t="s">
        <v>33</v>
      </c>
      <c r="D27" t="s">
        <v>86</v>
      </c>
      <c r="E27" t="s">
        <v>35</v>
      </c>
      <c r="F27">
        <v>4</v>
      </c>
      <c r="G27" t="s">
        <v>72</v>
      </c>
      <c r="H27" t="s">
        <v>112</v>
      </c>
      <c r="I27" t="s">
        <v>113</v>
      </c>
      <c r="J27" t="s">
        <v>113</v>
      </c>
      <c r="K27" t="s">
        <v>89</v>
      </c>
      <c r="L27" s="1">
        <v>0.629</v>
      </c>
      <c r="M27">
        <v>8.6199999999999992</v>
      </c>
      <c r="N27" s="2">
        <v>-0.86199999999999988</v>
      </c>
      <c r="O27" t="s">
        <v>90</v>
      </c>
      <c r="P27">
        <v>0.52</v>
      </c>
      <c r="Q27" s="1">
        <v>0.10899999999999999</v>
      </c>
      <c r="R27">
        <v>16.48</v>
      </c>
      <c r="S27" s="2">
        <v>-1.6480000000000001</v>
      </c>
      <c r="T27">
        <v>26.9267</v>
      </c>
      <c r="U27" s="8">
        <v>44.9</v>
      </c>
      <c r="V27" s="8">
        <v>565</v>
      </c>
      <c r="W27">
        <v>17.386768207459522</v>
      </c>
      <c r="X27">
        <v>0.20961538461538459</v>
      </c>
      <c r="Y27">
        <v>1.7386768207459521E-5</v>
      </c>
      <c r="Z27">
        <v>3.67640405783666E-6</v>
      </c>
      <c r="AA27" s="3">
        <v>3.6764040578366601</v>
      </c>
      <c r="AB27" s="3">
        <v>4.6773588522094895</v>
      </c>
      <c r="AC27">
        <v>26.9267</v>
      </c>
      <c r="AD27" s="8">
        <v>44.9</v>
      </c>
      <c r="AE27" s="8">
        <v>565</v>
      </c>
      <c r="AF27">
        <v>17.386768207459522</v>
      </c>
      <c r="AH27" s="5">
        <v>44806</v>
      </c>
      <c r="AI27" s="6" t="s">
        <v>32</v>
      </c>
      <c r="AJ27" s="6" t="s">
        <v>40</v>
      </c>
      <c r="AK27" t="s">
        <v>86</v>
      </c>
      <c r="AL27" t="s">
        <v>35</v>
      </c>
      <c r="AM27">
        <v>16</v>
      </c>
      <c r="AN27" t="s">
        <v>75</v>
      </c>
      <c r="AO27" t="s">
        <v>114</v>
      </c>
      <c r="AP27" t="s">
        <v>113</v>
      </c>
      <c r="AQ27" t="s">
        <v>113</v>
      </c>
      <c r="AR27" t="s">
        <v>92</v>
      </c>
      <c r="AS27" s="1">
        <v>0.76200000000000001</v>
      </c>
      <c r="AT27">
        <v>31.23</v>
      </c>
      <c r="AU27" s="1">
        <v>-3.1230000000000002</v>
      </c>
      <c r="AV27" t="s">
        <v>93</v>
      </c>
      <c r="AW27">
        <v>0.61099999999999999</v>
      </c>
      <c r="AX27" s="1">
        <v>0.15100000000000002</v>
      </c>
      <c r="AY27">
        <v>38.76</v>
      </c>
      <c r="AZ27" s="4">
        <v>-3.8759999999999999</v>
      </c>
      <c r="BA27">
        <v>35.566600000000001</v>
      </c>
      <c r="BB27" s="8">
        <v>44.9</v>
      </c>
      <c r="BC27" s="8">
        <v>565</v>
      </c>
      <c r="BD27">
        <v>21.29368639701223</v>
      </c>
      <c r="BE27">
        <v>0.24713584288052379</v>
      </c>
      <c r="BF27">
        <v>2.1293686397012231E-5</v>
      </c>
      <c r="BG27">
        <v>4.5025155993447043E-6</v>
      </c>
      <c r="BH27" s="3">
        <v>4.5025155993447044</v>
      </c>
      <c r="BI27" s="3">
        <v>5.9794363869119609</v>
      </c>
      <c r="BJ27">
        <v>35.566600000000001</v>
      </c>
      <c r="BK27">
        <v>44.9</v>
      </c>
      <c r="BL27">
        <v>565</v>
      </c>
      <c r="BM27">
        <v>21.29368639701223</v>
      </c>
      <c r="BN27" s="1">
        <f t="shared" si="0"/>
        <v>2.2610000000000001</v>
      </c>
      <c r="BO27" s="1">
        <f t="shared" si="1"/>
        <v>2.2279999999999998</v>
      </c>
      <c r="BP27">
        <f t="shared" si="2"/>
        <v>-3.9069181895527088</v>
      </c>
      <c r="BQ27" s="3">
        <f t="shared" si="3"/>
        <v>-1.3020775347024713</v>
      </c>
      <c r="BR27" s="3">
        <f t="shared" si="4"/>
        <v>-0.82611154150804422</v>
      </c>
    </row>
    <row r="28" spans="1:70" x14ac:dyDescent="0.35">
      <c r="A28" s="5">
        <v>44720</v>
      </c>
      <c r="B28" t="s">
        <v>32</v>
      </c>
      <c r="C28" t="s">
        <v>33</v>
      </c>
      <c r="D28" t="s">
        <v>86</v>
      </c>
      <c r="E28" t="s">
        <v>35</v>
      </c>
      <c r="F28">
        <v>16</v>
      </c>
      <c r="G28" t="s">
        <v>75</v>
      </c>
      <c r="H28" t="s">
        <v>114</v>
      </c>
      <c r="I28" t="s">
        <v>115</v>
      </c>
      <c r="J28" t="s">
        <v>115</v>
      </c>
      <c r="K28" t="s">
        <v>95</v>
      </c>
      <c r="L28" s="1">
        <v>0.70599999999999996</v>
      </c>
      <c r="M28">
        <v>5.54</v>
      </c>
      <c r="N28" s="2">
        <v>-0.55400000000000005</v>
      </c>
      <c r="O28" t="s">
        <v>96</v>
      </c>
      <c r="P28">
        <v>0.55100000000000005</v>
      </c>
      <c r="Q28" s="1">
        <v>0.15499999999999992</v>
      </c>
      <c r="R28">
        <v>13.01</v>
      </c>
      <c r="S28" s="2">
        <v>-1.3009999999999999</v>
      </c>
      <c r="T28">
        <v>26.9267</v>
      </c>
      <c r="U28" s="8">
        <v>77.599999999999994</v>
      </c>
      <c r="W28">
        <v>24.973974483551032</v>
      </c>
      <c r="X28">
        <v>0.28130671506352067</v>
      </c>
      <c r="Y28">
        <v>2.4973974483551032E-5</v>
      </c>
      <c r="Z28">
        <v>1.6539243519425279E-5</v>
      </c>
      <c r="AA28" s="3">
        <v>16.53924351942528</v>
      </c>
      <c r="AB28" s="3">
        <v>22.140888245549242</v>
      </c>
      <c r="AC28">
        <v>26.9267</v>
      </c>
      <c r="AD28" s="8">
        <v>77.599999999999994</v>
      </c>
      <c r="AF28">
        <v>24.973974483551032</v>
      </c>
      <c r="AH28" s="5">
        <v>44806</v>
      </c>
      <c r="AI28" s="6" t="s">
        <v>32</v>
      </c>
      <c r="AJ28" s="6" t="s">
        <v>40</v>
      </c>
      <c r="AK28" t="s">
        <v>86</v>
      </c>
      <c r="AL28" t="s">
        <v>35</v>
      </c>
      <c r="AM28">
        <v>8</v>
      </c>
      <c r="AN28" t="s">
        <v>75</v>
      </c>
      <c r="AO28" t="s">
        <v>116</v>
      </c>
      <c r="AP28" t="s">
        <v>115</v>
      </c>
      <c r="AQ28" t="s">
        <v>115</v>
      </c>
      <c r="AR28" t="s">
        <v>41</v>
      </c>
      <c r="AS28" s="1">
        <v>0.74299999999999999</v>
      </c>
      <c r="AT28">
        <v>23.23</v>
      </c>
      <c r="AU28" s="1">
        <v>-2.323</v>
      </c>
      <c r="AV28" t="s">
        <v>98</v>
      </c>
      <c r="AW28">
        <v>0.67400000000000004</v>
      </c>
      <c r="AX28" s="1">
        <v>6.899999999999995E-2</v>
      </c>
      <c r="AY28">
        <v>26.76</v>
      </c>
      <c r="AZ28" s="4">
        <v>-2.6760000000000002</v>
      </c>
      <c r="BA28">
        <v>35.566600000000001</v>
      </c>
      <c r="BB28" s="8">
        <v>77.599999999999994</v>
      </c>
      <c r="BD28">
        <v>7.1959785390372151</v>
      </c>
      <c r="BE28">
        <v>0.10237388724035601</v>
      </c>
      <c r="BF28">
        <v>7.1959785390372148E-6</v>
      </c>
      <c r="BG28">
        <v>4.7656027476156782E-6</v>
      </c>
      <c r="BH28" s="3">
        <v>4.7656027476156781</v>
      </c>
      <c r="BI28" s="3">
        <v>13.500291069732791</v>
      </c>
      <c r="BJ28">
        <v>35.566600000000001</v>
      </c>
      <c r="BK28">
        <v>77.599999999999994</v>
      </c>
      <c r="BM28">
        <v>7.1959785390372151</v>
      </c>
      <c r="BN28" s="1">
        <f t="shared" si="0"/>
        <v>1.7689999999999999</v>
      </c>
      <c r="BO28" s="1">
        <f t="shared" si="1"/>
        <v>1.3750000000000002</v>
      </c>
      <c r="BP28">
        <f t="shared" si="2"/>
        <v>17.777995944513819</v>
      </c>
      <c r="BQ28" s="3">
        <f t="shared" si="3"/>
        <v>8.6405971758164508</v>
      </c>
      <c r="BR28" s="3">
        <f t="shared" si="4"/>
        <v>11.773640771809603</v>
      </c>
    </row>
    <row r="29" spans="1:70" x14ac:dyDescent="0.35">
      <c r="A29" s="5">
        <v>44720</v>
      </c>
      <c r="B29" t="s">
        <v>32</v>
      </c>
      <c r="C29" t="s">
        <v>33</v>
      </c>
      <c r="D29" t="s">
        <v>86</v>
      </c>
      <c r="E29" t="s">
        <v>35</v>
      </c>
      <c r="F29">
        <v>8</v>
      </c>
      <c r="G29" t="s">
        <v>75</v>
      </c>
      <c r="H29" t="s">
        <v>116</v>
      </c>
      <c r="I29" t="s">
        <v>117</v>
      </c>
      <c r="J29" t="s">
        <v>117</v>
      </c>
      <c r="K29" t="s">
        <v>89</v>
      </c>
      <c r="L29" s="1">
        <v>0.73599999999999999</v>
      </c>
      <c r="M29">
        <v>7.09</v>
      </c>
      <c r="N29" s="2">
        <v>-0.70899999999999996</v>
      </c>
      <c r="O29" t="s">
        <v>90</v>
      </c>
      <c r="P29">
        <v>0.65400000000000003</v>
      </c>
      <c r="Q29" s="1">
        <v>8.1999999999999962E-2</v>
      </c>
      <c r="R29">
        <v>15.18</v>
      </c>
      <c r="S29" s="2">
        <v>-1.518</v>
      </c>
      <c r="T29">
        <v>26.9267</v>
      </c>
      <c r="U29" s="8">
        <v>39.1</v>
      </c>
      <c r="V29">
        <v>510</v>
      </c>
      <c r="W29">
        <v>9.2358230894186395</v>
      </c>
      <c r="X29">
        <v>0.12538226299694183</v>
      </c>
      <c r="Y29">
        <v>9.2358230894186392E-6</v>
      </c>
      <c r="Z29">
        <v>1.8270595240332964E-6</v>
      </c>
      <c r="AA29" s="3">
        <v>1.8270595240332965</v>
      </c>
      <c r="AB29" s="3">
        <v>2.2584172114132217</v>
      </c>
      <c r="AC29">
        <v>26.9267</v>
      </c>
      <c r="AD29" s="8">
        <v>39.1</v>
      </c>
      <c r="AE29">
        <v>510</v>
      </c>
      <c r="AF29">
        <v>9.2358230894186395</v>
      </c>
      <c r="AH29" s="5">
        <v>44806</v>
      </c>
      <c r="AI29" s="6" t="s">
        <v>32</v>
      </c>
      <c r="AJ29" s="6" t="s">
        <v>40</v>
      </c>
      <c r="AK29" t="s">
        <v>86</v>
      </c>
      <c r="AL29" t="s">
        <v>35</v>
      </c>
      <c r="AM29">
        <v>9</v>
      </c>
      <c r="AN29" t="s">
        <v>78</v>
      </c>
      <c r="AO29" t="s">
        <v>54</v>
      </c>
      <c r="AP29" t="s">
        <v>117</v>
      </c>
      <c r="AQ29" t="s">
        <v>117</v>
      </c>
      <c r="AR29" t="s">
        <v>92</v>
      </c>
      <c r="AS29" s="1">
        <v>0.71399999999999997</v>
      </c>
      <c r="AT29">
        <v>16.149999999999999</v>
      </c>
      <c r="AU29" s="1">
        <v>-1.6149999999999998</v>
      </c>
      <c r="AV29" t="s">
        <v>93</v>
      </c>
      <c r="AW29">
        <v>0.71899999999999997</v>
      </c>
      <c r="AX29" s="1">
        <v>-5.0000000000000044E-3</v>
      </c>
      <c r="AY29">
        <v>26.56</v>
      </c>
      <c r="AZ29" s="4">
        <v>-2.6559999999999997</v>
      </c>
      <c r="BA29">
        <v>35.566600000000001</v>
      </c>
      <c r="BB29" s="8">
        <v>39.1</v>
      </c>
      <c r="BC29">
        <v>510</v>
      </c>
      <c r="BD29">
        <v>0.26489669390492082</v>
      </c>
      <c r="BE29">
        <v>7.0028011204481856E-3</v>
      </c>
      <c r="BF29">
        <v>2.6489669390492084E-7</v>
      </c>
      <c r="BG29">
        <v>5.2402695763890312E-8</v>
      </c>
      <c r="BH29" s="3">
        <v>5.2402695763890311E-2</v>
      </c>
      <c r="BI29" s="3">
        <v>5.0338804768386466E-2</v>
      </c>
      <c r="BJ29">
        <v>35.566600000000001</v>
      </c>
      <c r="BK29">
        <v>39.1</v>
      </c>
      <c r="BL29">
        <v>510</v>
      </c>
      <c r="BM29">
        <v>0.26489669390492082</v>
      </c>
      <c r="BN29" s="1">
        <f t="shared" si="0"/>
        <v>0.90599999999999981</v>
      </c>
      <c r="BO29" s="1">
        <f t="shared" si="1"/>
        <v>1.1379999999999997</v>
      </c>
      <c r="BP29">
        <f t="shared" si="2"/>
        <v>8.9709263955137182</v>
      </c>
      <c r="BQ29" s="3">
        <f t="shared" si="3"/>
        <v>2.2080784066448351</v>
      </c>
      <c r="BR29" s="3">
        <f t="shared" si="4"/>
        <v>1.7746568282694062</v>
      </c>
    </row>
    <row r="30" spans="1:70" x14ac:dyDescent="0.35">
      <c r="A30" s="5">
        <v>44720</v>
      </c>
      <c r="B30" t="s">
        <v>32</v>
      </c>
      <c r="C30" t="s">
        <v>33</v>
      </c>
      <c r="D30" t="s">
        <v>86</v>
      </c>
      <c r="E30" t="s">
        <v>35</v>
      </c>
      <c r="F30">
        <v>15</v>
      </c>
      <c r="G30" t="s">
        <v>78</v>
      </c>
      <c r="H30" t="s">
        <v>54</v>
      </c>
      <c r="I30" t="s">
        <v>118</v>
      </c>
      <c r="J30" t="s">
        <v>118</v>
      </c>
      <c r="K30" t="s">
        <v>95</v>
      </c>
      <c r="L30" s="1" t="s">
        <v>64</v>
      </c>
      <c r="M30">
        <v>8.52</v>
      </c>
      <c r="N30" s="2">
        <v>-0.85199999999999998</v>
      </c>
      <c r="O30" t="s">
        <v>96</v>
      </c>
      <c r="P30" t="s">
        <v>119</v>
      </c>
      <c r="Q30" s="1" t="e">
        <v>#VALUE!</v>
      </c>
      <c r="R30">
        <v>4.13</v>
      </c>
      <c r="S30" s="2">
        <v>-0.41299999999999998</v>
      </c>
      <c r="T30">
        <v>26.9267</v>
      </c>
      <c r="U30" s="8">
        <v>135</v>
      </c>
      <c r="V30">
        <v>770</v>
      </c>
      <c r="W30" t="e">
        <v>#VALUE!</v>
      </c>
      <c r="X30" t="s">
        <v>109</v>
      </c>
      <c r="Y30" t="s">
        <v>64</v>
      </c>
      <c r="Z30" t="s">
        <v>64</v>
      </c>
      <c r="AA30" s="3" t="s">
        <v>64</v>
      </c>
      <c r="AB30" s="3" t="s">
        <v>64</v>
      </c>
      <c r="AC30">
        <v>26.9267</v>
      </c>
      <c r="AD30" s="8">
        <v>135</v>
      </c>
      <c r="AE30">
        <v>770</v>
      </c>
      <c r="AF30" t="e">
        <v>#VALUE!</v>
      </c>
      <c r="AH30" s="5">
        <v>44806</v>
      </c>
      <c r="AI30" s="6" t="s">
        <v>32</v>
      </c>
      <c r="AJ30" s="6" t="s">
        <v>40</v>
      </c>
      <c r="AK30" t="s">
        <v>86</v>
      </c>
      <c r="AL30" t="s">
        <v>35</v>
      </c>
      <c r="AM30">
        <v>15</v>
      </c>
      <c r="AN30" t="s">
        <v>78</v>
      </c>
      <c r="AO30" t="s">
        <v>120</v>
      </c>
      <c r="AP30" t="s">
        <v>118</v>
      </c>
      <c r="AQ30" t="s">
        <v>118</v>
      </c>
      <c r="AR30" t="s">
        <v>41</v>
      </c>
      <c r="AS30" s="1">
        <v>0.71499999999999997</v>
      </c>
      <c r="AT30">
        <v>10.82</v>
      </c>
      <c r="AU30" s="1">
        <v>-1.0820000000000001</v>
      </c>
      <c r="AV30" t="s">
        <v>98</v>
      </c>
      <c r="AW30">
        <v>0.65800000000000003</v>
      </c>
      <c r="AX30" s="1">
        <v>5.699999999999994E-2</v>
      </c>
      <c r="AY30">
        <v>12.17</v>
      </c>
      <c r="AZ30" s="4">
        <v>-1.2170000000000001</v>
      </c>
      <c r="BA30">
        <v>35.566600000000001</v>
      </c>
      <c r="BB30" s="8">
        <v>135</v>
      </c>
      <c r="BC30">
        <v>770</v>
      </c>
      <c r="BD30">
        <v>5.8585863269711362</v>
      </c>
      <c r="BE30">
        <v>8.662613981762908E-2</v>
      </c>
      <c r="BF30">
        <v>5.8585863269711358E-6</v>
      </c>
      <c r="BG30">
        <v>1.0850379340198989E-5</v>
      </c>
      <c r="BH30" s="3">
        <v>10.850379340198989</v>
      </c>
      <c r="BI30" s="3">
        <v>80.37318029777029</v>
      </c>
      <c r="BJ30">
        <v>35.566600000000001</v>
      </c>
      <c r="BK30">
        <v>135</v>
      </c>
      <c r="BL30">
        <v>770</v>
      </c>
      <c r="BM30">
        <v>5.8585863269711362</v>
      </c>
      <c r="BN30" s="1">
        <f t="shared" si="0"/>
        <v>0.23000000000000009</v>
      </c>
      <c r="BO30" s="1">
        <f t="shared" si="1"/>
        <v>0.80400000000000005</v>
      </c>
      <c r="BP30" t="e">
        <f t="shared" si="2"/>
        <v>#VALUE!</v>
      </c>
      <c r="BQ30" s="3" t="e">
        <f t="shared" si="3"/>
        <v>#VALUE!</v>
      </c>
      <c r="BR30" s="3" t="e">
        <f t="shared" si="4"/>
        <v>#VALUE!</v>
      </c>
    </row>
    <row r="31" spans="1:70" x14ac:dyDescent="0.35">
      <c r="A31" s="5">
        <v>44720</v>
      </c>
      <c r="B31" t="s">
        <v>32</v>
      </c>
      <c r="C31" t="s">
        <v>33</v>
      </c>
      <c r="D31" t="s">
        <v>86</v>
      </c>
      <c r="E31" t="s">
        <v>35</v>
      </c>
      <c r="F31">
        <v>11</v>
      </c>
      <c r="G31" t="s">
        <v>78</v>
      </c>
      <c r="H31" t="s">
        <v>120</v>
      </c>
      <c r="I31" t="s">
        <v>121</v>
      </c>
      <c r="J31" t="s">
        <v>121</v>
      </c>
      <c r="K31" t="s">
        <v>95</v>
      </c>
      <c r="L31" s="1">
        <v>0.54900000000000004</v>
      </c>
      <c r="M31">
        <v>6.83</v>
      </c>
      <c r="N31" s="2">
        <v>-0.68300000000000005</v>
      </c>
      <c r="O31" t="s">
        <v>96</v>
      </c>
      <c r="P31">
        <v>0.69399999999999995</v>
      </c>
      <c r="Q31" s="1">
        <v>-0.14499999999999991</v>
      </c>
      <c r="R31">
        <v>9.06</v>
      </c>
      <c r="S31" s="2">
        <v>-0.90600000000000003</v>
      </c>
      <c r="T31">
        <v>26.9267</v>
      </c>
      <c r="U31" s="8">
        <v>125.1</v>
      </c>
      <c r="V31">
        <v>751</v>
      </c>
      <c r="W31">
        <v>23.10880118243707</v>
      </c>
      <c r="X31">
        <v>0.26411657559198526</v>
      </c>
      <c r="Y31">
        <v>2.3108801182437071E-5</v>
      </c>
      <c r="Z31">
        <v>3.4421539318840158E-5</v>
      </c>
      <c r="AA31" s="3">
        <v>34.421539318840161</v>
      </c>
      <c r="AB31" s="3">
        <v>154.35667855982138</v>
      </c>
      <c r="AC31">
        <v>26.9267</v>
      </c>
      <c r="AD31" s="8">
        <v>125.1</v>
      </c>
      <c r="AE31">
        <v>751</v>
      </c>
      <c r="AF31">
        <v>23.10880118243707</v>
      </c>
      <c r="AH31" s="5">
        <v>44806</v>
      </c>
      <c r="AI31" s="6" t="s">
        <v>32</v>
      </c>
      <c r="AJ31" s="6" t="s">
        <v>40</v>
      </c>
      <c r="AK31" t="s">
        <v>86</v>
      </c>
      <c r="AL31" t="s">
        <v>35</v>
      </c>
      <c r="AM31">
        <v>3</v>
      </c>
      <c r="AN31" t="s">
        <v>81</v>
      </c>
      <c r="AO31" t="s">
        <v>56</v>
      </c>
      <c r="AP31" t="s">
        <v>121</v>
      </c>
      <c r="AQ31" t="s">
        <v>121</v>
      </c>
      <c r="AR31" t="s">
        <v>41</v>
      </c>
      <c r="AS31" s="1">
        <v>0.94499999999999995</v>
      </c>
      <c r="AT31">
        <v>9.56</v>
      </c>
      <c r="AU31" s="1">
        <v>-0.95600000000000007</v>
      </c>
      <c r="AV31" t="s">
        <v>98</v>
      </c>
      <c r="AW31">
        <v>1.0840000000000001</v>
      </c>
      <c r="AX31" s="1">
        <v>-0.13900000000000012</v>
      </c>
      <c r="AY31">
        <v>12.87</v>
      </c>
      <c r="AZ31" s="4">
        <v>-1.2869999999999999</v>
      </c>
      <c r="BA31">
        <v>35.566600000000001</v>
      </c>
      <c r="BB31" s="8">
        <v>125.1</v>
      </c>
      <c r="BC31">
        <v>751</v>
      </c>
      <c r="BD31">
        <v>11.241949348954066</v>
      </c>
      <c r="BE31">
        <v>0.14708994708994722</v>
      </c>
      <c r="BF31">
        <v>1.1241949348954066E-5</v>
      </c>
      <c r="BG31">
        <v>1.6745360284181662E-5</v>
      </c>
      <c r="BH31" s="3">
        <v>16.745360284181661</v>
      </c>
      <c r="BI31" s="3">
        <v>50.590212338917425</v>
      </c>
      <c r="BJ31">
        <v>35.566600000000001</v>
      </c>
      <c r="BK31">
        <v>125.1</v>
      </c>
      <c r="BL31">
        <v>751</v>
      </c>
      <c r="BM31">
        <v>11.241949348954066</v>
      </c>
      <c r="BN31" s="1">
        <f t="shared" si="0"/>
        <v>0.27300000000000002</v>
      </c>
      <c r="BO31" s="1">
        <f t="shared" si="1"/>
        <v>0.38099999999999989</v>
      </c>
      <c r="BP31">
        <f t="shared" si="2"/>
        <v>11.866851833483004</v>
      </c>
      <c r="BQ31" s="3">
        <f t="shared" si="3"/>
        <v>103.76646622090395</v>
      </c>
      <c r="BR31" s="3">
        <f t="shared" si="4"/>
        <v>17.676179034658499</v>
      </c>
    </row>
    <row r="32" spans="1:70" x14ac:dyDescent="0.35">
      <c r="A32" s="5">
        <v>44720</v>
      </c>
      <c r="B32" t="s">
        <v>32</v>
      </c>
      <c r="C32" t="s">
        <v>33</v>
      </c>
      <c r="D32" t="s">
        <v>86</v>
      </c>
      <c r="E32" t="s">
        <v>35</v>
      </c>
      <c r="F32">
        <v>5</v>
      </c>
      <c r="G32" t="s">
        <v>81</v>
      </c>
      <c r="H32" t="s">
        <v>56</v>
      </c>
      <c r="I32" t="s">
        <v>122</v>
      </c>
      <c r="J32" t="s">
        <v>122</v>
      </c>
      <c r="K32" t="s">
        <v>89</v>
      </c>
      <c r="L32" s="1">
        <v>0.78200000000000003</v>
      </c>
      <c r="M32">
        <v>9.06</v>
      </c>
      <c r="N32" s="2">
        <v>-0.90600000000000003</v>
      </c>
      <c r="O32" t="s">
        <v>90</v>
      </c>
      <c r="P32">
        <v>0.84599999999999997</v>
      </c>
      <c r="Q32" s="1">
        <v>-6.3999999999999946E-2</v>
      </c>
      <c r="R32">
        <v>14.78</v>
      </c>
      <c r="S32" s="2">
        <v>-1.478</v>
      </c>
      <c r="T32">
        <v>26.9267</v>
      </c>
      <c r="U32" s="8">
        <v>19.8</v>
      </c>
      <c r="V32">
        <v>320</v>
      </c>
      <c r="W32">
        <v>5.4628213284182099</v>
      </c>
      <c r="X32">
        <v>8.1841432225063862E-2</v>
      </c>
      <c r="Y32">
        <v>5.4628213284182097E-6</v>
      </c>
      <c r="Z32">
        <v>6.0465345081465524E-7</v>
      </c>
      <c r="AA32" s="3">
        <v>0.60465345081465527</v>
      </c>
      <c r="AB32" s="3">
        <v>1.0570864524731736</v>
      </c>
      <c r="AC32">
        <v>26.9267</v>
      </c>
      <c r="AD32" s="8">
        <v>19.8</v>
      </c>
      <c r="AE32">
        <v>320</v>
      </c>
      <c r="AF32">
        <v>5.4628213284182099</v>
      </c>
      <c r="AH32" s="5">
        <v>44806</v>
      </c>
      <c r="AI32" s="6" t="s">
        <v>32</v>
      </c>
      <c r="AJ32" s="6" t="s">
        <v>40</v>
      </c>
      <c r="AK32" t="s">
        <v>123</v>
      </c>
      <c r="AL32" t="s">
        <v>124</v>
      </c>
      <c r="AM32">
        <v>13</v>
      </c>
      <c r="AN32" t="s">
        <v>36</v>
      </c>
      <c r="AO32" t="s">
        <v>125</v>
      </c>
      <c r="AP32" t="s">
        <v>122</v>
      </c>
      <c r="AQ32" t="s">
        <v>122</v>
      </c>
      <c r="AR32" t="s">
        <v>92</v>
      </c>
      <c r="AS32" s="1">
        <v>0.89400000000000002</v>
      </c>
      <c r="AT32">
        <v>19.670000000000002</v>
      </c>
      <c r="AU32" s="1">
        <v>-1.9670000000000001</v>
      </c>
      <c r="AV32" t="s">
        <v>93</v>
      </c>
      <c r="AW32">
        <v>0.83099999999999996</v>
      </c>
      <c r="AX32" s="1">
        <v>6.3000000000000056E-2</v>
      </c>
      <c r="AY32">
        <v>26.01</v>
      </c>
      <c r="AZ32" s="4">
        <v>-2.601</v>
      </c>
      <c r="BA32">
        <v>35.566600000000001</v>
      </c>
      <c r="BB32" s="8">
        <v>19.8</v>
      </c>
      <c r="BC32">
        <v>320</v>
      </c>
      <c r="BD32">
        <v>4.9717160581027882</v>
      </c>
      <c r="BE32">
        <v>7.5812274368231111E-2</v>
      </c>
      <c r="BF32">
        <v>4.9717160581027881E-6</v>
      </c>
      <c r="BG32">
        <v>5.5029536759038342E-7</v>
      </c>
      <c r="BH32" s="3">
        <v>0.55029536759038344</v>
      </c>
      <c r="BI32" s="3">
        <v>0.86797376591543141</v>
      </c>
      <c r="BJ32">
        <v>35.566600000000001</v>
      </c>
      <c r="BK32">
        <v>19.8</v>
      </c>
      <c r="BL32">
        <v>320</v>
      </c>
      <c r="BM32">
        <v>4.9717160581027882</v>
      </c>
      <c r="BN32" s="1">
        <f t="shared" si="0"/>
        <v>1.0609999999999999</v>
      </c>
      <c r="BO32" s="1">
        <f t="shared" si="1"/>
        <v>1.123</v>
      </c>
      <c r="BP32">
        <f t="shared" si="2"/>
        <v>0.49110527031542173</v>
      </c>
      <c r="BQ32" s="3">
        <f t="shared" si="3"/>
        <v>0.18911268655774216</v>
      </c>
      <c r="BR32" s="3">
        <f t="shared" si="4"/>
        <v>5.4358083224271825E-2</v>
      </c>
    </row>
    <row r="33" spans="1:70" x14ac:dyDescent="0.35">
      <c r="A33" s="5">
        <v>44721</v>
      </c>
      <c r="B33" t="s">
        <v>32</v>
      </c>
      <c r="C33" t="s">
        <v>33</v>
      </c>
      <c r="D33" t="s">
        <v>123</v>
      </c>
      <c r="E33" t="s">
        <v>124</v>
      </c>
      <c r="F33">
        <v>6</v>
      </c>
      <c r="G33" t="s">
        <v>36</v>
      </c>
      <c r="H33" t="s">
        <v>125</v>
      </c>
      <c r="I33" t="s">
        <v>126</v>
      </c>
      <c r="J33" t="s">
        <v>126</v>
      </c>
      <c r="K33" t="s">
        <v>127</v>
      </c>
      <c r="L33" s="1">
        <v>0.63400000000000001</v>
      </c>
      <c r="M33">
        <v>2.34</v>
      </c>
      <c r="N33" s="2">
        <v>-0.23399999999999999</v>
      </c>
      <c r="O33" t="s">
        <v>128</v>
      </c>
      <c r="P33">
        <v>0.499</v>
      </c>
      <c r="Q33" s="1">
        <v>0.13500000000000001</v>
      </c>
      <c r="R33">
        <v>8.7899999999999991</v>
      </c>
      <c r="S33" s="2">
        <v>-0.87899999999999989</v>
      </c>
      <c r="T33">
        <v>24.548100000000002</v>
      </c>
      <c r="U33" s="8">
        <v>78.599999999999994</v>
      </c>
      <c r="V33">
        <v>701</v>
      </c>
      <c r="W33">
        <v>23.802690999676617</v>
      </c>
      <c r="X33">
        <v>0.27054108216432865</v>
      </c>
      <c r="Y33">
        <v>2.3802690999676617E-5</v>
      </c>
      <c r="Z33">
        <v>8.999422812621396E-6</v>
      </c>
      <c r="AA33" s="3">
        <v>8.9994228126213969</v>
      </c>
      <c r="AB33" s="3">
        <v>13.952593507940152</v>
      </c>
      <c r="AC33">
        <v>24.548100000000002</v>
      </c>
      <c r="AD33" s="8">
        <v>78.599999999999994</v>
      </c>
      <c r="AE33">
        <v>701</v>
      </c>
      <c r="AF33">
        <v>23.802690999676617</v>
      </c>
      <c r="AH33" s="5">
        <v>44806</v>
      </c>
      <c r="AI33" s="6" t="s">
        <v>32</v>
      </c>
      <c r="AJ33" s="6" t="s">
        <v>40</v>
      </c>
      <c r="AK33" t="s">
        <v>123</v>
      </c>
      <c r="AL33" t="s">
        <v>124</v>
      </c>
      <c r="AM33">
        <v>14</v>
      </c>
      <c r="AN33" t="s">
        <v>43</v>
      </c>
      <c r="AO33" t="s">
        <v>129</v>
      </c>
      <c r="AP33" t="s">
        <v>126</v>
      </c>
      <c r="AQ33" t="s">
        <v>126</v>
      </c>
      <c r="AR33" t="s">
        <v>130</v>
      </c>
      <c r="AS33" s="1">
        <v>0.79100000000000004</v>
      </c>
      <c r="AT33">
        <v>9.34</v>
      </c>
      <c r="AU33" s="1">
        <v>-0.93399999999999994</v>
      </c>
      <c r="AV33" t="s">
        <v>128</v>
      </c>
      <c r="AW33">
        <v>0.63600000000000001</v>
      </c>
      <c r="AX33" s="1">
        <v>0.15500000000000003</v>
      </c>
      <c r="AY33">
        <v>14.38</v>
      </c>
      <c r="AZ33" s="4">
        <v>-1.4380000000000002</v>
      </c>
      <c r="BA33">
        <v>35.566600000000001</v>
      </c>
      <c r="BB33" s="8">
        <v>78.599999999999994</v>
      </c>
      <c r="BC33">
        <v>701</v>
      </c>
      <c r="BD33">
        <v>20.93098047017677</v>
      </c>
      <c r="BE33">
        <v>0.2437106918238994</v>
      </c>
      <c r="BF33">
        <v>2.093098047017677E-5</v>
      </c>
      <c r="BG33">
        <v>7.9136742621412378E-6</v>
      </c>
      <c r="BH33" s="3">
        <v>7.9136742621412379</v>
      </c>
      <c r="BI33" s="3">
        <v>15.701734647105624</v>
      </c>
      <c r="BJ33">
        <v>35.566600000000001</v>
      </c>
      <c r="BK33">
        <v>78.599999999999994</v>
      </c>
      <c r="BL33">
        <v>701</v>
      </c>
      <c r="BM33">
        <v>20.93098047017677</v>
      </c>
      <c r="BN33" s="1">
        <f t="shared" si="0"/>
        <v>0.7</v>
      </c>
      <c r="BO33" s="1">
        <f t="shared" si="1"/>
        <v>0.55900000000000027</v>
      </c>
      <c r="BP33">
        <f t="shared" si="2"/>
        <v>2.8717105294998468</v>
      </c>
      <c r="BQ33" s="3">
        <f t="shared" si="3"/>
        <v>-1.7491411391654719</v>
      </c>
      <c r="BR33" s="3">
        <f t="shared" si="4"/>
        <v>1.0857485504801589</v>
      </c>
    </row>
    <row r="34" spans="1:70" x14ac:dyDescent="0.35">
      <c r="A34" s="5">
        <v>44721</v>
      </c>
      <c r="B34" t="s">
        <v>32</v>
      </c>
      <c r="C34" t="s">
        <v>33</v>
      </c>
      <c r="D34" t="s">
        <v>123</v>
      </c>
      <c r="E34" t="s">
        <v>124</v>
      </c>
      <c r="F34">
        <v>12</v>
      </c>
      <c r="G34" t="s">
        <v>43</v>
      </c>
      <c r="H34" t="s">
        <v>129</v>
      </c>
      <c r="I34" t="s">
        <v>131</v>
      </c>
      <c r="J34" t="s">
        <v>131</v>
      </c>
      <c r="K34" t="s">
        <v>127</v>
      </c>
      <c r="L34" s="1">
        <v>0.54900000000000004</v>
      </c>
      <c r="M34">
        <v>5.56</v>
      </c>
      <c r="N34" s="2">
        <v>-0.55599999999999994</v>
      </c>
      <c r="O34" t="s">
        <v>132</v>
      </c>
      <c r="P34">
        <v>0.31</v>
      </c>
      <c r="Q34" s="1">
        <v>0.23900000000000005</v>
      </c>
      <c r="R34">
        <v>3.81</v>
      </c>
      <c r="S34" s="2">
        <v>-0.38100000000000001</v>
      </c>
      <c r="T34">
        <v>24.548100000000002</v>
      </c>
      <c r="U34" s="8">
        <v>125</v>
      </c>
      <c r="V34">
        <v>776</v>
      </c>
      <c r="W34">
        <v>86.394984757957758</v>
      </c>
      <c r="X34">
        <v>0.77096774193548401</v>
      </c>
      <c r="Y34">
        <v>8.6394984757957755E-5</v>
      </c>
      <c r="Z34">
        <v>9.0708808703819744E-5</v>
      </c>
      <c r="AA34" s="3">
        <v>90.708808703819741</v>
      </c>
      <c r="AB34" s="3">
        <v>518.33604973611295</v>
      </c>
      <c r="AC34">
        <v>24.548100000000002</v>
      </c>
      <c r="AD34" s="8">
        <v>125</v>
      </c>
      <c r="AE34">
        <v>776</v>
      </c>
      <c r="AF34">
        <v>86.394984757957758</v>
      </c>
      <c r="AH34" s="5">
        <v>44806</v>
      </c>
      <c r="AI34" s="6" t="s">
        <v>32</v>
      </c>
      <c r="AJ34" s="6" t="s">
        <v>40</v>
      </c>
      <c r="AK34" t="s">
        <v>123</v>
      </c>
      <c r="AL34" t="s">
        <v>124</v>
      </c>
      <c r="AM34">
        <v>3</v>
      </c>
      <c r="AN34" t="s">
        <v>43</v>
      </c>
      <c r="AO34" t="s">
        <v>133</v>
      </c>
      <c r="AP34" t="s">
        <v>131</v>
      </c>
      <c r="AQ34" t="s">
        <v>131</v>
      </c>
      <c r="AR34" t="s">
        <v>130</v>
      </c>
      <c r="AS34" s="1">
        <v>0.58199999999999996</v>
      </c>
      <c r="AT34">
        <v>4.6100000000000003</v>
      </c>
      <c r="AU34" s="1">
        <v>-0.46100000000000002</v>
      </c>
      <c r="AV34" t="s">
        <v>128</v>
      </c>
      <c r="AW34">
        <v>0.36099999999999999</v>
      </c>
      <c r="AX34" s="1">
        <v>0.22099999999999997</v>
      </c>
      <c r="AY34">
        <v>10.23</v>
      </c>
      <c r="AZ34" s="4">
        <v>-1.0230000000000001</v>
      </c>
      <c r="BA34">
        <v>35.566600000000001</v>
      </c>
      <c r="BB34" s="8">
        <v>125</v>
      </c>
      <c r="BC34">
        <v>776</v>
      </c>
      <c r="BD34">
        <v>65.043287642574242</v>
      </c>
      <c r="BE34">
        <v>0.61218836565096946</v>
      </c>
      <c r="BF34">
        <v>6.5043287642574236E-5</v>
      </c>
      <c r="BG34">
        <v>6.8290991112124092E-5</v>
      </c>
      <c r="BH34" s="3">
        <v>68.29099111212409</v>
      </c>
      <c r="BI34" s="3">
        <v>121.51421906071901</v>
      </c>
      <c r="BJ34">
        <v>35.566600000000001</v>
      </c>
      <c r="BK34">
        <v>125</v>
      </c>
      <c r="BL34">
        <v>776</v>
      </c>
      <c r="BM34">
        <v>65.043287642574242</v>
      </c>
      <c r="BN34" s="1">
        <f t="shared" si="0"/>
        <v>-9.4999999999999918E-2</v>
      </c>
      <c r="BO34" s="1">
        <f t="shared" si="1"/>
        <v>0.64200000000000013</v>
      </c>
      <c r="BP34">
        <f t="shared" si="2"/>
        <v>21.351697115383516</v>
      </c>
      <c r="BQ34" s="3">
        <f t="shared" si="3"/>
        <v>396.82183067539393</v>
      </c>
      <c r="BR34" s="3">
        <f t="shared" si="4"/>
        <v>22.417817591695652</v>
      </c>
    </row>
    <row r="35" spans="1:70" x14ac:dyDescent="0.35">
      <c r="A35" s="12">
        <v>44721</v>
      </c>
      <c r="B35" s="13" t="s">
        <v>32</v>
      </c>
      <c r="C35" s="13" t="s">
        <v>33</v>
      </c>
      <c r="D35" s="13" t="s">
        <v>123</v>
      </c>
      <c r="E35" s="13" t="s">
        <v>124</v>
      </c>
      <c r="F35" s="13">
        <v>3</v>
      </c>
      <c r="G35" s="13" t="s">
        <v>43</v>
      </c>
      <c r="H35" s="13" t="s">
        <v>129</v>
      </c>
      <c r="I35" s="13" t="s">
        <v>131</v>
      </c>
      <c r="J35" s="13" t="s">
        <v>131</v>
      </c>
      <c r="K35" s="13" t="s">
        <v>127</v>
      </c>
      <c r="L35" s="7">
        <v>0.46200000000000002</v>
      </c>
      <c r="M35" s="13">
        <v>1.85</v>
      </c>
      <c r="N35" s="14">
        <v>-0.185</v>
      </c>
      <c r="O35" s="13" t="s">
        <v>128</v>
      </c>
      <c r="P35" s="13">
        <v>0.27400000000000002</v>
      </c>
      <c r="Q35" s="7">
        <v>0.188</v>
      </c>
      <c r="R35" s="13">
        <v>2.5099999999999998</v>
      </c>
      <c r="S35" s="14">
        <v>-0.251</v>
      </c>
      <c r="T35">
        <v>24.548100000000002</v>
      </c>
      <c r="U35" s="8">
        <v>125</v>
      </c>
      <c r="V35">
        <v>776</v>
      </c>
      <c r="W35">
        <v>74.845265103276972</v>
      </c>
      <c r="X35" s="13">
        <v>0.68613138686131381</v>
      </c>
      <c r="Y35" s="13">
        <v>7.484526510327697E-5</v>
      </c>
      <c r="Z35" s="13">
        <v>7.8582395189490291E-5</v>
      </c>
      <c r="AA35" s="3">
        <v>78.582395189490285</v>
      </c>
      <c r="AB35" s="3" t="s">
        <v>64</v>
      </c>
      <c r="AC35">
        <v>24.548100000000002</v>
      </c>
      <c r="AD35" s="8">
        <v>125</v>
      </c>
      <c r="AE35">
        <v>776</v>
      </c>
      <c r="AF35">
        <v>74.845265103276972</v>
      </c>
      <c r="AH35" s="5">
        <v>44806</v>
      </c>
      <c r="AI35" s="6" t="s">
        <v>32</v>
      </c>
      <c r="AJ35" s="6" t="s">
        <v>40</v>
      </c>
      <c r="AK35" t="s">
        <v>123</v>
      </c>
      <c r="AL35" t="s">
        <v>124</v>
      </c>
      <c r="AM35">
        <v>12</v>
      </c>
      <c r="AN35" t="s">
        <v>50</v>
      </c>
      <c r="AO35" t="s">
        <v>120</v>
      </c>
      <c r="AP35" t="s">
        <v>134</v>
      </c>
      <c r="AQ35" t="s">
        <v>134</v>
      </c>
      <c r="AR35" t="s">
        <v>135</v>
      </c>
      <c r="AS35" s="1">
        <v>0.61499999999999999</v>
      </c>
      <c r="AT35">
        <v>4.42</v>
      </c>
      <c r="AU35" s="1">
        <v>-0.442</v>
      </c>
      <c r="AV35" t="s">
        <v>136</v>
      </c>
      <c r="AW35">
        <v>0.434</v>
      </c>
      <c r="AX35" s="1">
        <v>0.18099999999999999</v>
      </c>
      <c r="AY35">
        <v>3.59</v>
      </c>
      <c r="AZ35" s="4">
        <v>-0.35899999999999999</v>
      </c>
      <c r="BA35">
        <v>35.566600000000001</v>
      </c>
      <c r="BB35" s="15">
        <v>107.9</v>
      </c>
      <c r="BC35" s="15">
        <v>840</v>
      </c>
      <c r="BD35">
        <v>40.550800325435837</v>
      </c>
      <c r="BE35">
        <v>0.4170506912442396</v>
      </c>
      <c r="BF35">
        <v>4.0550800325435837E-5</v>
      </c>
      <c r="BG35">
        <v>4.9420276559664809E-5</v>
      </c>
      <c r="BH35" s="3">
        <v>49.420276559664806</v>
      </c>
      <c r="BI35" s="3">
        <v>595.42501879114207</v>
      </c>
      <c r="BJ35">
        <v>35.566600000000001</v>
      </c>
      <c r="BK35">
        <v>107.9</v>
      </c>
      <c r="BL35">
        <v>840</v>
      </c>
      <c r="BM35">
        <v>40.550800325435837</v>
      </c>
      <c r="BN35" s="1">
        <f t="shared" si="0"/>
        <v>0.25700000000000001</v>
      </c>
      <c r="BO35" s="1">
        <f t="shared" si="1"/>
        <v>0.10799999999999998</v>
      </c>
      <c r="BP35">
        <f t="shared" si="2"/>
        <v>34.294464777841135</v>
      </c>
      <c r="BQ35" s="3" t="e">
        <f t="shared" si="3"/>
        <v>#VALUE!</v>
      </c>
      <c r="BR35" s="3">
        <f t="shared" si="4"/>
        <v>29.162118629825478</v>
      </c>
    </row>
    <row r="36" spans="1:70" x14ac:dyDescent="0.35">
      <c r="A36" s="5">
        <v>44721</v>
      </c>
      <c r="B36" t="s">
        <v>32</v>
      </c>
      <c r="C36" t="s">
        <v>33</v>
      </c>
      <c r="D36" t="s">
        <v>123</v>
      </c>
      <c r="E36" t="s">
        <v>124</v>
      </c>
      <c r="F36">
        <v>13</v>
      </c>
      <c r="G36" t="s">
        <v>50</v>
      </c>
      <c r="H36" t="s">
        <v>120</v>
      </c>
      <c r="I36" t="s">
        <v>137</v>
      </c>
      <c r="J36" t="s">
        <v>137</v>
      </c>
      <c r="K36" t="s">
        <v>127</v>
      </c>
      <c r="L36" s="1">
        <v>0.74299999999999999</v>
      </c>
      <c r="M36">
        <v>6.69</v>
      </c>
      <c r="N36" s="2">
        <v>-0.66900000000000004</v>
      </c>
      <c r="O36" t="s">
        <v>132</v>
      </c>
      <c r="P36">
        <v>0.42199999999999999</v>
      </c>
      <c r="Q36" s="1">
        <v>0.32100000000000001</v>
      </c>
      <c r="R36">
        <v>5.14</v>
      </c>
      <c r="S36" s="2">
        <v>-0.51400000000000001</v>
      </c>
      <c r="T36">
        <v>24.548100000000002</v>
      </c>
      <c r="U36" s="16">
        <v>84.6</v>
      </c>
      <c r="V36" s="17">
        <v>716</v>
      </c>
      <c r="W36">
        <v>84.975754455931948</v>
      </c>
      <c r="X36">
        <v>0.76066350710900477</v>
      </c>
      <c r="Y36">
        <v>8.4975754455931952E-5</v>
      </c>
      <c r="Z36">
        <v>4.3012608035155395E-5</v>
      </c>
      <c r="AA36" s="3">
        <v>43.012608035155395</v>
      </c>
      <c r="AB36" s="3" t="s">
        <v>64</v>
      </c>
      <c r="AC36">
        <v>24.548100000000002</v>
      </c>
      <c r="AD36" s="16">
        <v>84.6</v>
      </c>
      <c r="AE36" s="17">
        <v>716</v>
      </c>
      <c r="AF36">
        <v>84.975754455931948</v>
      </c>
      <c r="AH36" s="5">
        <v>44806</v>
      </c>
      <c r="AI36" s="6" t="s">
        <v>32</v>
      </c>
      <c r="AJ36" s="6" t="s">
        <v>40</v>
      </c>
      <c r="AK36" t="s">
        <v>123</v>
      </c>
      <c r="AL36" t="s">
        <v>124</v>
      </c>
      <c r="AM36">
        <v>2</v>
      </c>
      <c r="AN36" t="s">
        <v>53</v>
      </c>
      <c r="AO36" t="s">
        <v>138</v>
      </c>
      <c r="AP36" t="s">
        <v>137</v>
      </c>
      <c r="AQ36" t="s">
        <v>137</v>
      </c>
      <c r="AR36" t="s">
        <v>130</v>
      </c>
      <c r="AS36" s="1">
        <v>0.81499999999999995</v>
      </c>
      <c r="AT36">
        <v>9.4499999999999993</v>
      </c>
      <c r="AU36" s="1">
        <v>-0.94499999999999995</v>
      </c>
      <c r="AV36" t="s">
        <v>128</v>
      </c>
      <c r="AW36">
        <v>0.61499999999999999</v>
      </c>
      <c r="AX36" s="1">
        <v>0.19999999999999996</v>
      </c>
      <c r="AY36">
        <v>16.739999999999998</v>
      </c>
      <c r="AZ36" s="4">
        <v>-1.6739999999999999</v>
      </c>
      <c r="BA36">
        <v>35.566600000000001</v>
      </c>
      <c r="BB36" s="16">
        <v>84.6</v>
      </c>
      <c r="BC36" s="17">
        <v>716</v>
      </c>
      <c r="BD36">
        <v>29.854487384001196</v>
      </c>
      <c r="BE36">
        <v>0.32520325203252026</v>
      </c>
      <c r="BF36">
        <v>2.9854487384001195E-5</v>
      </c>
      <c r="BG36">
        <v>1.5111597092138485E-5</v>
      </c>
      <c r="BH36" s="3">
        <v>15.111597092138485</v>
      </c>
      <c r="BI36" s="3">
        <v>20.729214118159788</v>
      </c>
      <c r="BJ36">
        <v>35.566600000000001</v>
      </c>
      <c r="BK36">
        <v>84.6</v>
      </c>
      <c r="BL36">
        <v>716</v>
      </c>
      <c r="BM36">
        <v>29.854487384001196</v>
      </c>
      <c r="BN36" s="1">
        <f t="shared" si="0"/>
        <v>0.27599999999999991</v>
      </c>
      <c r="BO36" s="1">
        <f t="shared" si="1"/>
        <v>1.1599999999999999</v>
      </c>
      <c r="BP36">
        <f t="shared" si="2"/>
        <v>55.121267071930752</v>
      </c>
      <c r="BQ36" s="3" t="e">
        <f t="shared" si="3"/>
        <v>#VALUE!</v>
      </c>
      <c r="BR36" s="3">
        <f t="shared" si="4"/>
        <v>27.90101094301691</v>
      </c>
    </row>
    <row r="37" spans="1:70" x14ac:dyDescent="0.35">
      <c r="A37" s="5">
        <v>44721</v>
      </c>
      <c r="B37" t="s">
        <v>32</v>
      </c>
      <c r="C37" t="s">
        <v>33</v>
      </c>
      <c r="D37" t="s">
        <v>123</v>
      </c>
      <c r="E37" t="s">
        <v>124</v>
      </c>
      <c r="F37">
        <v>9</v>
      </c>
      <c r="G37" t="s">
        <v>53</v>
      </c>
      <c r="H37" t="s">
        <v>138</v>
      </c>
      <c r="I37" t="s">
        <v>139</v>
      </c>
      <c r="J37" t="s">
        <v>139</v>
      </c>
      <c r="K37" t="s">
        <v>127</v>
      </c>
      <c r="L37" s="1">
        <v>0.59</v>
      </c>
      <c r="M37">
        <v>3.36</v>
      </c>
      <c r="N37" s="2">
        <v>-0.33599999999999997</v>
      </c>
      <c r="O37" t="s">
        <v>132</v>
      </c>
      <c r="P37">
        <v>0.312</v>
      </c>
      <c r="Q37" s="1">
        <v>0.27799999999999997</v>
      </c>
      <c r="R37">
        <v>15.24</v>
      </c>
      <c r="S37" s="2">
        <v>-1.524</v>
      </c>
      <c r="T37">
        <v>24.548100000000002</v>
      </c>
      <c r="V37" s="17">
        <v>213</v>
      </c>
      <c r="W37">
        <v>103.24328153770081</v>
      </c>
      <c r="X37">
        <v>0.89102564102564097</v>
      </c>
      <c r="Y37">
        <v>1.0324328153770081E-4</v>
      </c>
      <c r="Z37">
        <v>1.7149328523101333E-5</v>
      </c>
      <c r="AA37" s="3">
        <v>17.149328523101332</v>
      </c>
      <c r="AB37" s="3">
        <v>14.435461719782264</v>
      </c>
      <c r="AC37">
        <v>24.548100000000002</v>
      </c>
      <c r="AE37" s="17">
        <v>213</v>
      </c>
      <c r="AF37">
        <v>103.24328153770081</v>
      </c>
      <c r="AH37" s="5">
        <v>44806</v>
      </c>
      <c r="AI37" s="6" t="s">
        <v>32</v>
      </c>
      <c r="AJ37" s="6" t="s">
        <v>40</v>
      </c>
      <c r="AK37" t="s">
        <v>123</v>
      </c>
      <c r="AL37" t="s">
        <v>124</v>
      </c>
      <c r="AM37">
        <v>10</v>
      </c>
      <c r="AN37" t="s">
        <v>58</v>
      </c>
      <c r="AO37" t="s">
        <v>140</v>
      </c>
      <c r="AP37" t="s">
        <v>139</v>
      </c>
      <c r="AQ37" t="s">
        <v>139</v>
      </c>
      <c r="AR37" t="s">
        <v>135</v>
      </c>
      <c r="AS37" s="1">
        <v>0.61199999999999999</v>
      </c>
      <c r="AT37">
        <v>10.65</v>
      </c>
      <c r="AU37" s="1">
        <v>-1.0649999999999999</v>
      </c>
      <c r="AV37" t="s">
        <v>136</v>
      </c>
      <c r="AW37">
        <v>0.41699999999999998</v>
      </c>
      <c r="AX37" s="1">
        <v>0.19500000000000001</v>
      </c>
      <c r="AY37">
        <v>11.63</v>
      </c>
      <c r="AZ37" s="4">
        <v>-1.163</v>
      </c>
      <c r="BA37">
        <v>35.566600000000001</v>
      </c>
      <c r="BB37" s="18"/>
      <c r="BC37" s="17">
        <v>213</v>
      </c>
      <c r="BD37">
        <v>46.686582495814108</v>
      </c>
      <c r="BE37">
        <v>0.46762589928057557</v>
      </c>
      <c r="BF37">
        <v>4.6686582495814109E-5</v>
      </c>
      <c r="BG37">
        <v>7.754921472049698E-6</v>
      </c>
      <c r="BH37" s="3">
        <v>7.7549214720496984</v>
      </c>
      <c r="BI37" s="3" t="s">
        <v>64</v>
      </c>
      <c r="BJ37">
        <v>35.566600000000001</v>
      </c>
      <c r="BL37">
        <v>213</v>
      </c>
      <c r="BM37">
        <v>46.686582495814108</v>
      </c>
      <c r="BN37" s="1">
        <f t="shared" si="0"/>
        <v>0.72899999999999998</v>
      </c>
      <c r="BO37" s="1">
        <f t="shared" si="1"/>
        <v>-0.36099999999999999</v>
      </c>
      <c r="BP37">
        <f t="shared" si="2"/>
        <v>56.556699041886702</v>
      </c>
      <c r="BQ37" s="3" t="e">
        <f t="shared" si="3"/>
        <v>#VALUE!</v>
      </c>
      <c r="BR37" s="3">
        <f t="shared" si="4"/>
        <v>9.3944070510516333</v>
      </c>
    </row>
    <row r="38" spans="1:70" x14ac:dyDescent="0.35">
      <c r="A38" s="5">
        <v>44721</v>
      </c>
      <c r="B38" t="s">
        <v>32</v>
      </c>
      <c r="C38" t="s">
        <v>33</v>
      </c>
      <c r="D38" t="s">
        <v>123</v>
      </c>
      <c r="E38" t="s">
        <v>124</v>
      </c>
      <c r="F38">
        <v>16</v>
      </c>
      <c r="G38" t="s">
        <v>58</v>
      </c>
      <c r="H38" t="s">
        <v>140</v>
      </c>
      <c r="I38" t="s">
        <v>141</v>
      </c>
      <c r="J38" t="s">
        <v>141</v>
      </c>
      <c r="K38" t="s">
        <v>127</v>
      </c>
      <c r="L38" s="7">
        <v>0.53800000000000003</v>
      </c>
      <c r="M38">
        <v>5.67</v>
      </c>
      <c r="N38" s="2">
        <v>-0.56699999999999995</v>
      </c>
      <c r="O38" t="s">
        <v>132</v>
      </c>
      <c r="P38">
        <v>0.51</v>
      </c>
      <c r="Q38" s="1">
        <v>2.8000000000000025E-2</v>
      </c>
      <c r="R38">
        <v>5.39</v>
      </c>
      <c r="S38" s="2">
        <v>-0.53899999999999992</v>
      </c>
      <c r="T38">
        <v>24.548100000000002</v>
      </c>
      <c r="U38" s="16">
        <v>147.1</v>
      </c>
      <c r="V38" s="17">
        <v>921</v>
      </c>
      <c r="W38">
        <v>3.3417935095622937</v>
      </c>
      <c r="X38">
        <v>5.4901960784313773E-2</v>
      </c>
      <c r="Y38">
        <v>3.3417935095622935E-6</v>
      </c>
      <c r="Z38">
        <v>7.0513473721679802E-6</v>
      </c>
      <c r="AA38" s="3">
        <v>7.0513473721679798</v>
      </c>
      <c r="AB38" s="3">
        <v>251.83383472028476</v>
      </c>
      <c r="AC38">
        <v>24.548100000000002</v>
      </c>
      <c r="AD38" s="16">
        <v>147.1</v>
      </c>
      <c r="AE38" s="17">
        <v>921</v>
      </c>
      <c r="AF38">
        <v>3.3417935095622937</v>
      </c>
      <c r="AH38" s="5">
        <v>44806</v>
      </c>
      <c r="AI38" s="6" t="s">
        <v>32</v>
      </c>
      <c r="AJ38" s="6" t="s">
        <v>40</v>
      </c>
      <c r="AK38" t="s">
        <v>123</v>
      </c>
      <c r="AL38" t="s">
        <v>124</v>
      </c>
      <c r="AM38">
        <v>5</v>
      </c>
      <c r="AN38" t="s">
        <v>58</v>
      </c>
      <c r="AO38" t="s">
        <v>142</v>
      </c>
      <c r="AP38" t="s">
        <v>141</v>
      </c>
      <c r="AQ38" t="s">
        <v>141</v>
      </c>
      <c r="AR38" t="s">
        <v>130</v>
      </c>
      <c r="AS38" s="1">
        <v>0.55800000000000005</v>
      </c>
      <c r="AT38">
        <v>8.8699999999999992</v>
      </c>
      <c r="AU38" s="1">
        <v>-0.8869999999999999</v>
      </c>
      <c r="AV38" t="s">
        <v>128</v>
      </c>
      <c r="AW38">
        <v>0.53200000000000003</v>
      </c>
      <c r="AX38" s="1">
        <v>2.6000000000000023E-2</v>
      </c>
      <c r="AY38">
        <v>9.6199999999999992</v>
      </c>
      <c r="AZ38" s="4">
        <v>-0.96199999999999997</v>
      </c>
      <c r="BA38">
        <v>35.566600000000001</v>
      </c>
      <c r="BB38" s="15">
        <v>147.1</v>
      </c>
      <c r="BC38" s="17">
        <v>921</v>
      </c>
      <c r="BD38">
        <v>2.8958891476231186</v>
      </c>
      <c r="BE38">
        <v>4.8872180451127858E-2</v>
      </c>
      <c r="BF38">
        <v>2.8958891476231187E-6</v>
      </c>
      <c r="BG38">
        <v>6.1104674100156002E-6</v>
      </c>
      <c r="BH38" s="3">
        <v>6.1104674100156</v>
      </c>
      <c r="BI38" s="3">
        <v>81.472898800207929</v>
      </c>
      <c r="BJ38">
        <v>35.566600000000001</v>
      </c>
      <c r="BK38">
        <v>147.1</v>
      </c>
      <c r="BL38">
        <v>921</v>
      </c>
      <c r="BM38">
        <v>2.8958891476231186</v>
      </c>
      <c r="BN38" s="1">
        <f t="shared" si="0"/>
        <v>0.31999999999999995</v>
      </c>
      <c r="BO38" s="1">
        <f t="shared" si="1"/>
        <v>0.42300000000000004</v>
      </c>
      <c r="BP38">
        <f t="shared" si="2"/>
        <v>0.44590436193917515</v>
      </c>
      <c r="BQ38" s="3">
        <f t="shared" si="3"/>
        <v>170.36093592007683</v>
      </c>
      <c r="BR38" s="3">
        <f t="shared" si="4"/>
        <v>0.94087996215237979</v>
      </c>
    </row>
    <row r="39" spans="1:70" x14ac:dyDescent="0.35">
      <c r="A39" s="5">
        <v>44721</v>
      </c>
      <c r="B39" t="s">
        <v>32</v>
      </c>
      <c r="C39" t="s">
        <v>33</v>
      </c>
      <c r="D39" t="s">
        <v>123</v>
      </c>
      <c r="E39" t="s">
        <v>124</v>
      </c>
      <c r="F39">
        <v>15</v>
      </c>
      <c r="G39" t="s">
        <v>58</v>
      </c>
      <c r="H39" t="s">
        <v>143</v>
      </c>
      <c r="I39" t="s">
        <v>144</v>
      </c>
      <c r="J39" t="s">
        <v>144</v>
      </c>
      <c r="K39" t="s">
        <v>127</v>
      </c>
      <c r="L39" s="7">
        <v>0.64300000000000002</v>
      </c>
      <c r="M39">
        <v>8.4499999999999993</v>
      </c>
      <c r="N39" s="2">
        <v>-0.84499999999999997</v>
      </c>
      <c r="O39" t="s">
        <v>132</v>
      </c>
      <c r="P39">
        <v>0.71199999999999997</v>
      </c>
      <c r="Q39" s="1">
        <v>-6.899999999999995E-2</v>
      </c>
      <c r="R39">
        <v>12.15</v>
      </c>
      <c r="S39" s="2">
        <v>-1.2150000000000001</v>
      </c>
      <c r="T39">
        <v>24.548100000000002</v>
      </c>
      <c r="U39" s="16">
        <v>147.1</v>
      </c>
      <c r="V39" s="17">
        <v>921</v>
      </c>
      <c r="W39">
        <v>7.6253974424435738</v>
      </c>
      <c r="X39">
        <v>0.10730948678071532</v>
      </c>
      <c r="Y39">
        <v>7.6253974424435739E-6</v>
      </c>
      <c r="Z39">
        <v>1.6089960694355893E-5</v>
      </c>
      <c r="AA39" s="3">
        <v>16.089960694355891</v>
      </c>
      <c r="AB39" s="3">
        <v>43.486380255015909</v>
      </c>
      <c r="AC39">
        <v>24.548100000000002</v>
      </c>
      <c r="AD39" s="16">
        <v>147.1</v>
      </c>
      <c r="AE39" s="17">
        <v>921</v>
      </c>
      <c r="AF39">
        <v>7.6253974424435738</v>
      </c>
      <c r="AH39" s="5">
        <v>44806</v>
      </c>
      <c r="AI39" s="6" t="s">
        <v>32</v>
      </c>
      <c r="AJ39" s="6" t="s">
        <v>40</v>
      </c>
      <c r="AK39" t="s">
        <v>123</v>
      </c>
      <c r="AL39" t="s">
        <v>124</v>
      </c>
      <c r="AM39">
        <v>7</v>
      </c>
      <c r="AN39" t="s">
        <v>61</v>
      </c>
      <c r="AO39" t="s">
        <v>145</v>
      </c>
      <c r="AP39" t="s">
        <v>146</v>
      </c>
      <c r="AQ39" t="s">
        <v>146</v>
      </c>
      <c r="AR39" t="s">
        <v>135</v>
      </c>
      <c r="AS39" s="1">
        <v>0.73199999999999998</v>
      </c>
      <c r="AT39">
        <v>8.4499999999999993</v>
      </c>
      <c r="AU39" s="1">
        <v>-0.84499999999999997</v>
      </c>
      <c r="AV39" t="s">
        <v>136</v>
      </c>
      <c r="AW39">
        <v>0.79400000000000004</v>
      </c>
      <c r="AX39" s="1">
        <v>-6.2000000000000055E-2</v>
      </c>
      <c r="AY39">
        <v>10.87</v>
      </c>
      <c r="AZ39" s="4">
        <v>-1.087</v>
      </c>
      <c r="BA39">
        <v>35.566600000000001</v>
      </c>
      <c r="BB39" s="16">
        <v>64.8</v>
      </c>
      <c r="BC39" s="17">
        <v>512</v>
      </c>
      <c r="BD39">
        <v>5.6985975939280049</v>
      </c>
      <c r="BE39">
        <v>8.4699453551912648E-2</v>
      </c>
      <c r="BF39">
        <v>5.6985975939280051E-6</v>
      </c>
      <c r="BG39">
        <v>2.0715427787797793E-6</v>
      </c>
      <c r="BH39" s="3">
        <v>2.0715427787797793</v>
      </c>
      <c r="BI39" s="3">
        <v>8.5600941271891706</v>
      </c>
      <c r="BJ39">
        <v>35.566600000000001</v>
      </c>
      <c r="BK39">
        <v>64.8</v>
      </c>
      <c r="BL39">
        <v>512</v>
      </c>
      <c r="BM39">
        <v>5.6985975939280049</v>
      </c>
      <c r="BN39" s="1">
        <f t="shared" si="0"/>
        <v>0</v>
      </c>
      <c r="BO39" s="1">
        <f t="shared" si="1"/>
        <v>-0.12800000000000011</v>
      </c>
      <c r="BP39">
        <f t="shared" si="2"/>
        <v>1.9267998485155688</v>
      </c>
      <c r="BQ39" s="3">
        <f t="shared" si="3"/>
        <v>34.926286127826742</v>
      </c>
      <c r="BR39" s="3">
        <f t="shared" si="4"/>
        <v>14.018417915576112</v>
      </c>
    </row>
    <row r="40" spans="1:70" x14ac:dyDescent="0.35">
      <c r="A40" s="5">
        <v>44721</v>
      </c>
      <c r="B40" t="s">
        <v>32</v>
      </c>
      <c r="C40" t="s">
        <v>33</v>
      </c>
      <c r="D40" t="s">
        <v>123</v>
      </c>
      <c r="E40" t="s">
        <v>124</v>
      </c>
      <c r="F40">
        <v>2</v>
      </c>
      <c r="G40" t="s">
        <v>61</v>
      </c>
      <c r="H40" t="s">
        <v>145</v>
      </c>
      <c r="I40" t="s">
        <v>147</v>
      </c>
      <c r="J40" t="s">
        <v>147</v>
      </c>
      <c r="K40" t="s">
        <v>127</v>
      </c>
      <c r="L40" s="1">
        <v>0.79300000000000004</v>
      </c>
      <c r="M40">
        <v>2.44</v>
      </c>
      <c r="N40" s="2">
        <v>-0.24399999999999999</v>
      </c>
      <c r="O40" t="s">
        <v>128</v>
      </c>
      <c r="P40">
        <v>0.63</v>
      </c>
      <c r="Q40" s="1">
        <v>0.16300000000000003</v>
      </c>
      <c r="R40">
        <v>8.4499999999999993</v>
      </c>
      <c r="S40" s="2">
        <v>-0.84499999999999997</v>
      </c>
      <c r="T40">
        <v>24.548100000000002</v>
      </c>
      <c r="U40" s="16">
        <v>61</v>
      </c>
      <c r="V40" s="17">
        <v>534</v>
      </c>
      <c r="W40">
        <v>22.53002564358971</v>
      </c>
      <c r="X40">
        <v>0.25873015873015875</v>
      </c>
      <c r="Y40">
        <v>2.2530025643589709E-5</v>
      </c>
      <c r="Z40">
        <v>7.4723646300170724E-6</v>
      </c>
      <c r="AA40" s="3">
        <v>7.4723646300170721</v>
      </c>
      <c r="AB40" s="3">
        <v>12.433219018331235</v>
      </c>
      <c r="AC40">
        <v>24.548100000000002</v>
      </c>
      <c r="AD40" s="16">
        <v>61</v>
      </c>
      <c r="AE40" s="17">
        <v>534</v>
      </c>
      <c r="AF40">
        <v>22.53002564358971</v>
      </c>
      <c r="AH40" s="5">
        <v>44806</v>
      </c>
      <c r="AI40" s="6" t="s">
        <v>32</v>
      </c>
      <c r="AJ40" s="6" t="s">
        <v>40</v>
      </c>
      <c r="AK40" t="s">
        <v>123</v>
      </c>
      <c r="AL40" t="s">
        <v>124</v>
      </c>
      <c r="AM40">
        <v>1</v>
      </c>
      <c r="AN40" t="s">
        <v>148</v>
      </c>
      <c r="AO40" t="s">
        <v>149</v>
      </c>
      <c r="AP40" t="s">
        <v>147</v>
      </c>
      <c r="AQ40" t="s">
        <v>147</v>
      </c>
      <c r="AR40" t="s">
        <v>135</v>
      </c>
      <c r="AS40" s="1">
        <v>0.93899999999999995</v>
      </c>
      <c r="AT40">
        <v>10.11</v>
      </c>
      <c r="AU40" s="1">
        <v>-1.0109999999999999</v>
      </c>
      <c r="AV40" t="s">
        <v>136</v>
      </c>
      <c r="AW40">
        <v>0.71399999999999997</v>
      </c>
      <c r="AX40" s="1">
        <v>0.22499999999999998</v>
      </c>
      <c r="AY40">
        <v>13.37</v>
      </c>
      <c r="AZ40" s="4">
        <v>-1.337</v>
      </c>
      <c r="BA40">
        <v>35.566600000000001</v>
      </c>
      <c r="BB40" s="16">
        <v>61</v>
      </c>
      <c r="BC40" s="17">
        <v>534</v>
      </c>
      <c r="BD40">
        <v>28.719782228700645</v>
      </c>
      <c r="BE40">
        <v>0.31512605042016806</v>
      </c>
      <c r="BF40">
        <v>2.8719782228700644E-5</v>
      </c>
      <c r="BG40">
        <v>9.5252747734264285E-6</v>
      </c>
      <c r="BH40" s="3">
        <v>9.5252747734264283</v>
      </c>
      <c r="BI40" s="3">
        <v>29.218634274314191</v>
      </c>
      <c r="BJ40">
        <v>35.566600000000001</v>
      </c>
      <c r="BK40">
        <v>61</v>
      </c>
      <c r="BL40">
        <v>534</v>
      </c>
      <c r="BM40">
        <v>28.719782228700645</v>
      </c>
      <c r="BN40" s="1">
        <f t="shared" si="0"/>
        <v>0.7669999999999999</v>
      </c>
      <c r="BO40" s="1">
        <f t="shared" si="1"/>
        <v>0.49199999999999999</v>
      </c>
      <c r="BP40">
        <f t="shared" si="2"/>
        <v>-6.1897565851109349</v>
      </c>
      <c r="BQ40" s="3">
        <f t="shared" si="3"/>
        <v>-16.785415255982954</v>
      </c>
      <c r="BR40" s="3">
        <f t="shared" si="4"/>
        <v>-2.0529101434093562</v>
      </c>
    </row>
    <row r="41" spans="1:70" x14ac:dyDescent="0.35">
      <c r="A41" s="5">
        <v>44721</v>
      </c>
      <c r="B41" t="s">
        <v>32</v>
      </c>
      <c r="C41" t="s">
        <v>33</v>
      </c>
      <c r="D41" t="s">
        <v>123</v>
      </c>
      <c r="E41" t="s">
        <v>124</v>
      </c>
      <c r="F41">
        <v>11</v>
      </c>
      <c r="G41" t="s">
        <v>148</v>
      </c>
      <c r="H41" t="s">
        <v>149</v>
      </c>
      <c r="I41" t="s">
        <v>150</v>
      </c>
      <c r="J41" t="s">
        <v>150</v>
      </c>
      <c r="K41" t="s">
        <v>127</v>
      </c>
      <c r="L41" s="1">
        <v>0.77200000000000002</v>
      </c>
      <c r="M41">
        <v>6.89</v>
      </c>
      <c r="N41" s="2">
        <v>-0.68899999999999995</v>
      </c>
      <c r="O41" t="s">
        <v>132</v>
      </c>
      <c r="P41">
        <v>0.42299999999999999</v>
      </c>
      <c r="Q41" s="1">
        <v>0.34900000000000003</v>
      </c>
      <c r="R41">
        <v>10.89</v>
      </c>
      <c r="S41" s="2">
        <v>-1.089</v>
      </c>
      <c r="T41">
        <v>24.548100000000002</v>
      </c>
      <c r="U41" s="19">
        <v>34</v>
      </c>
      <c r="V41" s="17">
        <v>571</v>
      </c>
      <c r="W41">
        <v>93.916104359680403</v>
      </c>
      <c r="X41">
        <v>0.82505910165484642</v>
      </c>
      <c r="Y41">
        <v>9.3916104359680403E-5</v>
      </c>
      <c r="Z41">
        <v>9.3435028506708386E-6</v>
      </c>
      <c r="AA41" s="3">
        <v>9.3435028506708377</v>
      </c>
      <c r="AB41" s="3" t="s">
        <v>64</v>
      </c>
      <c r="AC41">
        <v>24.548100000000002</v>
      </c>
      <c r="AD41" s="19">
        <v>34</v>
      </c>
      <c r="AE41" s="17">
        <v>571</v>
      </c>
      <c r="AF41">
        <v>93.916104359680403</v>
      </c>
      <c r="AH41" s="5">
        <v>44806</v>
      </c>
      <c r="AI41" s="6" t="s">
        <v>32</v>
      </c>
      <c r="AJ41" s="6" t="s">
        <v>40</v>
      </c>
      <c r="AK41" t="s">
        <v>123</v>
      </c>
      <c r="AL41" t="s">
        <v>124</v>
      </c>
      <c r="AM41">
        <v>4</v>
      </c>
      <c r="AN41" t="s">
        <v>69</v>
      </c>
      <c r="AO41" t="s">
        <v>151</v>
      </c>
      <c r="AP41" t="s">
        <v>150</v>
      </c>
      <c r="AQ41" t="s">
        <v>150</v>
      </c>
      <c r="AR41" t="s">
        <v>135</v>
      </c>
      <c r="AS41" s="1">
        <v>0.92600000000000005</v>
      </c>
      <c r="AT41" s="13">
        <v>31.14</v>
      </c>
      <c r="AU41" s="1">
        <v>-3.1139999999999999</v>
      </c>
      <c r="AV41" t="s">
        <v>136</v>
      </c>
      <c r="AW41">
        <v>0.92700000000000005</v>
      </c>
      <c r="AX41" s="1">
        <v>-1.0000000000000009E-3</v>
      </c>
      <c r="AY41">
        <v>6.23</v>
      </c>
      <c r="AZ41" s="4">
        <v>-0.623</v>
      </c>
      <c r="BA41">
        <v>35.566600000000001</v>
      </c>
      <c r="BB41" s="16">
        <v>34</v>
      </c>
      <c r="BC41" s="17">
        <v>571</v>
      </c>
      <c r="BD41">
        <v>2.6524599601361269E-2</v>
      </c>
      <c r="BE41">
        <v>1.079913606911448E-3</v>
      </c>
      <c r="BF41">
        <v>2.652459960136127E-8</v>
      </c>
      <c r="BG41">
        <v>2.6388729992363259E-9</v>
      </c>
      <c r="BH41" s="3">
        <v>2.6388729992363261E-3</v>
      </c>
      <c r="BI41" s="3">
        <v>1.0593629061566947E-3</v>
      </c>
      <c r="BJ41">
        <v>35.566600000000001</v>
      </c>
      <c r="BK41">
        <v>34</v>
      </c>
      <c r="BL41">
        <v>571</v>
      </c>
      <c r="BM41">
        <v>2.6524599601361269E-2</v>
      </c>
      <c r="BN41" s="1">
        <f t="shared" si="0"/>
        <v>2.4249999999999998</v>
      </c>
      <c r="BO41" s="1">
        <f t="shared" si="1"/>
        <v>-0.46599999999999997</v>
      </c>
      <c r="BP41">
        <f t="shared" si="2"/>
        <v>93.889579760079044</v>
      </c>
      <c r="BQ41" s="3" t="e">
        <f t="shared" si="3"/>
        <v>#VALUE!</v>
      </c>
      <c r="BR41" s="3">
        <f t="shared" si="4"/>
        <v>9.3408639776716011</v>
      </c>
    </row>
    <row r="42" spans="1:70" x14ac:dyDescent="0.35">
      <c r="A42" s="5">
        <v>44721</v>
      </c>
      <c r="B42" t="s">
        <v>32</v>
      </c>
      <c r="C42" t="s">
        <v>33</v>
      </c>
      <c r="D42" t="s">
        <v>123</v>
      </c>
      <c r="E42" t="s">
        <v>124</v>
      </c>
      <c r="F42">
        <v>7</v>
      </c>
      <c r="G42" t="s">
        <v>69</v>
      </c>
      <c r="H42" t="s">
        <v>151</v>
      </c>
      <c r="I42" t="s">
        <v>152</v>
      </c>
      <c r="J42" t="s">
        <v>152</v>
      </c>
      <c r="K42" t="s">
        <v>127</v>
      </c>
      <c r="L42" s="1">
        <v>0.63300000000000001</v>
      </c>
      <c r="M42">
        <v>2.85</v>
      </c>
      <c r="N42" s="2">
        <v>-0.28500000000000003</v>
      </c>
      <c r="O42" t="s">
        <v>128</v>
      </c>
      <c r="P42">
        <v>0.47599999999999998</v>
      </c>
      <c r="Q42" s="1">
        <v>0.15700000000000003</v>
      </c>
      <c r="R42">
        <v>12.68</v>
      </c>
      <c r="S42" s="2">
        <v>-1.268</v>
      </c>
      <c r="T42">
        <v>24.548100000000002</v>
      </c>
      <c r="U42" s="16">
        <v>75.3</v>
      </c>
      <c r="V42" s="17">
        <v>736</v>
      </c>
      <c r="W42">
        <v>30.378426471247675</v>
      </c>
      <c r="X42">
        <v>0.32983193277310929</v>
      </c>
      <c r="Y42">
        <v>3.0378426471247676E-5</v>
      </c>
      <c r="Z42">
        <v>3.4082707886536935E-5</v>
      </c>
      <c r="AA42" s="3">
        <v>34.082707886536937</v>
      </c>
      <c r="AB42" s="3">
        <v>34.672134167382438</v>
      </c>
      <c r="AC42">
        <v>24.548100000000002</v>
      </c>
      <c r="AD42" s="16">
        <v>75.3</v>
      </c>
      <c r="AE42" s="17">
        <v>736</v>
      </c>
      <c r="AF42">
        <v>30.378426471247675</v>
      </c>
      <c r="AH42" s="5">
        <v>44806</v>
      </c>
      <c r="AI42" s="6" t="s">
        <v>32</v>
      </c>
      <c r="AJ42" s="6" t="s">
        <v>40</v>
      </c>
      <c r="AK42" t="s">
        <v>123</v>
      </c>
      <c r="AL42" t="s">
        <v>124</v>
      </c>
      <c r="AM42">
        <v>15</v>
      </c>
      <c r="AN42" t="s">
        <v>72</v>
      </c>
      <c r="AO42" t="s">
        <v>153</v>
      </c>
      <c r="AP42" t="s">
        <v>152</v>
      </c>
      <c r="AQ42" t="s">
        <v>152</v>
      </c>
      <c r="AR42" t="s">
        <v>135</v>
      </c>
      <c r="AS42" s="1">
        <v>0.745</v>
      </c>
      <c r="AT42">
        <v>8.76</v>
      </c>
      <c r="AU42" s="1">
        <v>-0.876</v>
      </c>
      <c r="AV42" t="s">
        <v>136</v>
      </c>
      <c r="AW42">
        <v>0.53500000000000003</v>
      </c>
      <c r="AX42" s="1">
        <v>0.20999999999999996</v>
      </c>
      <c r="AY42">
        <v>17.12</v>
      </c>
      <c r="AZ42" s="4">
        <v>-1.7120000000000002</v>
      </c>
      <c r="BA42">
        <v>35.566600000000001</v>
      </c>
      <c r="BB42" s="19">
        <v>75.3</v>
      </c>
      <c r="BC42" s="17">
        <v>736</v>
      </c>
      <c r="BD42">
        <v>37.63530219179399</v>
      </c>
      <c r="BE42">
        <v>0.39252336448598124</v>
      </c>
      <c r="BF42">
        <v>3.763530219179399E-5</v>
      </c>
      <c r="BG42">
        <v>4.2224471765794372E-5</v>
      </c>
      <c r="BH42" s="3">
        <v>42.22447176579437</v>
      </c>
      <c r="BI42" s="3">
        <v>50.507741346643968</v>
      </c>
      <c r="BJ42">
        <v>35.566600000000001</v>
      </c>
      <c r="BK42">
        <v>75.3</v>
      </c>
      <c r="BL42">
        <v>736</v>
      </c>
      <c r="BM42">
        <v>37.63530219179399</v>
      </c>
      <c r="BN42" s="1">
        <f t="shared" si="0"/>
        <v>0.59099999999999997</v>
      </c>
      <c r="BO42" s="1">
        <f t="shared" si="1"/>
        <v>0.44400000000000017</v>
      </c>
      <c r="BP42">
        <f t="shared" si="2"/>
        <v>-7.256875720546315</v>
      </c>
      <c r="BQ42" s="3">
        <f t="shared" si="3"/>
        <v>-15.83560717926153</v>
      </c>
      <c r="BR42" s="3">
        <f t="shared" si="4"/>
        <v>-8.1417638792574323</v>
      </c>
    </row>
    <row r="43" spans="1:70" x14ac:dyDescent="0.35">
      <c r="A43" s="5">
        <v>44721</v>
      </c>
      <c r="B43" t="s">
        <v>32</v>
      </c>
      <c r="C43" t="s">
        <v>33</v>
      </c>
      <c r="D43" t="s">
        <v>123</v>
      </c>
      <c r="E43" t="s">
        <v>124</v>
      </c>
      <c r="F43">
        <v>14</v>
      </c>
      <c r="G43" t="s">
        <v>72</v>
      </c>
      <c r="H43" t="s">
        <v>153</v>
      </c>
      <c r="I43" t="s">
        <v>154</v>
      </c>
      <c r="J43" t="s">
        <v>154</v>
      </c>
      <c r="K43" t="s">
        <v>127</v>
      </c>
      <c r="L43" s="1">
        <v>0.46800000000000003</v>
      </c>
      <c r="M43">
        <v>2.09</v>
      </c>
      <c r="N43" s="2">
        <v>-0.20899999999999999</v>
      </c>
      <c r="O43" t="s">
        <v>132</v>
      </c>
      <c r="P43">
        <v>0.24399999999999999</v>
      </c>
      <c r="Q43" s="1">
        <v>0.22400000000000003</v>
      </c>
      <c r="R43">
        <v>17.5</v>
      </c>
      <c r="S43" s="2">
        <v>-1.75</v>
      </c>
      <c r="T43">
        <v>24.548100000000002</v>
      </c>
      <c r="U43" s="16">
        <v>71.3</v>
      </c>
      <c r="V43" s="17">
        <v>778</v>
      </c>
      <c r="W43">
        <v>107.10885969508121</v>
      </c>
      <c r="X43">
        <v>0.91803278688524603</v>
      </c>
      <c r="Y43">
        <v>1.071088596950812E-4</v>
      </c>
      <c r="Z43">
        <v>4.79279612819356E-5</v>
      </c>
      <c r="AA43" s="3">
        <v>47.927961281935602</v>
      </c>
      <c r="AB43" s="3">
        <v>31.101856769588323</v>
      </c>
      <c r="AC43">
        <v>24.548100000000002</v>
      </c>
      <c r="AD43" s="16">
        <v>71.3</v>
      </c>
      <c r="AE43" s="17">
        <v>778</v>
      </c>
      <c r="AF43">
        <v>107.10885969508121</v>
      </c>
      <c r="AH43" s="5">
        <v>44806</v>
      </c>
      <c r="AI43" s="6" t="s">
        <v>32</v>
      </c>
      <c r="AJ43" s="6" t="s">
        <v>40</v>
      </c>
      <c r="AK43" t="s">
        <v>123</v>
      </c>
      <c r="AL43" t="s">
        <v>124</v>
      </c>
      <c r="AM43">
        <v>16</v>
      </c>
      <c r="AN43" t="s">
        <v>72</v>
      </c>
      <c r="AO43" t="s">
        <v>155</v>
      </c>
      <c r="AP43" t="s">
        <v>154</v>
      </c>
      <c r="AQ43" t="s">
        <v>154</v>
      </c>
      <c r="AR43" t="s">
        <v>130</v>
      </c>
      <c r="AS43" s="1">
        <v>0.64100000000000001</v>
      </c>
      <c r="AT43">
        <v>7.84</v>
      </c>
      <c r="AU43" s="1">
        <v>-0.78400000000000003</v>
      </c>
      <c r="AV43" t="s">
        <v>128</v>
      </c>
      <c r="AW43">
        <v>0.41799999999999998</v>
      </c>
      <c r="AX43" s="1">
        <v>0.22300000000000003</v>
      </c>
      <c r="AY43">
        <v>20.64</v>
      </c>
      <c r="AZ43" s="4">
        <v>-2.0640000000000001</v>
      </c>
      <c r="BA43">
        <v>35.566600000000001</v>
      </c>
      <c r="BB43" s="16">
        <v>71.3</v>
      </c>
      <c r="BC43" s="17">
        <v>778</v>
      </c>
      <c r="BD43">
        <v>54.908836966362465</v>
      </c>
      <c r="BE43">
        <v>0.53349282296650724</v>
      </c>
      <c r="BF43">
        <v>5.4908836966362465E-5</v>
      </c>
      <c r="BG43">
        <v>2.457003668652435E-5</v>
      </c>
      <c r="BH43" s="3">
        <v>24.57003668652435</v>
      </c>
      <c r="BI43" s="3">
        <v>19.195341161347148</v>
      </c>
      <c r="BJ43">
        <v>35.566600000000001</v>
      </c>
      <c r="BK43">
        <v>71.3</v>
      </c>
      <c r="BL43">
        <v>778</v>
      </c>
      <c r="BM43">
        <v>54.908836966362465</v>
      </c>
      <c r="BN43" s="1">
        <f t="shared" si="0"/>
        <v>0.57500000000000007</v>
      </c>
      <c r="BO43" s="1">
        <f t="shared" si="1"/>
        <v>0.31400000000000006</v>
      </c>
      <c r="BP43">
        <f t="shared" si="2"/>
        <v>52.200022728718743</v>
      </c>
      <c r="BQ43" s="3">
        <f t="shared" si="3"/>
        <v>11.906515608241175</v>
      </c>
      <c r="BR43" s="3">
        <f t="shared" si="4"/>
        <v>23.357924595411252</v>
      </c>
    </row>
    <row r="44" spans="1:70" x14ac:dyDescent="0.35">
      <c r="A44" s="5">
        <v>44721</v>
      </c>
      <c r="B44" t="s">
        <v>32</v>
      </c>
      <c r="C44" t="s">
        <v>33</v>
      </c>
      <c r="D44" t="s">
        <v>123</v>
      </c>
      <c r="E44" t="s">
        <v>124</v>
      </c>
      <c r="F44">
        <v>4</v>
      </c>
      <c r="G44" t="s">
        <v>72</v>
      </c>
      <c r="H44" t="s">
        <v>155</v>
      </c>
      <c r="I44" t="s">
        <v>156</v>
      </c>
      <c r="J44" t="s">
        <v>156</v>
      </c>
      <c r="K44" t="s">
        <v>127</v>
      </c>
      <c r="L44" s="1">
        <v>0.54200000000000004</v>
      </c>
      <c r="M44">
        <v>3.09</v>
      </c>
      <c r="N44" s="2">
        <v>-0.309</v>
      </c>
      <c r="O44" t="s">
        <v>128</v>
      </c>
      <c r="P44">
        <v>0.38600000000000001</v>
      </c>
      <c r="Q44" s="1">
        <v>0.15600000000000003</v>
      </c>
      <c r="R44">
        <v>13.84</v>
      </c>
      <c r="S44" s="2">
        <v>-1.3839999999999999</v>
      </c>
      <c r="T44">
        <v>24.548100000000002</v>
      </c>
      <c r="U44" s="16">
        <v>69.400000000000006</v>
      </c>
      <c r="V44" s="17">
        <v>740</v>
      </c>
      <c r="W44">
        <v>39.011654554745455</v>
      </c>
      <c r="X44">
        <v>0.4041450777202073</v>
      </c>
      <c r="Y44">
        <v>3.9011654554745457E-5</v>
      </c>
      <c r="Z44">
        <v>1.9820569258861258E-5</v>
      </c>
      <c r="AA44" s="3">
        <v>19.820569258861259</v>
      </c>
      <c r="AB44" s="3">
        <v>18.437738845452333</v>
      </c>
      <c r="AC44">
        <v>24.548100000000002</v>
      </c>
      <c r="AD44" s="16">
        <v>69.400000000000006</v>
      </c>
      <c r="AE44" s="17">
        <v>740</v>
      </c>
      <c r="AF44">
        <v>39.011654554745455</v>
      </c>
      <c r="AH44" s="5">
        <v>44806</v>
      </c>
      <c r="AI44" s="6" t="s">
        <v>32</v>
      </c>
      <c r="AJ44" s="6" t="s">
        <v>40</v>
      </c>
      <c r="AK44" t="s">
        <v>123</v>
      </c>
      <c r="AL44" t="s">
        <v>124</v>
      </c>
      <c r="AM44">
        <v>8</v>
      </c>
      <c r="AN44" t="s">
        <v>75</v>
      </c>
      <c r="AO44" t="s">
        <v>65</v>
      </c>
      <c r="AP44" t="s">
        <v>156</v>
      </c>
      <c r="AQ44" t="s">
        <v>156</v>
      </c>
      <c r="AR44" t="s">
        <v>130</v>
      </c>
      <c r="AS44" s="1">
        <v>0.59099999999999997</v>
      </c>
      <c r="AT44">
        <v>9.4499999999999993</v>
      </c>
      <c r="AU44" s="1">
        <v>-0.94499999999999995</v>
      </c>
      <c r="AV44" t="s">
        <v>128</v>
      </c>
      <c r="AW44">
        <v>0.50900000000000001</v>
      </c>
      <c r="AX44" s="1">
        <v>8.1999999999999962E-2</v>
      </c>
      <c r="AY44">
        <v>22.08</v>
      </c>
      <c r="AZ44" s="4">
        <v>-2.2079999999999997</v>
      </c>
      <c r="BA44">
        <v>35.566600000000001</v>
      </c>
      <c r="BB44" s="16">
        <v>69.400000000000006</v>
      </c>
      <c r="BC44" s="17">
        <v>740</v>
      </c>
      <c r="BD44">
        <v>12.574253848476909</v>
      </c>
      <c r="BE44">
        <v>0.16110019646365414</v>
      </c>
      <c r="BF44">
        <v>1.2574253848476909E-5</v>
      </c>
      <c r="BG44">
        <v>6.38857469970913E-6</v>
      </c>
      <c r="BH44" s="3">
        <v>6.3885746997091299</v>
      </c>
      <c r="BI44" s="3">
        <v>5.0582539190096041</v>
      </c>
      <c r="BJ44">
        <v>35.566600000000001</v>
      </c>
      <c r="BK44">
        <v>69.400000000000006</v>
      </c>
      <c r="BL44">
        <v>740</v>
      </c>
      <c r="BM44">
        <v>12.574253848476909</v>
      </c>
      <c r="BN44" s="1">
        <f t="shared" si="0"/>
        <v>0.6359999999999999</v>
      </c>
      <c r="BO44" s="1">
        <f t="shared" si="1"/>
        <v>0.82399999999999984</v>
      </c>
      <c r="BP44">
        <f t="shared" si="2"/>
        <v>26.437400706268548</v>
      </c>
      <c r="BQ44" s="3">
        <f t="shared" si="3"/>
        <v>13.379484926442728</v>
      </c>
      <c r="BR44" s="3">
        <f t="shared" si="4"/>
        <v>13.431994559152129</v>
      </c>
    </row>
    <row r="45" spans="1:70" x14ac:dyDescent="0.35">
      <c r="A45" s="5">
        <v>44721</v>
      </c>
      <c r="B45" t="s">
        <v>32</v>
      </c>
      <c r="C45" t="s">
        <v>33</v>
      </c>
      <c r="D45" t="s">
        <v>123</v>
      </c>
      <c r="E45" t="s">
        <v>124</v>
      </c>
      <c r="F45">
        <v>5</v>
      </c>
      <c r="G45" t="s">
        <v>75</v>
      </c>
      <c r="H45" t="s">
        <v>65</v>
      </c>
      <c r="I45" t="s">
        <v>157</v>
      </c>
      <c r="J45" t="s">
        <v>157</v>
      </c>
      <c r="K45" t="s">
        <v>127</v>
      </c>
      <c r="L45" s="1">
        <v>0.75</v>
      </c>
      <c r="M45">
        <v>3.34</v>
      </c>
      <c r="N45" s="2">
        <v>-0.33399999999999996</v>
      </c>
      <c r="O45" t="s">
        <v>128</v>
      </c>
      <c r="P45">
        <v>0.57999999999999996</v>
      </c>
      <c r="Q45" s="1">
        <v>0.17000000000000004</v>
      </c>
      <c r="R45">
        <v>19.07</v>
      </c>
      <c r="S45" s="2">
        <v>-1.907</v>
      </c>
      <c r="T45">
        <v>24.548100000000002</v>
      </c>
      <c r="U45" s="16">
        <v>76.2</v>
      </c>
      <c r="V45" s="17">
        <v>770</v>
      </c>
      <c r="W45">
        <v>26.269373992430033</v>
      </c>
      <c r="X45">
        <v>0.29310344827586216</v>
      </c>
      <c r="Y45">
        <v>2.6269373992430034E-5</v>
      </c>
      <c r="Z45">
        <v>1.3363220698933911E-5</v>
      </c>
      <c r="AA45" s="3">
        <v>13.363220698933912</v>
      </c>
      <c r="AB45" s="3">
        <v>8.4953723451582412</v>
      </c>
      <c r="AC45">
        <v>24.548100000000002</v>
      </c>
      <c r="AD45" s="16">
        <v>76.2</v>
      </c>
      <c r="AE45" s="17">
        <v>770</v>
      </c>
      <c r="AF45">
        <v>26.269373992430033</v>
      </c>
      <c r="AH45" s="5">
        <v>44806</v>
      </c>
      <c r="AI45" s="6" t="s">
        <v>32</v>
      </c>
      <c r="AJ45" s="6" t="s">
        <v>40</v>
      </c>
      <c r="AK45" t="s">
        <v>123</v>
      </c>
      <c r="AL45" t="s">
        <v>124</v>
      </c>
      <c r="AM45">
        <v>9</v>
      </c>
      <c r="AN45" t="s">
        <v>78</v>
      </c>
      <c r="AO45" t="s">
        <v>51</v>
      </c>
      <c r="AP45" t="s">
        <v>157</v>
      </c>
      <c r="AQ45" t="s">
        <v>157</v>
      </c>
      <c r="AR45" t="s">
        <v>135</v>
      </c>
      <c r="AS45" s="1">
        <v>0.83499999999999996</v>
      </c>
      <c r="AT45">
        <v>9.06</v>
      </c>
      <c r="AU45" s="1">
        <v>-0.90600000000000003</v>
      </c>
      <c r="AV45" t="s">
        <v>136</v>
      </c>
      <c r="AW45">
        <v>0.60899999999999999</v>
      </c>
      <c r="AX45" s="1">
        <v>0.22599999999999998</v>
      </c>
      <c r="AY45">
        <v>19.21</v>
      </c>
      <c r="AZ45" s="4">
        <v>-1.921</v>
      </c>
      <c r="BA45">
        <v>35.566600000000001</v>
      </c>
      <c r="BB45" s="16">
        <v>76.2</v>
      </c>
      <c r="BC45" s="17">
        <v>770</v>
      </c>
      <c r="BD45">
        <v>35.122915814969851</v>
      </c>
      <c r="BE45">
        <v>0.37110016420361247</v>
      </c>
      <c r="BF45">
        <v>3.5122915814969853E-5</v>
      </c>
      <c r="BG45">
        <v>1.7867014103981733E-5</v>
      </c>
      <c r="BH45" s="3">
        <v>17.867014103981731</v>
      </c>
      <c r="BI45" s="3">
        <v>17.602969560573133</v>
      </c>
      <c r="BJ45">
        <v>35.566600000000001</v>
      </c>
      <c r="BK45">
        <v>76.2</v>
      </c>
      <c r="BL45">
        <v>770</v>
      </c>
      <c r="BM45">
        <v>35.122915814969851</v>
      </c>
      <c r="BN45" s="1">
        <f t="shared" si="0"/>
        <v>0.57200000000000006</v>
      </c>
      <c r="BO45" s="1">
        <f t="shared" si="1"/>
        <v>1.4000000000000012E-2</v>
      </c>
      <c r="BP45">
        <f t="shared" si="2"/>
        <v>-8.8535418225398175</v>
      </c>
      <c r="BQ45" s="3">
        <f t="shared" si="3"/>
        <v>-9.1075972154148914</v>
      </c>
      <c r="BR45" s="3">
        <f t="shared" si="4"/>
        <v>-4.5037934050478192</v>
      </c>
    </row>
    <row r="46" spans="1:70" x14ac:dyDescent="0.35">
      <c r="A46" s="5">
        <v>44721</v>
      </c>
      <c r="B46" t="s">
        <v>32</v>
      </c>
      <c r="C46" t="s">
        <v>33</v>
      </c>
      <c r="D46" t="s">
        <v>123</v>
      </c>
      <c r="E46" t="s">
        <v>124</v>
      </c>
      <c r="F46">
        <v>8</v>
      </c>
      <c r="G46" t="s">
        <v>78</v>
      </c>
      <c r="H46" t="s">
        <v>51</v>
      </c>
      <c r="I46" t="s">
        <v>158</v>
      </c>
      <c r="J46" t="s">
        <v>158</v>
      </c>
      <c r="K46" t="s">
        <v>127</v>
      </c>
      <c r="L46" s="1">
        <v>0.84599999999999997</v>
      </c>
      <c r="M46">
        <v>5.69</v>
      </c>
      <c r="N46" s="2">
        <v>-0.56900000000000006</v>
      </c>
      <c r="O46" t="s">
        <v>128</v>
      </c>
      <c r="P46">
        <v>0.96499999999999997</v>
      </c>
      <c r="Q46" s="1">
        <v>-0.11899999999999999</v>
      </c>
      <c r="R46">
        <v>13.45</v>
      </c>
      <c r="S46" s="2">
        <v>-1.345</v>
      </c>
      <c r="T46">
        <v>24.548100000000002</v>
      </c>
      <c r="U46" s="16">
        <v>94.8</v>
      </c>
      <c r="V46" s="17">
        <v>700</v>
      </c>
      <c r="W46">
        <v>10.640262785103246</v>
      </c>
      <c r="X46">
        <v>0.14066193853427897</v>
      </c>
      <c r="Y46">
        <v>1.0640262785103246E-5</v>
      </c>
      <c r="Z46">
        <v>9.2526518174448155E-6</v>
      </c>
      <c r="AA46" s="3">
        <v>9.252651817444816</v>
      </c>
      <c r="AB46" s="3">
        <v>11.923520383305176</v>
      </c>
      <c r="AC46">
        <v>24.548100000000002</v>
      </c>
      <c r="AD46" s="16">
        <v>94.8</v>
      </c>
      <c r="AE46" s="17">
        <v>700</v>
      </c>
      <c r="AF46">
        <v>10.640262785103246</v>
      </c>
      <c r="AH46" s="5">
        <v>44806</v>
      </c>
      <c r="AI46" s="6" t="s">
        <v>32</v>
      </c>
      <c r="AJ46" s="6" t="s">
        <v>40</v>
      </c>
      <c r="AK46" t="s">
        <v>123</v>
      </c>
      <c r="AL46" t="s">
        <v>124</v>
      </c>
      <c r="AM46">
        <v>11</v>
      </c>
      <c r="AN46" t="s">
        <v>81</v>
      </c>
      <c r="AO46" t="s">
        <v>159</v>
      </c>
      <c r="AP46" t="s">
        <v>158</v>
      </c>
      <c r="AQ46" t="s">
        <v>158</v>
      </c>
      <c r="AR46" t="s">
        <v>130</v>
      </c>
      <c r="AS46" s="1">
        <v>1.2210000000000001</v>
      </c>
      <c r="AT46">
        <v>8.7799999999999994</v>
      </c>
      <c r="AU46" s="1">
        <v>-0.87799999999999989</v>
      </c>
      <c r="AV46" t="s">
        <v>128</v>
      </c>
      <c r="AW46">
        <v>1.2549999999999999</v>
      </c>
      <c r="AX46" s="1">
        <v>-3.3999999999999808E-2</v>
      </c>
      <c r="AY46">
        <v>9.56</v>
      </c>
      <c r="AZ46" s="4">
        <v>-0.95600000000000007</v>
      </c>
      <c r="BA46">
        <v>35.566600000000001</v>
      </c>
      <c r="BB46" s="16">
        <v>94.8</v>
      </c>
      <c r="BC46" s="17">
        <v>700</v>
      </c>
      <c r="BD46">
        <v>1.4489404139187751</v>
      </c>
      <c r="BE46">
        <v>2.7846027846027688E-2</v>
      </c>
      <c r="BF46">
        <v>1.4489404139187751E-6</v>
      </c>
      <c r="BG46">
        <v>1.2599821475259464E-6</v>
      </c>
      <c r="BH46" s="3">
        <v>1.2599821475259465</v>
      </c>
      <c r="BI46" s="3">
        <v>16.153617275973637</v>
      </c>
      <c r="BJ46">
        <v>35.566600000000001</v>
      </c>
      <c r="BK46">
        <v>94.8</v>
      </c>
      <c r="BL46">
        <v>700</v>
      </c>
      <c r="BM46">
        <v>1.4489404139187751</v>
      </c>
      <c r="BN46" s="1">
        <f t="shared" si="0"/>
        <v>0.30899999999999983</v>
      </c>
      <c r="BO46" s="1">
        <f t="shared" si="1"/>
        <v>-0.3889999999999999</v>
      </c>
      <c r="BP46">
        <f t="shared" si="2"/>
        <v>9.1913223711844712</v>
      </c>
      <c r="BQ46" s="3">
        <f t="shared" si="3"/>
        <v>-4.2300968926684615</v>
      </c>
      <c r="BR46" s="3">
        <f t="shared" si="4"/>
        <v>7.99266966991887</v>
      </c>
    </row>
    <row r="47" spans="1:70" x14ac:dyDescent="0.35">
      <c r="A47" s="12">
        <v>44721</v>
      </c>
      <c r="B47" s="13" t="s">
        <v>32</v>
      </c>
      <c r="C47" s="13" t="s">
        <v>33</v>
      </c>
      <c r="D47" s="13" t="s">
        <v>123</v>
      </c>
      <c r="E47" s="13" t="s">
        <v>124</v>
      </c>
      <c r="F47" s="13">
        <v>1</v>
      </c>
      <c r="G47" s="13" t="s">
        <v>81</v>
      </c>
      <c r="H47" s="13" t="s">
        <v>159</v>
      </c>
      <c r="I47" s="13" t="s">
        <v>160</v>
      </c>
      <c r="J47" s="13" t="s">
        <v>160</v>
      </c>
      <c r="K47" s="13" t="s">
        <v>127</v>
      </c>
      <c r="L47" s="7">
        <v>0.51200000000000001</v>
      </c>
      <c r="M47" s="13">
        <v>3.36</v>
      </c>
      <c r="N47" s="14">
        <v>-0.33599999999999997</v>
      </c>
      <c r="O47" s="13" t="s">
        <v>128</v>
      </c>
      <c r="P47" s="13">
        <v>0.375</v>
      </c>
      <c r="Q47" s="7">
        <v>0.13700000000000001</v>
      </c>
      <c r="R47" s="13">
        <v>8.07</v>
      </c>
      <c r="S47" s="14">
        <v>-0.80700000000000005</v>
      </c>
      <c r="T47">
        <v>24.548100000000002</v>
      </c>
      <c r="U47" s="16">
        <v>34.5</v>
      </c>
      <c r="V47" s="17">
        <v>430</v>
      </c>
      <c r="W47">
        <v>34.452241988578166</v>
      </c>
      <c r="X47" s="13">
        <v>0.36533333333333334</v>
      </c>
      <c r="Y47" s="13">
        <v>3.4452241988578164E-5</v>
      </c>
      <c r="Z47" s="13">
        <v>6.7761354268525469E-6</v>
      </c>
      <c r="AA47" s="3">
        <v>6.7761354268525471</v>
      </c>
      <c r="AB47" s="3">
        <v>14.3866994200691</v>
      </c>
      <c r="AC47">
        <v>24.548100000000002</v>
      </c>
      <c r="AD47" s="16">
        <v>34.5</v>
      </c>
      <c r="AE47" s="17">
        <v>430</v>
      </c>
      <c r="AF47">
        <v>34.452241988578166</v>
      </c>
      <c r="AH47" s="5">
        <v>44806</v>
      </c>
      <c r="AI47" s="6" t="s">
        <v>32</v>
      </c>
      <c r="AJ47" s="6" t="s">
        <v>40</v>
      </c>
      <c r="AK47" t="s">
        <v>123</v>
      </c>
      <c r="AL47" t="s">
        <v>124</v>
      </c>
      <c r="AM47">
        <v>6</v>
      </c>
      <c r="AN47" t="s">
        <v>81</v>
      </c>
      <c r="AO47" t="s">
        <v>161</v>
      </c>
      <c r="AP47" t="s">
        <v>160</v>
      </c>
      <c r="AQ47" t="s">
        <v>160</v>
      </c>
      <c r="AR47" t="s">
        <v>130</v>
      </c>
      <c r="AS47" s="1">
        <v>0.60499999999999998</v>
      </c>
      <c r="AT47">
        <v>9.42</v>
      </c>
      <c r="AU47" s="1">
        <v>-0.94199999999999995</v>
      </c>
      <c r="AV47" t="s">
        <v>128</v>
      </c>
      <c r="AW47">
        <v>0.44400000000000001</v>
      </c>
      <c r="AX47" s="1">
        <v>0.16099999999999998</v>
      </c>
      <c r="AY47">
        <v>11.78</v>
      </c>
      <c r="AZ47" s="4">
        <v>-1.1779999999999999</v>
      </c>
      <c r="BA47">
        <v>35.566600000000001</v>
      </c>
      <c r="BB47" s="16">
        <v>34.5</v>
      </c>
      <c r="BC47" s="17">
        <v>430</v>
      </c>
      <c r="BD47">
        <v>34.136671945359723</v>
      </c>
      <c r="BE47">
        <v>0.36261261261261257</v>
      </c>
      <c r="BF47">
        <v>3.4136671945359725E-5</v>
      </c>
      <c r="BG47">
        <v>6.7140684835687173E-6</v>
      </c>
      <c r="BH47" s="3">
        <v>6.7140684835687177</v>
      </c>
      <c r="BI47" s="3">
        <v>28.449442726986092</v>
      </c>
      <c r="BJ47">
        <v>35.566600000000001</v>
      </c>
      <c r="BK47">
        <v>34.5</v>
      </c>
      <c r="BL47">
        <v>430</v>
      </c>
      <c r="BM47">
        <v>34.136671945359723</v>
      </c>
      <c r="BN47" s="1">
        <f t="shared" si="0"/>
        <v>0.60599999999999998</v>
      </c>
      <c r="BO47" s="1">
        <f t="shared" si="1"/>
        <v>0.37099999999999989</v>
      </c>
      <c r="BP47">
        <f t="shared" si="2"/>
        <v>0.31557004321844317</v>
      </c>
      <c r="BQ47" s="3">
        <f t="shared" si="3"/>
        <v>-14.062743306916992</v>
      </c>
      <c r="BR47" s="3">
        <f t="shared" si="4"/>
        <v>6.2066943283829445E-2</v>
      </c>
    </row>
    <row r="48" spans="1:70" x14ac:dyDescent="0.35">
      <c r="A48" s="5">
        <v>44721</v>
      </c>
      <c r="B48" t="s">
        <v>32</v>
      </c>
      <c r="C48" t="s">
        <v>33</v>
      </c>
      <c r="D48" t="s">
        <v>123</v>
      </c>
      <c r="E48" t="s">
        <v>124</v>
      </c>
      <c r="F48">
        <v>10</v>
      </c>
      <c r="G48" t="s">
        <v>81</v>
      </c>
      <c r="H48" t="s">
        <v>159</v>
      </c>
      <c r="I48" t="s">
        <v>160</v>
      </c>
      <c r="J48" t="s">
        <v>160</v>
      </c>
      <c r="K48" t="s">
        <v>127</v>
      </c>
      <c r="L48" s="1">
        <v>0.64300000000000002</v>
      </c>
      <c r="M48">
        <v>2.4700000000000002</v>
      </c>
      <c r="N48" s="2">
        <v>-0.24700000000000003</v>
      </c>
      <c r="O48" t="s">
        <v>132</v>
      </c>
      <c r="P48">
        <v>0.32100000000000001</v>
      </c>
      <c r="Q48" s="1">
        <v>0.32200000000000001</v>
      </c>
      <c r="R48">
        <v>6.81</v>
      </c>
      <c r="S48" s="2">
        <v>-0.68099999999999994</v>
      </c>
      <c r="T48">
        <v>24.548100000000002</v>
      </c>
      <c r="U48" s="16">
        <v>34.5</v>
      </c>
      <c r="V48" s="17">
        <v>430</v>
      </c>
      <c r="W48">
        <v>119.45651609540957</v>
      </c>
      <c r="X48">
        <v>1.0031152647975079</v>
      </c>
      <c r="Y48">
        <v>1.1945651609540956E-4</v>
      </c>
      <c r="Z48">
        <v>2.3494945000991273E-5</v>
      </c>
      <c r="AA48" s="3">
        <v>23.494945000991272</v>
      </c>
      <c r="AB48" s="3">
        <v>54.135817974634278</v>
      </c>
      <c r="AC48">
        <v>24.548100000000002</v>
      </c>
      <c r="AD48" s="16">
        <v>34.5</v>
      </c>
      <c r="AE48" s="17">
        <v>430</v>
      </c>
      <c r="AF48">
        <v>119.45651609540957</v>
      </c>
      <c r="AH48" s="5">
        <v>44804</v>
      </c>
      <c r="AI48" s="6" t="s">
        <v>32</v>
      </c>
      <c r="AJ48" s="6" t="s">
        <v>40</v>
      </c>
      <c r="AK48" t="s">
        <v>162</v>
      </c>
      <c r="AL48" t="s">
        <v>124</v>
      </c>
      <c r="AM48">
        <v>11</v>
      </c>
      <c r="AN48" t="s">
        <v>36</v>
      </c>
      <c r="AO48" t="s">
        <v>138</v>
      </c>
      <c r="AP48" t="s">
        <v>163</v>
      </c>
      <c r="AQ48" t="s">
        <v>163</v>
      </c>
      <c r="AR48" t="s">
        <v>135</v>
      </c>
      <c r="AS48" s="1">
        <v>0.72699999999999998</v>
      </c>
      <c r="AT48">
        <v>4.95</v>
      </c>
      <c r="AU48" s="1">
        <v>-0.495</v>
      </c>
      <c r="AV48" t="s">
        <v>136</v>
      </c>
      <c r="AW48">
        <v>0.58299999999999996</v>
      </c>
      <c r="AX48" s="1">
        <v>0.14400000000000002</v>
      </c>
      <c r="AY48">
        <v>6.96</v>
      </c>
      <c r="AZ48" s="4">
        <v>-0.69599999999999995</v>
      </c>
      <c r="BA48">
        <v>35.566600000000001</v>
      </c>
      <c r="BB48" s="16">
        <v>40</v>
      </c>
      <c r="BC48" s="17">
        <v>540</v>
      </c>
      <c r="BD48">
        <v>21.279097194268992</v>
      </c>
      <c r="BE48">
        <v>0.24699828473413382</v>
      </c>
      <c r="BF48">
        <v>2.1279097194268991E-5</v>
      </c>
      <c r="BG48">
        <v>5.5391305031855903E-6</v>
      </c>
      <c r="BH48" s="3">
        <v>5.5391305031855902</v>
      </c>
      <c r="BI48" s="3">
        <v>27.557863199928317</v>
      </c>
      <c r="BJ48">
        <v>35.566600000000001</v>
      </c>
      <c r="BK48">
        <v>40</v>
      </c>
      <c r="BL48">
        <v>540</v>
      </c>
      <c r="BM48">
        <v>21.279097194268992</v>
      </c>
      <c r="BN48" s="1">
        <f t="shared" si="0"/>
        <v>0.24799999999999997</v>
      </c>
      <c r="BO48" s="1">
        <f t="shared" si="1"/>
        <v>1.5000000000000013E-2</v>
      </c>
      <c r="BP48">
        <f t="shared" si="2"/>
        <v>98.177418901140584</v>
      </c>
      <c r="BQ48" s="3">
        <f t="shared" si="3"/>
        <v>26.577954774705962</v>
      </c>
      <c r="BR48" s="3">
        <f t="shared" si="4"/>
        <v>17.955814497805683</v>
      </c>
    </row>
    <row r="49" spans="1:70" x14ac:dyDescent="0.35">
      <c r="A49" s="5">
        <v>44722</v>
      </c>
      <c r="B49" t="s">
        <v>32</v>
      </c>
      <c r="C49" t="s">
        <v>33</v>
      </c>
      <c r="D49" t="s">
        <v>162</v>
      </c>
      <c r="E49" t="s">
        <v>124</v>
      </c>
      <c r="F49">
        <v>12</v>
      </c>
      <c r="G49" s="20" t="s">
        <v>36</v>
      </c>
      <c r="H49" t="s">
        <v>138</v>
      </c>
      <c r="I49" t="s">
        <v>164</v>
      </c>
      <c r="J49" t="s">
        <v>164</v>
      </c>
      <c r="K49" t="s">
        <v>165</v>
      </c>
      <c r="L49" s="1">
        <v>0.58899999999999997</v>
      </c>
      <c r="M49" s="20">
        <v>4.8499999999999996</v>
      </c>
      <c r="N49" s="2">
        <v>-0.48499999999999999</v>
      </c>
      <c r="O49" t="s">
        <v>166</v>
      </c>
      <c r="P49">
        <v>0.41199999999999998</v>
      </c>
      <c r="Q49" s="1">
        <v>0.17699999999999999</v>
      </c>
      <c r="R49">
        <v>12.73</v>
      </c>
      <c r="S49" s="2">
        <v>-1.2730000000000001</v>
      </c>
      <c r="T49">
        <v>27.385200000000001</v>
      </c>
      <c r="U49" s="16">
        <v>87.4</v>
      </c>
      <c r="V49" s="17">
        <v>678</v>
      </c>
      <c r="W49">
        <v>42.059449042259644</v>
      </c>
      <c r="X49">
        <v>0.5321782178217821</v>
      </c>
      <c r="Y49">
        <v>5.4742325807164835E-5</v>
      </c>
      <c r="Z49">
        <v>1.4393781637735242E-5</v>
      </c>
      <c r="AA49" s="3">
        <v>14.393781637735241</v>
      </c>
      <c r="AB49" s="3" t="s">
        <v>64</v>
      </c>
      <c r="AC49">
        <v>24.828800000000001</v>
      </c>
      <c r="AD49" s="16">
        <v>47.1</v>
      </c>
      <c r="AE49" s="17">
        <v>530</v>
      </c>
      <c r="AF49">
        <v>54.742325807164832</v>
      </c>
      <c r="AH49" s="5">
        <v>44804</v>
      </c>
      <c r="AI49" s="6" t="s">
        <v>32</v>
      </c>
      <c r="AJ49" s="6" t="s">
        <v>40</v>
      </c>
      <c r="AK49" t="s">
        <v>162</v>
      </c>
      <c r="AL49" t="s">
        <v>124</v>
      </c>
      <c r="AM49">
        <v>7</v>
      </c>
      <c r="AN49" t="s">
        <v>36</v>
      </c>
      <c r="AO49" t="s">
        <v>167</v>
      </c>
      <c r="AP49" t="s">
        <v>164</v>
      </c>
      <c r="AQ49" t="s">
        <v>164</v>
      </c>
      <c r="AR49" t="s">
        <v>168</v>
      </c>
      <c r="AS49" s="1">
        <v>0.621</v>
      </c>
      <c r="AT49">
        <v>5.61</v>
      </c>
      <c r="AU49" s="1">
        <v>-0.56100000000000005</v>
      </c>
      <c r="AV49" t="s">
        <v>169</v>
      </c>
      <c r="AW49">
        <v>0.48299999999999998</v>
      </c>
      <c r="AX49" s="1">
        <v>0.13800000000000001</v>
      </c>
      <c r="AY49">
        <v>17.23</v>
      </c>
      <c r="AZ49" s="4">
        <v>-1.7230000000000001</v>
      </c>
      <c r="BA49">
        <v>32.519599999999997</v>
      </c>
      <c r="BB49" s="16">
        <v>87.4</v>
      </c>
      <c r="BC49" s="17">
        <v>678</v>
      </c>
      <c r="BD49">
        <v>25.456529676096075</v>
      </c>
      <c r="BE49">
        <v>0.28571428571428575</v>
      </c>
      <c r="BF49">
        <v>2.5456529676096076E-5</v>
      </c>
      <c r="BG49">
        <v>1.8512724233268017E-5</v>
      </c>
      <c r="BH49" s="3">
        <v>18.512724233268017</v>
      </c>
      <c r="BI49" s="3">
        <v>15.93177644859554</v>
      </c>
      <c r="BJ49">
        <v>32.519599999999997</v>
      </c>
      <c r="BK49">
        <v>87.4</v>
      </c>
      <c r="BL49">
        <v>678</v>
      </c>
      <c r="BM49">
        <v>25.456529676096075</v>
      </c>
      <c r="BN49" s="1">
        <f t="shared" si="0"/>
        <v>7.6000000000000068E-2</v>
      </c>
      <c r="BO49" s="1">
        <f t="shared" si="1"/>
        <v>0.44999999999999996</v>
      </c>
      <c r="BP49">
        <f t="shared" si="2"/>
        <v>29.285796131068757</v>
      </c>
      <c r="BQ49" s="3" t="e">
        <f t="shared" si="3"/>
        <v>#VALUE!</v>
      </c>
      <c r="BR49" s="3">
        <f t="shared" si="4"/>
        <v>-4.1189425955327756</v>
      </c>
    </row>
    <row r="50" spans="1:70" x14ac:dyDescent="0.35">
      <c r="A50" s="5">
        <v>44722</v>
      </c>
      <c r="B50" t="s">
        <v>32</v>
      </c>
      <c r="C50" t="s">
        <v>33</v>
      </c>
      <c r="D50" t="s">
        <v>162</v>
      </c>
      <c r="E50" t="s">
        <v>124</v>
      </c>
      <c r="F50">
        <v>3</v>
      </c>
      <c r="G50" t="s">
        <v>36</v>
      </c>
      <c r="H50" t="s">
        <v>167</v>
      </c>
      <c r="I50" t="s">
        <v>170</v>
      </c>
      <c r="J50" t="s">
        <v>170</v>
      </c>
      <c r="K50" t="s">
        <v>171</v>
      </c>
      <c r="L50" s="1">
        <v>0.69699999999999995</v>
      </c>
      <c r="M50">
        <v>3.21</v>
      </c>
      <c r="N50" s="2">
        <v>-0.32100000000000001</v>
      </c>
      <c r="O50" t="s">
        <v>172</v>
      </c>
      <c r="P50">
        <v>0.498</v>
      </c>
      <c r="Q50" s="1">
        <v>0.19899999999999995</v>
      </c>
      <c r="R50">
        <v>7.79</v>
      </c>
      <c r="S50" s="2">
        <v>-0.77900000000000003</v>
      </c>
      <c r="T50">
        <v>27.385200000000001</v>
      </c>
      <c r="U50" s="16">
        <v>93.2</v>
      </c>
      <c r="V50" s="17">
        <v>740</v>
      </c>
      <c r="W50">
        <v>38.47208977662001</v>
      </c>
      <c r="X50">
        <v>0.68340611353711789</v>
      </c>
      <c r="Y50">
        <v>7.4479480284327015E-5</v>
      </c>
      <c r="Z50">
        <v>1.5791076150736435E-5</v>
      </c>
      <c r="AA50" s="3">
        <v>15.791076150736435</v>
      </c>
      <c r="AB50" s="3">
        <v>45.771235219525913</v>
      </c>
      <c r="AC50">
        <v>24.828800000000001</v>
      </c>
      <c r="AD50" s="16">
        <v>39.799999999999997</v>
      </c>
      <c r="AE50" s="17">
        <v>470</v>
      </c>
      <c r="AF50">
        <v>74.479480284327011</v>
      </c>
      <c r="AH50" s="5">
        <v>44804</v>
      </c>
      <c r="AI50" s="6" t="s">
        <v>32</v>
      </c>
      <c r="AJ50" s="6" t="s">
        <v>40</v>
      </c>
      <c r="AK50" t="s">
        <v>162</v>
      </c>
      <c r="AL50" t="s">
        <v>124</v>
      </c>
      <c r="AM50">
        <v>13</v>
      </c>
      <c r="AN50" t="s">
        <v>43</v>
      </c>
      <c r="AO50" t="s">
        <v>173</v>
      </c>
      <c r="AP50" t="s">
        <v>170</v>
      </c>
      <c r="AQ50" t="s">
        <v>170</v>
      </c>
      <c r="AR50" t="s">
        <v>174</v>
      </c>
      <c r="AS50" s="1">
        <v>0.73499999999999999</v>
      </c>
      <c r="AT50" s="13">
        <v>11.2</v>
      </c>
      <c r="AU50" s="1">
        <v>-1.1199999999999999</v>
      </c>
      <c r="AV50" t="s">
        <v>39</v>
      </c>
      <c r="AW50">
        <v>0.53800000000000003</v>
      </c>
      <c r="AX50" s="1">
        <v>0.19699999999999995</v>
      </c>
      <c r="AY50">
        <v>19.579999999999998</v>
      </c>
      <c r="AZ50" s="4">
        <v>-1.9579999999999997</v>
      </c>
      <c r="BA50">
        <v>32.519599999999997</v>
      </c>
      <c r="BB50" s="16">
        <v>93.2</v>
      </c>
      <c r="BC50" s="17">
        <v>740</v>
      </c>
      <c r="BD50">
        <v>34.549510962554749</v>
      </c>
      <c r="BE50">
        <v>0.36617100371747202</v>
      </c>
      <c r="BF50">
        <v>3.4549510962554749E-5</v>
      </c>
      <c r="BG50">
        <v>1.9826396657350245E-5</v>
      </c>
      <c r="BH50" s="3">
        <v>19.826396657350244</v>
      </c>
      <c r="BI50" s="3">
        <v>23.65918455531056</v>
      </c>
      <c r="BJ50">
        <v>32.519599999999997</v>
      </c>
      <c r="BK50">
        <v>93.2</v>
      </c>
      <c r="BL50">
        <v>740</v>
      </c>
      <c r="BM50">
        <v>34.549510962554749</v>
      </c>
      <c r="BN50" s="1">
        <f t="shared" si="0"/>
        <v>0.79899999999999993</v>
      </c>
      <c r="BO50" s="1">
        <f t="shared" si="1"/>
        <v>1.1789999999999998</v>
      </c>
      <c r="BP50">
        <f t="shared" si="2"/>
        <v>39.929969321772262</v>
      </c>
      <c r="BQ50" s="3">
        <f t="shared" si="3"/>
        <v>22.112050664215353</v>
      </c>
      <c r="BR50" s="3">
        <f t="shared" si="4"/>
        <v>-4.0353205066138091</v>
      </c>
    </row>
    <row r="51" spans="1:70" x14ac:dyDescent="0.35">
      <c r="A51" s="5">
        <v>44722</v>
      </c>
      <c r="B51" t="s">
        <v>32</v>
      </c>
      <c r="C51" t="s">
        <v>33</v>
      </c>
      <c r="D51" t="s">
        <v>162</v>
      </c>
      <c r="E51" t="s">
        <v>124</v>
      </c>
      <c r="F51">
        <v>6</v>
      </c>
      <c r="G51" t="s">
        <v>43</v>
      </c>
      <c r="H51" t="s">
        <v>173</v>
      </c>
      <c r="I51" t="s">
        <v>175</v>
      </c>
      <c r="J51" t="s">
        <v>175</v>
      </c>
      <c r="K51" t="s">
        <v>171</v>
      </c>
      <c r="L51" s="1">
        <v>0.68500000000000005</v>
      </c>
      <c r="M51">
        <v>1.53</v>
      </c>
      <c r="N51" s="2">
        <v>-0.153</v>
      </c>
      <c r="O51" t="s">
        <v>172</v>
      </c>
      <c r="P51">
        <v>0.47599999999999998</v>
      </c>
      <c r="Q51" s="1">
        <v>0.20900000000000007</v>
      </c>
      <c r="R51">
        <v>1.18</v>
      </c>
      <c r="S51" s="2">
        <v>-0.11799999999999999</v>
      </c>
      <c r="T51">
        <v>27.385200000000001</v>
      </c>
      <c r="U51" s="16">
        <v>90.2</v>
      </c>
      <c r="V51" s="17">
        <v>800</v>
      </c>
      <c r="W51">
        <v>43.202898103165161</v>
      </c>
      <c r="X51">
        <v>3.0387596899224807</v>
      </c>
      <c r="Y51">
        <v>4.6746185327387562E-4</v>
      </c>
      <c r="Z51">
        <v>5.4987272212154063E-5</v>
      </c>
      <c r="AA51" s="3">
        <v>54.98727221215406</v>
      </c>
      <c r="AB51" s="3" t="s">
        <v>64</v>
      </c>
      <c r="AC51">
        <v>24.828800000000001</v>
      </c>
      <c r="AD51" s="16">
        <v>30.7</v>
      </c>
      <c r="AE51" s="17">
        <v>335</v>
      </c>
      <c r="AF51">
        <v>467.46185327387559</v>
      </c>
      <c r="AH51" s="5">
        <v>44804</v>
      </c>
      <c r="AI51" s="6" t="s">
        <v>32</v>
      </c>
      <c r="AJ51" s="6" t="s">
        <v>40</v>
      </c>
      <c r="AK51" t="s">
        <v>162</v>
      </c>
      <c r="AL51" t="s">
        <v>124</v>
      </c>
      <c r="AM51">
        <v>9</v>
      </c>
      <c r="AN51" t="s">
        <v>50</v>
      </c>
      <c r="AO51" t="s">
        <v>105</v>
      </c>
      <c r="AP51" t="s">
        <v>175</v>
      </c>
      <c r="AQ51" t="s">
        <v>175</v>
      </c>
      <c r="AR51" t="s">
        <v>168</v>
      </c>
      <c r="AS51" s="1">
        <v>0.68500000000000005</v>
      </c>
      <c r="AT51">
        <v>3.28</v>
      </c>
      <c r="AU51" s="1">
        <v>-0.32799999999999996</v>
      </c>
      <c r="AV51" t="s">
        <v>169</v>
      </c>
      <c r="AW51">
        <v>0.52200000000000002</v>
      </c>
      <c r="AX51" s="1">
        <v>0.16300000000000003</v>
      </c>
      <c r="AY51">
        <v>4.1399999999999997</v>
      </c>
      <c r="AZ51" s="4">
        <v>-0.41399999999999998</v>
      </c>
      <c r="BA51">
        <v>32.519599999999997</v>
      </c>
      <c r="BB51" s="16">
        <v>90.2</v>
      </c>
      <c r="BC51" s="17">
        <v>800</v>
      </c>
      <c r="BD51">
        <v>28.398638095148311</v>
      </c>
      <c r="BE51">
        <v>0.31226053639846746</v>
      </c>
      <c r="BF51">
        <v>2.8398638095148312E-5</v>
      </c>
      <c r="BG51">
        <v>1.8562348248609471E-5</v>
      </c>
      <c r="BH51" s="3">
        <v>18.562348248609471</v>
      </c>
      <c r="BI51" s="3">
        <v>215.84125870476123</v>
      </c>
      <c r="BJ51">
        <v>32.519599999999997</v>
      </c>
      <c r="BK51">
        <v>90.2</v>
      </c>
      <c r="BL51">
        <v>800</v>
      </c>
      <c r="BM51">
        <v>28.398638095148311</v>
      </c>
      <c r="BN51" s="1">
        <f t="shared" si="0"/>
        <v>0.17499999999999996</v>
      </c>
      <c r="BO51" s="1">
        <f t="shared" si="1"/>
        <v>0.29599999999999999</v>
      </c>
      <c r="BP51">
        <f t="shared" si="2"/>
        <v>439.06321517872726</v>
      </c>
      <c r="BQ51" s="3" t="e">
        <f t="shared" si="3"/>
        <v>#VALUE!</v>
      </c>
      <c r="BR51" s="3">
        <f t="shared" si="4"/>
        <v>36.424923963544586</v>
      </c>
    </row>
    <row r="52" spans="1:70" x14ac:dyDescent="0.35">
      <c r="A52" s="5">
        <v>44722</v>
      </c>
      <c r="B52" t="s">
        <v>32</v>
      </c>
      <c r="C52" t="s">
        <v>33</v>
      </c>
      <c r="D52" t="s">
        <v>162</v>
      </c>
      <c r="E52" t="s">
        <v>124</v>
      </c>
      <c r="F52">
        <v>11</v>
      </c>
      <c r="G52" t="s">
        <v>50</v>
      </c>
      <c r="H52" t="s">
        <v>105</v>
      </c>
      <c r="I52" t="s">
        <v>176</v>
      </c>
      <c r="J52" t="s">
        <v>176</v>
      </c>
      <c r="K52" t="s">
        <v>165</v>
      </c>
      <c r="L52" s="1">
        <v>0.61499999999999999</v>
      </c>
      <c r="M52" s="13">
        <v>2.41</v>
      </c>
      <c r="N52" s="2">
        <v>-0.24100000000000002</v>
      </c>
      <c r="O52" t="s">
        <v>166</v>
      </c>
      <c r="P52">
        <v>0.49299999999999999</v>
      </c>
      <c r="Q52" s="1">
        <v>0.122</v>
      </c>
      <c r="R52">
        <v>6.46</v>
      </c>
      <c r="S52" s="2">
        <v>-0.64600000000000002</v>
      </c>
      <c r="T52">
        <v>27.385200000000001</v>
      </c>
      <c r="U52" s="16">
        <v>75.900000000000006</v>
      </c>
      <c r="V52" s="17">
        <v>610</v>
      </c>
      <c r="W52">
        <v>21.328551175860831</v>
      </c>
      <c r="X52">
        <v>3.1875</v>
      </c>
      <c r="Y52">
        <v>4.9578587501633489E-4</v>
      </c>
      <c r="Z52">
        <v>7.062899140175457E-5</v>
      </c>
      <c r="AA52" s="3">
        <v>70.628991401754575</v>
      </c>
      <c r="AB52" s="3" t="s">
        <v>64</v>
      </c>
      <c r="AC52">
        <v>24.828800000000001</v>
      </c>
      <c r="AD52" s="16">
        <v>20</v>
      </c>
      <c r="AE52" s="17">
        <v>340</v>
      </c>
      <c r="AF52">
        <v>495.7858750163349</v>
      </c>
      <c r="AH52" s="5">
        <v>44804</v>
      </c>
      <c r="AI52" s="6" t="s">
        <v>32</v>
      </c>
      <c r="AJ52" s="6" t="s">
        <v>40</v>
      </c>
      <c r="AK52" t="s">
        <v>162</v>
      </c>
      <c r="AL52" t="s">
        <v>124</v>
      </c>
      <c r="AM52">
        <v>10</v>
      </c>
      <c r="AN52" t="s">
        <v>53</v>
      </c>
      <c r="AO52" t="s">
        <v>177</v>
      </c>
      <c r="AP52" t="s">
        <v>176</v>
      </c>
      <c r="AQ52" t="s">
        <v>176</v>
      </c>
      <c r="AR52" t="s">
        <v>168</v>
      </c>
      <c r="AS52" s="1">
        <v>0.95799999999999996</v>
      </c>
      <c r="AT52">
        <v>7.42</v>
      </c>
      <c r="AU52" s="1">
        <v>-0.74199999999999999</v>
      </c>
      <c r="AV52" t="s">
        <v>169</v>
      </c>
      <c r="AW52">
        <v>0.84099999999999997</v>
      </c>
      <c r="AX52" s="1">
        <v>0.11699999999999999</v>
      </c>
      <c r="AY52">
        <v>18.850000000000001</v>
      </c>
      <c r="AZ52" s="4">
        <v>-1.8850000000000002</v>
      </c>
      <c r="BA52">
        <v>32.519599999999997</v>
      </c>
      <c r="BB52" s="16">
        <v>75.900000000000006</v>
      </c>
      <c r="BC52" s="17">
        <v>610</v>
      </c>
      <c r="BD52">
        <v>10.49687163682643</v>
      </c>
      <c r="BE52">
        <v>0.13912009512485135</v>
      </c>
      <c r="BF52">
        <v>1.0496871636826431E-5</v>
      </c>
      <c r="BG52">
        <v>2.3409059266509914E-6</v>
      </c>
      <c r="BH52" s="3">
        <v>2.3409059266509913</v>
      </c>
      <c r="BI52" s="3">
        <v>2.0480366812344628</v>
      </c>
      <c r="BJ52">
        <v>32.519599999999997</v>
      </c>
      <c r="BK52">
        <v>75.900000000000006</v>
      </c>
      <c r="BL52">
        <v>610</v>
      </c>
      <c r="BM52">
        <v>10.49687163682643</v>
      </c>
      <c r="BN52" s="1">
        <f t="shared" si="0"/>
        <v>0.501</v>
      </c>
      <c r="BO52" s="1">
        <f t="shared" si="1"/>
        <v>1.2390000000000003</v>
      </c>
      <c r="BP52">
        <f t="shared" si="2"/>
        <v>485.28900337950847</v>
      </c>
      <c r="BQ52" s="3" t="e">
        <f t="shared" si="3"/>
        <v>#VALUE!</v>
      </c>
      <c r="BR52" s="3">
        <f t="shared" si="4"/>
        <v>68.288085475103586</v>
      </c>
    </row>
    <row r="53" spans="1:70" x14ac:dyDescent="0.35">
      <c r="A53" s="5">
        <v>44722</v>
      </c>
      <c r="B53" t="s">
        <v>32</v>
      </c>
      <c r="C53" t="s">
        <v>33</v>
      </c>
      <c r="D53" t="s">
        <v>162</v>
      </c>
      <c r="E53" t="s">
        <v>124</v>
      </c>
      <c r="F53">
        <v>9</v>
      </c>
      <c r="G53" t="s">
        <v>53</v>
      </c>
      <c r="H53" t="s">
        <v>177</v>
      </c>
      <c r="I53" t="s">
        <v>178</v>
      </c>
      <c r="J53" t="s">
        <v>178</v>
      </c>
      <c r="K53" t="s">
        <v>165</v>
      </c>
      <c r="L53" s="1">
        <v>0.57199999999999995</v>
      </c>
      <c r="M53">
        <v>1.98</v>
      </c>
      <c r="N53" s="2">
        <v>-0.19800000000000001</v>
      </c>
      <c r="O53" t="s">
        <v>166</v>
      </c>
      <c r="P53">
        <v>0.53600000000000003</v>
      </c>
      <c r="Q53" s="1">
        <v>3.5999999999999921E-2</v>
      </c>
      <c r="R53">
        <v>12.12</v>
      </c>
      <c r="S53" s="2">
        <v>-1.212</v>
      </c>
      <c r="T53">
        <v>27.385200000000001</v>
      </c>
      <c r="U53" s="16">
        <v>19</v>
      </c>
      <c r="V53" s="17">
        <v>240</v>
      </c>
      <c r="W53">
        <v>4.283053346980064</v>
      </c>
      <c r="X53">
        <v>0.17359855334538873</v>
      </c>
      <c r="Y53">
        <v>1.3785680616144627E-5</v>
      </c>
      <c r="Z53">
        <v>2.6930091095188109E-6</v>
      </c>
      <c r="AA53" s="3">
        <v>2.6930091095188109</v>
      </c>
      <c r="AB53" s="3">
        <v>2.8437266204000111</v>
      </c>
      <c r="AC53">
        <v>24.828800000000001</v>
      </c>
      <c r="AD53" s="16">
        <v>39.799999999999997</v>
      </c>
      <c r="AE53" s="17">
        <v>470</v>
      </c>
      <c r="AF53">
        <v>13.785680616144626</v>
      </c>
      <c r="AH53" s="5">
        <v>44804</v>
      </c>
      <c r="AI53" s="6" t="s">
        <v>32</v>
      </c>
      <c r="AJ53" s="6" t="s">
        <v>40</v>
      </c>
      <c r="AK53" t="s">
        <v>162</v>
      </c>
      <c r="AL53" t="s">
        <v>124</v>
      </c>
      <c r="AM53">
        <v>2</v>
      </c>
      <c r="AN53" t="s">
        <v>58</v>
      </c>
      <c r="AO53" t="s">
        <v>179</v>
      </c>
      <c r="AP53" t="s">
        <v>178</v>
      </c>
      <c r="AQ53" t="s">
        <v>178</v>
      </c>
      <c r="AR53" t="s">
        <v>168</v>
      </c>
      <c r="AS53" s="1">
        <v>0.67500000000000004</v>
      </c>
      <c r="AT53">
        <v>9.43</v>
      </c>
      <c r="AU53" s="1">
        <v>-0.94299999999999995</v>
      </c>
      <c r="AV53" t="s">
        <v>169</v>
      </c>
      <c r="AW53">
        <v>0.629</v>
      </c>
      <c r="AX53" s="1">
        <v>4.6000000000000041E-2</v>
      </c>
      <c r="AY53">
        <v>17.87</v>
      </c>
      <c r="AZ53" s="4">
        <v>-1.7870000000000001</v>
      </c>
      <c r="BA53">
        <v>32.519599999999997</v>
      </c>
      <c r="BB53" s="16">
        <v>19</v>
      </c>
      <c r="BC53" s="17">
        <v>240</v>
      </c>
      <c r="BD53">
        <v>4.756230654294515</v>
      </c>
      <c r="BE53">
        <v>7.3131955484896732E-2</v>
      </c>
      <c r="BF53">
        <v>4.756230654294515E-6</v>
      </c>
      <c r="BG53">
        <v>5.8993862330879632E-7</v>
      </c>
      <c r="BH53" s="3">
        <v>0.58993862330879632</v>
      </c>
      <c r="BI53" s="3">
        <v>0.698979411503313</v>
      </c>
      <c r="BJ53">
        <v>32.519599999999997</v>
      </c>
      <c r="BK53">
        <v>19</v>
      </c>
      <c r="BL53">
        <v>240</v>
      </c>
      <c r="BM53">
        <v>4.756230654294515</v>
      </c>
      <c r="BN53" s="1">
        <f t="shared" si="0"/>
        <v>0.74499999999999988</v>
      </c>
      <c r="BO53" s="1">
        <f t="shared" si="1"/>
        <v>0.57500000000000018</v>
      </c>
      <c r="BP53">
        <f t="shared" si="2"/>
        <v>9.0294499618501121</v>
      </c>
      <c r="BQ53" s="3">
        <f t="shared" si="3"/>
        <v>2.1447472088966979</v>
      </c>
      <c r="BR53" s="3">
        <f t="shared" si="4"/>
        <v>2.1030704862100147</v>
      </c>
    </row>
    <row r="54" spans="1:70" x14ac:dyDescent="0.35">
      <c r="A54" s="5">
        <v>44722</v>
      </c>
      <c r="B54" t="s">
        <v>32</v>
      </c>
      <c r="C54" t="s">
        <v>33</v>
      </c>
      <c r="D54" t="s">
        <v>162</v>
      </c>
      <c r="E54" t="s">
        <v>124</v>
      </c>
      <c r="F54">
        <v>13</v>
      </c>
      <c r="G54" t="s">
        <v>58</v>
      </c>
      <c r="H54" t="s">
        <v>179</v>
      </c>
      <c r="I54" t="s">
        <v>180</v>
      </c>
      <c r="J54" t="s">
        <v>180</v>
      </c>
      <c r="K54" t="s">
        <v>165</v>
      </c>
      <c r="L54" s="1">
        <v>0.621</v>
      </c>
      <c r="M54">
        <v>3.45</v>
      </c>
      <c r="N54" s="2">
        <v>-0.34500000000000003</v>
      </c>
      <c r="O54" t="s">
        <v>166</v>
      </c>
      <c r="P54">
        <v>0.501</v>
      </c>
      <c r="Q54" s="1">
        <v>0.12</v>
      </c>
      <c r="R54">
        <v>11.43</v>
      </c>
      <c r="S54" s="2">
        <v>-1.143</v>
      </c>
      <c r="T54">
        <v>27.385200000000001</v>
      </c>
      <c r="U54" s="16">
        <v>126.2</v>
      </c>
      <c r="V54" s="17">
        <v>887</v>
      </c>
      <c r="W54">
        <v>20.488909055179601</v>
      </c>
      <c r="X54">
        <v>3.1586206896551725</v>
      </c>
      <c r="Y54">
        <v>4.9026213715178265E-4</v>
      </c>
      <c r="Z54">
        <v>4.8405859864207656E-5</v>
      </c>
      <c r="AA54" s="3">
        <v>48.405859864207656</v>
      </c>
      <c r="AB54" s="3" t="s">
        <v>64</v>
      </c>
      <c r="AC54">
        <v>24.828800000000001</v>
      </c>
      <c r="AD54" s="16">
        <v>23.8</v>
      </c>
      <c r="AE54" s="17">
        <v>370</v>
      </c>
      <c r="AF54">
        <v>490.26213715178267</v>
      </c>
      <c r="AH54" s="5">
        <v>44804</v>
      </c>
      <c r="AI54" s="6" t="s">
        <v>32</v>
      </c>
      <c r="AJ54" s="6" t="s">
        <v>40</v>
      </c>
      <c r="AK54" t="s">
        <v>162</v>
      </c>
      <c r="AL54" t="s">
        <v>124</v>
      </c>
      <c r="AM54">
        <v>8</v>
      </c>
      <c r="AN54" t="s">
        <v>61</v>
      </c>
      <c r="AO54" t="s">
        <v>181</v>
      </c>
      <c r="AP54" t="s">
        <v>180</v>
      </c>
      <c r="AQ54" t="s">
        <v>180</v>
      </c>
      <c r="AR54" t="s">
        <v>174</v>
      </c>
      <c r="AS54" s="1">
        <v>0.45600000000000002</v>
      </c>
      <c r="AT54">
        <v>6.45</v>
      </c>
      <c r="AU54" s="1">
        <v>-0.64500000000000002</v>
      </c>
      <c r="AV54" t="s">
        <v>39</v>
      </c>
      <c r="AW54">
        <v>0.45900000000000002</v>
      </c>
      <c r="AX54" s="1">
        <v>-3.0000000000000027E-3</v>
      </c>
      <c r="AY54">
        <v>7.59</v>
      </c>
      <c r="AZ54" s="4">
        <v>-0.75900000000000001</v>
      </c>
      <c r="BA54">
        <v>32.519599999999997</v>
      </c>
      <c r="BB54" s="16">
        <v>126.2</v>
      </c>
      <c r="BC54" s="17">
        <v>887</v>
      </c>
      <c r="BD54">
        <v>0.24529997538842838</v>
      </c>
      <c r="BE54">
        <v>6.5789473684210583E-3</v>
      </c>
      <c r="BF54">
        <v>2.4529997538842837E-7</v>
      </c>
      <c r="BG54">
        <v>4.1610394270123108E-7</v>
      </c>
      <c r="BH54" s="3">
        <v>0.41610394270123108</v>
      </c>
      <c r="BI54" s="3">
        <v>3.6500345850985187</v>
      </c>
      <c r="BJ54">
        <v>32.519599999999997</v>
      </c>
      <c r="BK54">
        <v>126.2</v>
      </c>
      <c r="BL54">
        <v>887</v>
      </c>
      <c r="BM54">
        <v>0.24529997538842838</v>
      </c>
      <c r="BN54" s="1">
        <f t="shared" si="0"/>
        <v>0.3</v>
      </c>
      <c r="BO54" s="1">
        <f t="shared" si="1"/>
        <v>-0.38400000000000001</v>
      </c>
      <c r="BP54">
        <f t="shared" si="2"/>
        <v>490.01683717639423</v>
      </c>
      <c r="BQ54" s="3" t="e">
        <f t="shared" si="3"/>
        <v>#VALUE!</v>
      </c>
      <c r="BR54" s="3">
        <f t="shared" si="4"/>
        <v>47.989755921506422</v>
      </c>
    </row>
    <row r="55" spans="1:70" x14ac:dyDescent="0.35">
      <c r="A55" s="5">
        <v>44722</v>
      </c>
      <c r="B55" t="s">
        <v>32</v>
      </c>
      <c r="C55" t="s">
        <v>33</v>
      </c>
      <c r="D55" t="s">
        <v>162</v>
      </c>
      <c r="E55" t="s">
        <v>124</v>
      </c>
      <c r="F55">
        <v>15</v>
      </c>
      <c r="G55" t="s">
        <v>61</v>
      </c>
      <c r="H55" t="s">
        <v>181</v>
      </c>
      <c r="I55" t="s">
        <v>182</v>
      </c>
      <c r="J55" t="s">
        <v>182</v>
      </c>
      <c r="K55" t="s">
        <v>165</v>
      </c>
      <c r="L55" s="1">
        <v>0.76600000000000001</v>
      </c>
      <c r="M55">
        <v>1.04</v>
      </c>
      <c r="N55" s="2">
        <v>-0.10400000000000001</v>
      </c>
      <c r="O55" t="s">
        <v>166</v>
      </c>
      <c r="P55">
        <v>0.63400000000000001</v>
      </c>
      <c r="Q55" s="1">
        <v>0.13200000000000001</v>
      </c>
      <c r="R55">
        <v>9.25</v>
      </c>
      <c r="S55" s="2">
        <v>-0.92500000000000004</v>
      </c>
      <c r="T55">
        <v>27.385200000000001</v>
      </c>
      <c r="U55" s="16">
        <v>49.4</v>
      </c>
      <c r="V55" s="17">
        <v>546</v>
      </c>
      <c r="W55">
        <v>17.242553979106994</v>
      </c>
      <c r="X55">
        <v>0.19393939393939388</v>
      </c>
      <c r="Y55">
        <v>1.5800246024560036E-5</v>
      </c>
      <c r="Z55">
        <v>2.1200713023145677E-5</v>
      </c>
      <c r="AA55" s="3">
        <v>21.200713023145678</v>
      </c>
      <c r="AB55" s="3">
        <v>39.701709781171665</v>
      </c>
      <c r="AC55">
        <v>24.828800000000001</v>
      </c>
      <c r="AD55" s="16">
        <v>115.1</v>
      </c>
      <c r="AE55" s="17">
        <v>810</v>
      </c>
      <c r="AF55">
        <v>15.800246024560035</v>
      </c>
      <c r="AH55" s="5">
        <v>44804</v>
      </c>
      <c r="AI55" s="6" t="s">
        <v>32</v>
      </c>
      <c r="AJ55" s="6" t="s">
        <v>40</v>
      </c>
      <c r="AK55" t="s">
        <v>162</v>
      </c>
      <c r="AL55" t="s">
        <v>124</v>
      </c>
      <c r="AM55">
        <v>4</v>
      </c>
      <c r="AN55" t="s">
        <v>61</v>
      </c>
      <c r="AO55" t="s">
        <v>183</v>
      </c>
      <c r="AP55" t="s">
        <v>182</v>
      </c>
      <c r="AQ55" t="s">
        <v>182</v>
      </c>
      <c r="AR55" t="s">
        <v>174</v>
      </c>
      <c r="AS55" s="1">
        <v>0.82599999999999996</v>
      </c>
      <c r="AT55">
        <v>7.23</v>
      </c>
      <c r="AU55" s="1">
        <v>-0.72300000000000009</v>
      </c>
      <c r="AV55" t="s">
        <v>39</v>
      </c>
      <c r="AW55">
        <v>0.77800000000000002</v>
      </c>
      <c r="AX55" s="1">
        <v>4.7999999999999932E-2</v>
      </c>
      <c r="AY55">
        <v>15.45</v>
      </c>
      <c r="AZ55" s="4">
        <v>-1.5449999999999999</v>
      </c>
      <c r="BA55">
        <v>32.519599999999997</v>
      </c>
      <c r="BB55" s="16">
        <v>49.4</v>
      </c>
      <c r="BC55" s="17">
        <v>546</v>
      </c>
      <c r="BD55">
        <v>3.8579717278771404</v>
      </c>
      <c r="BE55">
        <v>6.1696658097686284E-2</v>
      </c>
      <c r="BF55">
        <v>3.8579717278771405E-6</v>
      </c>
      <c r="BG55">
        <v>9.8223669397133028E-7</v>
      </c>
      <c r="BH55" s="3">
        <v>0.98223669397133029</v>
      </c>
      <c r="BI55" s="3">
        <v>1.1949351508167037</v>
      </c>
      <c r="BJ55">
        <v>32.519599999999997</v>
      </c>
      <c r="BK55">
        <v>49.4</v>
      </c>
      <c r="BL55">
        <v>546</v>
      </c>
      <c r="BM55">
        <v>3.8579717278771404</v>
      </c>
      <c r="BN55" s="1">
        <f t="shared" si="0"/>
        <v>0.61900000000000011</v>
      </c>
      <c r="BO55" s="1">
        <f t="shared" si="1"/>
        <v>0.61999999999999988</v>
      </c>
      <c r="BP55">
        <f t="shared" si="2"/>
        <v>11.942274296682895</v>
      </c>
      <c r="BQ55" s="3">
        <f t="shared" si="3"/>
        <v>38.506774630354961</v>
      </c>
      <c r="BR55" s="3">
        <f t="shared" si="4"/>
        <v>20.218476329174347</v>
      </c>
    </row>
    <row r="56" spans="1:70" x14ac:dyDescent="0.35">
      <c r="A56" s="5">
        <v>44722</v>
      </c>
      <c r="B56" t="s">
        <v>32</v>
      </c>
      <c r="C56" t="s">
        <v>33</v>
      </c>
      <c r="D56" t="s">
        <v>162</v>
      </c>
      <c r="E56" t="s">
        <v>124</v>
      </c>
      <c r="F56">
        <v>14</v>
      </c>
      <c r="G56" t="s">
        <v>61</v>
      </c>
      <c r="H56" t="s">
        <v>183</v>
      </c>
      <c r="I56" t="s">
        <v>184</v>
      </c>
      <c r="J56" t="s">
        <v>184</v>
      </c>
      <c r="K56" t="s">
        <v>165</v>
      </c>
      <c r="L56" s="1">
        <v>0.72499999999999998</v>
      </c>
      <c r="M56">
        <v>2.02</v>
      </c>
      <c r="N56" s="2">
        <v>-0.20200000000000001</v>
      </c>
      <c r="O56" t="s">
        <v>166</v>
      </c>
      <c r="P56">
        <v>0.64600000000000002</v>
      </c>
      <c r="Q56" s="1">
        <v>7.8999999999999959E-2</v>
      </c>
      <c r="R56">
        <v>9.2799999999999994</v>
      </c>
      <c r="S56" s="2">
        <v>-0.92799999999999994</v>
      </c>
      <c r="T56">
        <v>27.385200000000001</v>
      </c>
      <c r="U56" s="16">
        <v>45.3</v>
      </c>
      <c r="V56" s="17">
        <v>410</v>
      </c>
      <c r="W56">
        <v>8.9563216301143171</v>
      </c>
      <c r="X56">
        <v>0.18306636155606412</v>
      </c>
      <c r="Y56">
        <v>1.4716959219991688E-5</v>
      </c>
      <c r="Z56">
        <v>2.5748725897244712E-6</v>
      </c>
      <c r="AA56" s="3">
        <v>2.5748725897244711</v>
      </c>
      <c r="AB56" s="3">
        <v>13.769372137564016</v>
      </c>
      <c r="AC56">
        <v>24.828800000000001</v>
      </c>
      <c r="AD56" s="16">
        <v>33.1</v>
      </c>
      <c r="AE56" s="17">
        <v>410</v>
      </c>
      <c r="AF56">
        <v>14.716959219991688</v>
      </c>
      <c r="AH56" s="5">
        <v>44804</v>
      </c>
      <c r="AI56" s="6" t="s">
        <v>32</v>
      </c>
      <c r="AJ56" s="6" t="s">
        <v>40</v>
      </c>
      <c r="AK56" t="s">
        <v>162</v>
      </c>
      <c r="AL56" t="s">
        <v>124</v>
      </c>
      <c r="AM56">
        <v>14</v>
      </c>
      <c r="AN56" t="s">
        <v>148</v>
      </c>
      <c r="AO56" t="s">
        <v>185</v>
      </c>
      <c r="AP56" t="s">
        <v>184</v>
      </c>
      <c r="AQ56" t="s">
        <v>184</v>
      </c>
      <c r="AR56" t="s">
        <v>174</v>
      </c>
      <c r="AS56" s="1">
        <v>0.91</v>
      </c>
      <c r="AT56">
        <v>8.56</v>
      </c>
      <c r="AU56" s="1">
        <v>-0.85600000000000009</v>
      </c>
      <c r="AV56" t="s">
        <v>39</v>
      </c>
      <c r="AW56">
        <v>0.93899999999999995</v>
      </c>
      <c r="AX56" s="1">
        <v>-2.8999999999999915E-2</v>
      </c>
      <c r="AY56">
        <v>15.34</v>
      </c>
      <c r="AZ56" s="4">
        <v>-1.534</v>
      </c>
      <c r="BA56">
        <v>32.519599999999997</v>
      </c>
      <c r="BB56" s="16">
        <v>45.3</v>
      </c>
      <c r="BC56" s="17">
        <v>410</v>
      </c>
      <c r="BD56">
        <v>1.7107200398573805</v>
      </c>
      <c r="BE56">
        <v>3.1868131868131776E-2</v>
      </c>
      <c r="BF56">
        <v>1.7107200398573805E-6</v>
      </c>
      <c r="BG56">
        <v>4.9072841954608477E-7</v>
      </c>
      <c r="BH56" s="3">
        <v>0.49072841954608476</v>
      </c>
      <c r="BI56" s="3">
        <v>0.72378822941900411</v>
      </c>
      <c r="BJ56">
        <v>32.519599999999997</v>
      </c>
      <c r="BK56">
        <v>45.3</v>
      </c>
      <c r="BL56">
        <v>410</v>
      </c>
      <c r="BM56">
        <v>1.7107200398573805</v>
      </c>
      <c r="BN56" s="1">
        <f t="shared" si="0"/>
        <v>0.65400000000000014</v>
      </c>
      <c r="BO56" s="1">
        <f t="shared" si="1"/>
        <v>0.60600000000000009</v>
      </c>
      <c r="BP56">
        <f t="shared" si="2"/>
        <v>13.006239180134308</v>
      </c>
      <c r="BQ56" s="3">
        <f t="shared" si="3"/>
        <v>13.045583908145012</v>
      </c>
      <c r="BR56" s="3">
        <f t="shared" si="4"/>
        <v>2.0841441701783863</v>
      </c>
    </row>
    <row r="57" spans="1:70" x14ac:dyDescent="0.35">
      <c r="A57" s="5">
        <v>44722</v>
      </c>
      <c r="B57" t="s">
        <v>32</v>
      </c>
      <c r="C57" t="s">
        <v>33</v>
      </c>
      <c r="D57" t="s">
        <v>162</v>
      </c>
      <c r="E57" t="s">
        <v>124</v>
      </c>
      <c r="F57">
        <v>4</v>
      </c>
      <c r="G57" t="s">
        <v>69</v>
      </c>
      <c r="H57" t="s">
        <v>100</v>
      </c>
      <c r="I57" t="s">
        <v>186</v>
      </c>
      <c r="J57" t="s">
        <v>186</v>
      </c>
      <c r="K57" t="s">
        <v>171</v>
      </c>
      <c r="L57" s="1">
        <v>0.52400000000000002</v>
      </c>
      <c r="M57">
        <v>1.42</v>
      </c>
      <c r="N57" s="2">
        <v>-0.14199999999999999</v>
      </c>
      <c r="O57" t="s">
        <v>172</v>
      </c>
      <c r="P57">
        <v>0.33300000000000002</v>
      </c>
      <c r="Q57" s="1">
        <v>0.191</v>
      </c>
      <c r="R57">
        <v>14.62</v>
      </c>
      <c r="S57" s="2">
        <v>-1.462</v>
      </c>
      <c r="T57">
        <v>27.385200000000001</v>
      </c>
      <c r="U57" s="16">
        <v>93.8</v>
      </c>
      <c r="V57" s="17">
        <v>803</v>
      </c>
      <c r="W57">
        <v>60.030254564193115</v>
      </c>
      <c r="X57">
        <v>0.42961165048543687</v>
      </c>
      <c r="Y57">
        <v>4.2059449042259646E-5</v>
      </c>
      <c r="Z57">
        <v>3.0586847124480096E-5</v>
      </c>
      <c r="AA57" s="3">
        <v>30.586847124480094</v>
      </c>
      <c r="AB57" s="3">
        <v>38.815795843248843</v>
      </c>
      <c r="AC57">
        <v>27.385200000000001</v>
      </c>
      <c r="AD57" s="16">
        <v>87.4</v>
      </c>
      <c r="AE57" s="17">
        <v>678</v>
      </c>
      <c r="AF57">
        <v>42.059449042259644</v>
      </c>
      <c r="AH57" s="5">
        <v>44804</v>
      </c>
      <c r="AI57" s="6" t="s">
        <v>32</v>
      </c>
      <c r="AJ57" s="6" t="s">
        <v>40</v>
      </c>
      <c r="AK57" t="s">
        <v>162</v>
      </c>
      <c r="AL57" t="s">
        <v>124</v>
      </c>
      <c r="AM57">
        <v>3</v>
      </c>
      <c r="AN57" t="s">
        <v>69</v>
      </c>
      <c r="AO57" t="s">
        <v>100</v>
      </c>
      <c r="AP57" t="s">
        <v>186</v>
      </c>
      <c r="AQ57" t="s">
        <v>186</v>
      </c>
      <c r="AR57" t="s">
        <v>174</v>
      </c>
      <c r="AS57" s="1">
        <v>0.70899999999999996</v>
      </c>
      <c r="AT57">
        <v>4.16</v>
      </c>
      <c r="AU57" s="1">
        <v>-0.41600000000000004</v>
      </c>
      <c r="AV57" t="s">
        <v>39</v>
      </c>
      <c r="AW57">
        <v>0.57099999999999995</v>
      </c>
      <c r="AX57" s="1">
        <v>0.13800000000000001</v>
      </c>
      <c r="AY57">
        <v>26.34</v>
      </c>
      <c r="AZ57" s="4">
        <v>-2.6339999999999999</v>
      </c>
      <c r="BA57">
        <v>32.519599999999997</v>
      </c>
      <c r="BB57" s="16">
        <v>93.8</v>
      </c>
      <c r="BC57" s="17">
        <v>803</v>
      </c>
      <c r="BD57">
        <v>20.716627992102055</v>
      </c>
      <c r="BE57">
        <v>0.24168126094570933</v>
      </c>
      <c r="BF57">
        <v>2.0716627992102056E-5</v>
      </c>
      <c r="BG57">
        <v>2.072891678507755E-5</v>
      </c>
      <c r="BH57" s="3">
        <v>20.728916785077551</v>
      </c>
      <c r="BI57" s="3">
        <v>9.3457695153640898</v>
      </c>
      <c r="BJ57">
        <v>32.519599999999997</v>
      </c>
      <c r="BK57">
        <v>93.8</v>
      </c>
      <c r="BL57">
        <v>803</v>
      </c>
      <c r="BM57">
        <v>20.716627992102055</v>
      </c>
      <c r="BN57" s="1">
        <f t="shared" si="0"/>
        <v>0.27400000000000002</v>
      </c>
      <c r="BO57" s="1">
        <f t="shared" si="1"/>
        <v>1.1719999999999999</v>
      </c>
      <c r="BP57">
        <f t="shared" si="2"/>
        <v>21.342821050157589</v>
      </c>
      <c r="BQ57" s="3">
        <f t="shared" si="3"/>
        <v>29.470026327884753</v>
      </c>
      <c r="BR57" s="3">
        <f t="shared" si="4"/>
        <v>9.857930339402543</v>
      </c>
    </row>
    <row r="58" spans="1:70" x14ac:dyDescent="0.35">
      <c r="A58" s="5">
        <v>44722</v>
      </c>
      <c r="B58" t="s">
        <v>32</v>
      </c>
      <c r="C58" t="s">
        <v>33</v>
      </c>
      <c r="D58" t="s">
        <v>162</v>
      </c>
      <c r="E58" t="s">
        <v>124</v>
      </c>
      <c r="F58">
        <v>1</v>
      </c>
      <c r="G58" t="s">
        <v>69</v>
      </c>
      <c r="H58" t="s">
        <v>82</v>
      </c>
      <c r="I58" t="s">
        <v>187</v>
      </c>
      <c r="J58" t="s">
        <v>187</v>
      </c>
      <c r="K58" t="s">
        <v>171</v>
      </c>
      <c r="L58" s="1">
        <v>0.54600000000000004</v>
      </c>
      <c r="M58">
        <v>1.67</v>
      </c>
      <c r="N58" s="2">
        <v>-0.16699999999999998</v>
      </c>
      <c r="O58" t="s">
        <v>172</v>
      </c>
      <c r="P58">
        <v>0.33600000000000002</v>
      </c>
      <c r="Q58" s="1">
        <v>0.21000000000000002</v>
      </c>
      <c r="R58">
        <v>6.31</v>
      </c>
      <c r="S58" s="2">
        <v>-0.63100000000000001</v>
      </c>
      <c r="T58">
        <v>27.385200000000001</v>
      </c>
      <c r="U58" s="16">
        <v>77.3</v>
      </c>
      <c r="V58" s="17">
        <v>705</v>
      </c>
      <c r="W58">
        <v>66.722953590273818</v>
      </c>
      <c r="X58">
        <v>0.39959839357429711</v>
      </c>
      <c r="Y58">
        <v>3.847208977662001E-5</v>
      </c>
      <c r="Z58">
        <v>2.2077386651728612E-5</v>
      </c>
      <c r="AA58" s="3">
        <v>22.077386651728613</v>
      </c>
      <c r="AB58" s="3">
        <v>48.203900986307012</v>
      </c>
      <c r="AC58">
        <v>27.385200000000001</v>
      </c>
      <c r="AD58" s="16">
        <v>93.2</v>
      </c>
      <c r="AE58" s="17">
        <v>740</v>
      </c>
      <c r="AF58">
        <v>38.47208977662001</v>
      </c>
      <c r="AH58" s="5">
        <v>44804</v>
      </c>
      <c r="AI58" s="6" t="s">
        <v>32</v>
      </c>
      <c r="AJ58" s="6" t="s">
        <v>40</v>
      </c>
      <c r="AK58" t="s">
        <v>162</v>
      </c>
      <c r="AL58" t="s">
        <v>124</v>
      </c>
      <c r="AM58">
        <v>16</v>
      </c>
      <c r="AN58" t="s">
        <v>69</v>
      </c>
      <c r="AO58" t="s">
        <v>82</v>
      </c>
      <c r="AP58" t="s">
        <v>187</v>
      </c>
      <c r="AQ58" t="s">
        <v>187</v>
      </c>
      <c r="AR58" t="s">
        <v>168</v>
      </c>
      <c r="AS58" s="1" t="s">
        <v>119</v>
      </c>
      <c r="AT58">
        <v>2.91</v>
      </c>
      <c r="AU58" s="1">
        <v>-0.29100000000000004</v>
      </c>
      <c r="AV58" t="s">
        <v>169</v>
      </c>
      <c r="AW58">
        <v>0.63100000000000001</v>
      </c>
      <c r="AX58" s="1" t="e">
        <v>#VALUE!</v>
      </c>
      <c r="AY58">
        <v>20.51</v>
      </c>
      <c r="AZ58" s="4">
        <v>-2.0510000000000002</v>
      </c>
      <c r="BA58">
        <v>32.519599999999997</v>
      </c>
      <c r="BB58" s="16">
        <v>77.3</v>
      </c>
      <c r="BC58" s="17">
        <v>705</v>
      </c>
      <c r="BD58" t="e">
        <v>#VALUE!</v>
      </c>
      <c r="BE58" t="s">
        <v>109</v>
      </c>
      <c r="BF58" t="s">
        <v>64</v>
      </c>
      <c r="BG58" t="s">
        <v>64</v>
      </c>
      <c r="BH58" s="3" t="s">
        <v>64</v>
      </c>
      <c r="BI58" s="3" t="s">
        <v>64</v>
      </c>
      <c r="BJ58">
        <v>32.519599999999997</v>
      </c>
      <c r="BK58">
        <v>77.3</v>
      </c>
      <c r="BL58">
        <v>705</v>
      </c>
      <c r="BM58" t="e">
        <v>#VALUE!</v>
      </c>
      <c r="BN58" s="1">
        <f t="shared" si="0"/>
        <v>0.12400000000000005</v>
      </c>
      <c r="BO58" s="1">
        <f t="shared" si="1"/>
        <v>1.4200000000000002</v>
      </c>
      <c r="BP58" t="e">
        <f t="shared" si="2"/>
        <v>#VALUE!</v>
      </c>
      <c r="BQ58" s="3" t="e">
        <f t="shared" si="3"/>
        <v>#VALUE!</v>
      </c>
      <c r="BR58" s="3" t="e">
        <f t="shared" si="4"/>
        <v>#VALUE!</v>
      </c>
    </row>
    <row r="59" spans="1:70" x14ac:dyDescent="0.35">
      <c r="A59" s="5">
        <v>44722</v>
      </c>
      <c r="B59" t="s">
        <v>32</v>
      </c>
      <c r="C59" t="s">
        <v>33</v>
      </c>
      <c r="D59" t="s">
        <v>162</v>
      </c>
      <c r="E59" t="s">
        <v>124</v>
      </c>
      <c r="F59">
        <v>2</v>
      </c>
      <c r="G59" t="s">
        <v>72</v>
      </c>
      <c r="H59" t="s">
        <v>188</v>
      </c>
      <c r="I59" t="s">
        <v>189</v>
      </c>
      <c r="J59" t="s">
        <v>189</v>
      </c>
      <c r="K59" t="s">
        <v>171</v>
      </c>
      <c r="L59" s="1">
        <v>0.68899999999999995</v>
      </c>
      <c r="M59">
        <v>1.71</v>
      </c>
      <c r="N59" s="2">
        <v>-0.17099999999999999</v>
      </c>
      <c r="O59" t="s">
        <v>172</v>
      </c>
      <c r="P59">
        <v>0.48499999999999999</v>
      </c>
      <c r="Q59" s="1">
        <v>0.20399999999999996</v>
      </c>
      <c r="R59">
        <v>13.07</v>
      </c>
      <c r="S59" s="2">
        <v>-1.3069999999999999</v>
      </c>
      <c r="T59">
        <v>27.385200000000001</v>
      </c>
      <c r="U59" s="16">
        <v>85.7</v>
      </c>
      <c r="V59" s="17">
        <v>734</v>
      </c>
      <c r="W59">
        <v>40.978269778104938</v>
      </c>
      <c r="X59">
        <v>0.439075630252101</v>
      </c>
      <c r="Y59">
        <v>4.3202898103165158E-5</v>
      </c>
      <c r="Z59">
        <v>2.8238933052115188E-5</v>
      </c>
      <c r="AA59" s="3">
        <v>28.238933052115186</v>
      </c>
      <c r="AB59" s="3">
        <v>806.82665863186241</v>
      </c>
      <c r="AC59">
        <v>27.385200000000001</v>
      </c>
      <c r="AD59" s="16">
        <v>90.2</v>
      </c>
      <c r="AE59" s="17">
        <v>800</v>
      </c>
      <c r="AF59">
        <v>43.202898103165161</v>
      </c>
      <c r="AH59" s="5">
        <v>44804</v>
      </c>
      <c r="AI59" s="6" t="s">
        <v>32</v>
      </c>
      <c r="AJ59" s="6" t="s">
        <v>40</v>
      </c>
      <c r="AK59" t="s">
        <v>162</v>
      </c>
      <c r="AL59" t="s">
        <v>124</v>
      </c>
      <c r="AM59">
        <v>12</v>
      </c>
      <c r="AN59" t="s">
        <v>72</v>
      </c>
      <c r="AO59" t="s">
        <v>188</v>
      </c>
      <c r="AP59" t="s">
        <v>189</v>
      </c>
      <c r="AQ59" t="s">
        <v>189</v>
      </c>
      <c r="AR59" t="s">
        <v>168</v>
      </c>
      <c r="AS59" s="1">
        <v>0.748</v>
      </c>
      <c r="AT59">
        <v>8.76</v>
      </c>
      <c r="AU59" s="1">
        <v>-0.876</v>
      </c>
      <c r="AV59" t="s">
        <v>169</v>
      </c>
      <c r="AW59">
        <v>0.54800000000000004</v>
      </c>
      <c r="AX59" s="1">
        <v>0.19999999999999996</v>
      </c>
      <c r="AY59">
        <v>26.41</v>
      </c>
      <c r="AZ59" s="4">
        <v>-2.641</v>
      </c>
      <c r="BA59">
        <v>32.519599999999997</v>
      </c>
      <c r="BB59" s="16">
        <v>85.7</v>
      </c>
      <c r="BC59" s="17">
        <v>734</v>
      </c>
      <c r="BD59">
        <v>34.409314328732449</v>
      </c>
      <c r="BE59">
        <v>0.36496350364963492</v>
      </c>
      <c r="BF59">
        <v>3.4409314328732451E-5</v>
      </c>
      <c r="BG59">
        <v>2.2294387152943568E-5</v>
      </c>
      <c r="BH59" s="3">
        <v>22.294387152943568</v>
      </c>
      <c r="BI59" s="3">
        <v>12.631380823197487</v>
      </c>
      <c r="BJ59">
        <v>32.519599999999997</v>
      </c>
      <c r="BK59">
        <v>85.7</v>
      </c>
      <c r="BL59">
        <v>734</v>
      </c>
      <c r="BM59">
        <v>34.409314328732449</v>
      </c>
      <c r="BN59" s="1">
        <f t="shared" si="0"/>
        <v>0.70500000000000007</v>
      </c>
      <c r="BO59" s="1">
        <f t="shared" si="1"/>
        <v>1.3340000000000001</v>
      </c>
      <c r="BP59">
        <f t="shared" si="2"/>
        <v>8.7935837744327117</v>
      </c>
      <c r="BQ59" s="3">
        <f t="shared" si="3"/>
        <v>794.19527780866497</v>
      </c>
      <c r="BR59" s="3">
        <f t="shared" si="4"/>
        <v>5.9445458991716187</v>
      </c>
    </row>
    <row r="60" spans="1:70" x14ac:dyDescent="0.35">
      <c r="A60" s="5">
        <v>44722</v>
      </c>
      <c r="B60" t="s">
        <v>32</v>
      </c>
      <c r="C60" t="s">
        <v>33</v>
      </c>
      <c r="D60" t="s">
        <v>162</v>
      </c>
      <c r="E60" t="s">
        <v>124</v>
      </c>
      <c r="F60">
        <v>7</v>
      </c>
      <c r="G60" t="s">
        <v>75</v>
      </c>
      <c r="H60" t="s">
        <v>79</v>
      </c>
      <c r="I60" t="s">
        <v>190</v>
      </c>
      <c r="J60" t="s">
        <v>190</v>
      </c>
      <c r="K60" t="s">
        <v>171</v>
      </c>
      <c r="L60" s="1">
        <v>0.73299999999999998</v>
      </c>
      <c r="M60">
        <v>1.53</v>
      </c>
      <c r="N60" s="2">
        <v>-0.153</v>
      </c>
      <c r="O60" t="s">
        <v>172</v>
      </c>
      <c r="P60">
        <v>0.56499999999999995</v>
      </c>
      <c r="Q60" s="1">
        <v>0.16800000000000004</v>
      </c>
      <c r="R60">
        <v>10.32</v>
      </c>
      <c r="S60" s="2">
        <v>-1.032</v>
      </c>
      <c r="T60">
        <v>27.385200000000001</v>
      </c>
      <c r="U60" s="16">
        <v>55</v>
      </c>
      <c r="V60" s="17">
        <v>622</v>
      </c>
      <c r="W60">
        <v>26.738131074134756</v>
      </c>
      <c r="X60">
        <v>0.24746450304259635</v>
      </c>
      <c r="Y60">
        <v>2.1328551175860832E-5</v>
      </c>
      <c r="Z60">
        <v>4.7564773183743151E-6</v>
      </c>
      <c r="AA60" s="3">
        <v>4.7564773183743148</v>
      </c>
      <c r="AB60" s="3">
        <v>11.744388440430406</v>
      </c>
      <c r="AC60">
        <v>27.385200000000001</v>
      </c>
      <c r="AD60" s="16">
        <v>75.900000000000006</v>
      </c>
      <c r="AE60" s="17">
        <v>610</v>
      </c>
      <c r="AF60">
        <v>21.328551175860831</v>
      </c>
      <c r="AH60" s="5">
        <v>44804</v>
      </c>
      <c r="AI60" s="6" t="s">
        <v>32</v>
      </c>
      <c r="AJ60" s="6" t="s">
        <v>40</v>
      </c>
      <c r="AK60" t="s">
        <v>162</v>
      </c>
      <c r="AL60" t="s">
        <v>124</v>
      </c>
      <c r="AM60">
        <v>5</v>
      </c>
      <c r="AN60" t="s">
        <v>75</v>
      </c>
      <c r="AO60" t="s">
        <v>79</v>
      </c>
      <c r="AP60" t="s">
        <v>190</v>
      </c>
      <c r="AQ60" t="s">
        <v>190</v>
      </c>
      <c r="AR60" t="s">
        <v>174</v>
      </c>
      <c r="AS60" s="1">
        <v>0.75700000000000001</v>
      </c>
      <c r="AT60">
        <v>7.97</v>
      </c>
      <c r="AU60" s="1">
        <v>-0.79699999999999993</v>
      </c>
      <c r="AV60" t="s">
        <v>39</v>
      </c>
      <c r="AW60">
        <v>0.60699999999999998</v>
      </c>
      <c r="AX60" s="1">
        <v>0.15000000000000002</v>
      </c>
      <c r="AY60">
        <v>21.24</v>
      </c>
      <c r="AZ60" s="4">
        <v>-2.1239999999999997</v>
      </c>
      <c r="BA60">
        <v>32.519599999999997</v>
      </c>
      <c r="BB60" s="16">
        <v>55</v>
      </c>
      <c r="BC60" s="17">
        <v>622</v>
      </c>
      <c r="BD60">
        <v>21.291684519609305</v>
      </c>
      <c r="BE60">
        <v>0.24711696869851735</v>
      </c>
      <c r="BF60">
        <v>2.1291684519609306E-5</v>
      </c>
      <c r="BG60">
        <v>7.3469441109911124E-6</v>
      </c>
      <c r="BH60" s="3">
        <v>7.3469441109911129</v>
      </c>
      <c r="BI60" s="3">
        <v>5.5365064890664009</v>
      </c>
      <c r="BJ60">
        <v>32.519599999999997</v>
      </c>
      <c r="BK60">
        <v>55</v>
      </c>
      <c r="BL60">
        <v>622</v>
      </c>
      <c r="BM60">
        <v>21.291684519609305</v>
      </c>
      <c r="BN60" s="1">
        <f t="shared" si="0"/>
        <v>0.64399999999999991</v>
      </c>
      <c r="BO60" s="1">
        <f t="shared" si="1"/>
        <v>1.0919999999999996</v>
      </c>
      <c r="BP60">
        <f t="shared" si="2"/>
        <v>3.6866656251525853E-2</v>
      </c>
      <c r="BQ60" s="3">
        <f t="shared" si="3"/>
        <v>6.2078819513640049</v>
      </c>
      <c r="BR60" s="3">
        <f t="shared" si="4"/>
        <v>-2.5904667926167981</v>
      </c>
    </row>
    <row r="61" spans="1:70" x14ac:dyDescent="0.35">
      <c r="A61" s="5">
        <v>44722</v>
      </c>
      <c r="B61" t="s">
        <v>32</v>
      </c>
      <c r="C61" t="s">
        <v>33</v>
      </c>
      <c r="D61" t="s">
        <v>162</v>
      </c>
      <c r="E61" t="s">
        <v>124</v>
      </c>
      <c r="F61">
        <v>5</v>
      </c>
      <c r="G61" t="s">
        <v>78</v>
      </c>
      <c r="H61" t="s">
        <v>65</v>
      </c>
      <c r="I61" t="s">
        <v>191</v>
      </c>
      <c r="J61" t="s">
        <v>191</v>
      </c>
      <c r="K61" t="s">
        <v>171</v>
      </c>
      <c r="L61" s="1">
        <v>0.56399999999999995</v>
      </c>
      <c r="M61">
        <v>1.89</v>
      </c>
      <c r="N61" s="2">
        <v>-0.189</v>
      </c>
      <c r="O61" t="s">
        <v>172</v>
      </c>
      <c r="P61">
        <v>0.41899999999999998</v>
      </c>
      <c r="Q61" s="1">
        <v>0.14499999999999996</v>
      </c>
      <c r="R61">
        <v>7.2</v>
      </c>
      <c r="S61" s="2">
        <v>-0.72</v>
      </c>
      <c r="T61">
        <v>27.385200000000001</v>
      </c>
      <c r="U61" s="16">
        <v>43.6</v>
      </c>
      <c r="V61" s="17">
        <v>371</v>
      </c>
      <c r="W61">
        <v>32.228901999965146</v>
      </c>
      <c r="X61">
        <v>6.7164179104477459E-2</v>
      </c>
      <c r="Y61">
        <v>4.2830533469800642E-6</v>
      </c>
      <c r="Z61">
        <v>5.3124812035642093E-7</v>
      </c>
      <c r="AA61" s="3">
        <v>0.53124812035642088</v>
      </c>
      <c r="AB61" s="3">
        <v>0.52391333368483317</v>
      </c>
      <c r="AC61">
        <v>27.385200000000001</v>
      </c>
      <c r="AD61" s="16">
        <v>19</v>
      </c>
      <c r="AE61" s="17">
        <v>240</v>
      </c>
      <c r="AF61">
        <v>4.283053346980064</v>
      </c>
      <c r="AH61" s="5">
        <v>44804</v>
      </c>
      <c r="AI61" s="6" t="s">
        <v>32</v>
      </c>
      <c r="AJ61" s="6" t="s">
        <v>40</v>
      </c>
      <c r="AK61" t="s">
        <v>162</v>
      </c>
      <c r="AL61" t="s">
        <v>124</v>
      </c>
      <c r="AM61">
        <v>1</v>
      </c>
      <c r="AN61" t="s">
        <v>78</v>
      </c>
      <c r="AO61" t="s">
        <v>65</v>
      </c>
      <c r="AP61" t="s">
        <v>191</v>
      </c>
      <c r="AQ61" t="s">
        <v>191</v>
      </c>
      <c r="AR61" t="s">
        <v>174</v>
      </c>
      <c r="AS61" s="1">
        <v>0.54700000000000004</v>
      </c>
      <c r="AT61">
        <v>3.98</v>
      </c>
      <c r="AU61" s="1">
        <v>-0.39800000000000002</v>
      </c>
      <c r="AV61" t="s">
        <v>39</v>
      </c>
      <c r="AW61">
        <v>0.50800000000000001</v>
      </c>
      <c r="AX61" s="1">
        <v>3.9000000000000035E-2</v>
      </c>
      <c r="AY61">
        <v>9.83</v>
      </c>
      <c r="AZ61" s="4">
        <v>-0.98299999999999998</v>
      </c>
      <c r="BA61">
        <v>32.519599999999997</v>
      </c>
      <c r="BB61" s="16">
        <v>43.6</v>
      </c>
      <c r="BC61" s="17">
        <v>371</v>
      </c>
      <c r="BD61">
        <v>5.0492777715656301</v>
      </c>
      <c r="BE61">
        <v>7.6771653543307158E-2</v>
      </c>
      <c r="BF61">
        <v>5.04927777156563E-6</v>
      </c>
      <c r="BG61">
        <v>9.9290359511585682E-7</v>
      </c>
      <c r="BH61" s="3">
        <v>0.9929035951158568</v>
      </c>
      <c r="BI61" s="3">
        <v>1.6972711027621485</v>
      </c>
      <c r="BJ61">
        <v>32.519599999999997</v>
      </c>
      <c r="BK61">
        <v>43.6</v>
      </c>
      <c r="BL61">
        <v>371</v>
      </c>
      <c r="BM61">
        <v>5.0492777715656301</v>
      </c>
      <c r="BN61" s="1">
        <f t="shared" si="0"/>
        <v>0.20900000000000002</v>
      </c>
      <c r="BO61" s="1">
        <f t="shared" si="1"/>
        <v>0.26300000000000001</v>
      </c>
      <c r="BP61">
        <f t="shared" si="2"/>
        <v>-0.76622442458556606</v>
      </c>
      <c r="BQ61" s="3">
        <f t="shared" si="3"/>
        <v>-1.1733577690773154</v>
      </c>
      <c r="BR61" s="3">
        <f t="shared" si="4"/>
        <v>-0.46165547475943591</v>
      </c>
    </row>
    <row r="62" spans="1:70" x14ac:dyDescent="0.35">
      <c r="A62" s="5">
        <v>44722</v>
      </c>
      <c r="B62" t="s">
        <v>32</v>
      </c>
      <c r="C62" t="s">
        <v>33</v>
      </c>
      <c r="D62" t="s">
        <v>162</v>
      </c>
      <c r="E62" t="s">
        <v>124</v>
      </c>
      <c r="F62">
        <v>10</v>
      </c>
      <c r="G62" t="s">
        <v>78</v>
      </c>
      <c r="H62" t="s">
        <v>153</v>
      </c>
      <c r="I62" t="s">
        <v>192</v>
      </c>
      <c r="J62" t="s">
        <v>192</v>
      </c>
      <c r="K62" t="s">
        <v>165</v>
      </c>
      <c r="L62" s="1">
        <v>1.0349999999999999</v>
      </c>
      <c r="M62">
        <v>5.03</v>
      </c>
      <c r="N62" s="2">
        <v>-0.503</v>
      </c>
      <c r="O62" t="s">
        <v>166</v>
      </c>
      <c r="P62">
        <v>0.93100000000000005</v>
      </c>
      <c r="Q62" s="1">
        <v>0.10399999999999987</v>
      </c>
      <c r="R62">
        <v>9.33</v>
      </c>
      <c r="S62" s="2">
        <v>-0.93300000000000005</v>
      </c>
      <c r="T62">
        <v>27.385200000000001</v>
      </c>
      <c r="U62" s="16">
        <v>75</v>
      </c>
      <c r="V62" s="17">
        <v>640</v>
      </c>
      <c r="W62">
        <v>8.0119447319958255</v>
      </c>
      <c r="X62">
        <v>0.23952095808383234</v>
      </c>
      <c r="Y62">
        <v>2.04889090551796E-5</v>
      </c>
      <c r="Z62">
        <v>3.475546960821002E-5</v>
      </c>
      <c r="AA62" s="3">
        <v>34.755469608210021</v>
      </c>
      <c r="AB62" s="3">
        <v>43.553220060413558</v>
      </c>
      <c r="AC62">
        <v>27.385200000000001</v>
      </c>
      <c r="AD62" s="16">
        <v>126.2</v>
      </c>
      <c r="AE62" s="17">
        <v>887</v>
      </c>
      <c r="AF62">
        <v>20.488909055179601</v>
      </c>
      <c r="AH62" s="5">
        <v>44804</v>
      </c>
      <c r="AI62" s="6" t="s">
        <v>32</v>
      </c>
      <c r="AJ62" s="6" t="s">
        <v>40</v>
      </c>
      <c r="AK62" t="s">
        <v>162</v>
      </c>
      <c r="AL62" t="s">
        <v>124</v>
      </c>
      <c r="AM62">
        <v>15</v>
      </c>
      <c r="AN62" t="s">
        <v>78</v>
      </c>
      <c r="AO62" t="s">
        <v>153</v>
      </c>
      <c r="AP62" t="s">
        <v>192</v>
      </c>
      <c r="AQ62" t="s">
        <v>192</v>
      </c>
      <c r="AR62" t="s">
        <v>168</v>
      </c>
      <c r="AS62" s="1">
        <v>1.1879999999999999</v>
      </c>
      <c r="AT62">
        <v>5.81</v>
      </c>
      <c r="AU62" s="1">
        <v>-0.58099999999999996</v>
      </c>
      <c r="AV62" t="s">
        <v>169</v>
      </c>
      <c r="AW62">
        <v>1.17</v>
      </c>
      <c r="AX62" s="1">
        <v>1.8000000000000016E-2</v>
      </c>
      <c r="AY62">
        <v>9.81</v>
      </c>
      <c r="AZ62" s="4">
        <v>-0.98100000000000009</v>
      </c>
      <c r="BA62">
        <v>32.519599999999997</v>
      </c>
      <c r="BB62" s="16">
        <v>75</v>
      </c>
      <c r="BC62" s="17">
        <v>640</v>
      </c>
      <c r="BD62">
        <v>0.69799228022534676</v>
      </c>
      <c r="BE62">
        <v>1.5384615384615399E-2</v>
      </c>
      <c r="BF62">
        <v>6.9799228022534674E-7</v>
      </c>
      <c r="BG62">
        <v>3.4282559868868498E-7</v>
      </c>
      <c r="BH62" s="3">
        <v>0.34282559868868501</v>
      </c>
      <c r="BI62" s="3">
        <v>0.85706399672171218</v>
      </c>
      <c r="BJ62">
        <v>32.519599999999997</v>
      </c>
      <c r="BK62">
        <v>75</v>
      </c>
      <c r="BL62">
        <v>640</v>
      </c>
      <c r="BM62">
        <v>0.69799228022534676</v>
      </c>
      <c r="BN62" s="1">
        <f t="shared" si="0"/>
        <v>7.7999999999999958E-2</v>
      </c>
      <c r="BO62" s="1">
        <f t="shared" si="1"/>
        <v>4.8000000000000043E-2</v>
      </c>
      <c r="BP62">
        <f t="shared" si="2"/>
        <v>19.790916774954255</v>
      </c>
      <c r="BQ62" s="3">
        <f t="shared" si="3"/>
        <v>42.696156063691845</v>
      </c>
      <c r="BR62" s="3">
        <f t="shared" si="4"/>
        <v>34.412644009521337</v>
      </c>
    </row>
    <row r="63" spans="1:70" x14ac:dyDescent="0.35">
      <c r="A63" s="5">
        <v>44722</v>
      </c>
      <c r="B63" t="s">
        <v>32</v>
      </c>
      <c r="C63" t="s">
        <v>33</v>
      </c>
      <c r="D63" t="s">
        <v>162</v>
      </c>
      <c r="E63" t="s">
        <v>124</v>
      </c>
      <c r="F63">
        <v>8</v>
      </c>
      <c r="G63" t="s">
        <v>81</v>
      </c>
      <c r="H63" t="s">
        <v>193</v>
      </c>
      <c r="I63" t="s">
        <v>194</v>
      </c>
      <c r="J63" t="s">
        <v>194</v>
      </c>
      <c r="K63" t="s">
        <v>171</v>
      </c>
      <c r="L63" s="1">
        <v>0.67400000000000004</v>
      </c>
      <c r="M63">
        <v>2.12</v>
      </c>
      <c r="N63" s="2">
        <v>-0.21200000000000002</v>
      </c>
      <c r="O63" t="s">
        <v>172</v>
      </c>
      <c r="P63">
        <v>0.56100000000000005</v>
      </c>
      <c r="Q63" s="1">
        <v>0.11299999999999999</v>
      </c>
      <c r="R63">
        <v>4.83</v>
      </c>
      <c r="S63" s="2">
        <v>-0.48299999999999998</v>
      </c>
      <c r="T63">
        <v>27.385200000000001</v>
      </c>
      <c r="U63" s="16">
        <v>22.6</v>
      </c>
      <c r="V63" s="17">
        <v>352</v>
      </c>
      <c r="W63">
        <v>16.554392314331867</v>
      </c>
      <c r="X63">
        <v>0.20820189274447951</v>
      </c>
      <c r="Y63">
        <v>1.7242553979106995E-5</v>
      </c>
      <c r="Z63">
        <v>4.3899412465055796E-6</v>
      </c>
      <c r="AA63" s="3">
        <v>4.3899412465055798</v>
      </c>
      <c r="AB63" s="3">
        <v>5.3470660736974169</v>
      </c>
      <c r="AC63">
        <v>27.385200000000001</v>
      </c>
      <c r="AD63" s="16">
        <v>49.4</v>
      </c>
      <c r="AE63" s="17">
        <v>546</v>
      </c>
      <c r="AF63">
        <v>17.242553979106994</v>
      </c>
      <c r="AH63" s="5">
        <v>44804</v>
      </c>
      <c r="AI63" s="6" t="s">
        <v>32</v>
      </c>
      <c r="AJ63" s="6" t="s">
        <v>40</v>
      </c>
      <c r="AK63" t="s">
        <v>162</v>
      </c>
      <c r="AL63" t="s">
        <v>124</v>
      </c>
      <c r="AM63">
        <v>6</v>
      </c>
      <c r="AN63" t="s">
        <v>81</v>
      </c>
      <c r="AO63" t="s">
        <v>193</v>
      </c>
      <c r="AP63" t="s">
        <v>194</v>
      </c>
      <c r="AQ63" t="s">
        <v>194</v>
      </c>
      <c r="AR63" t="s">
        <v>174</v>
      </c>
      <c r="AS63" s="1">
        <v>0.71599999999999997</v>
      </c>
      <c r="AT63">
        <v>10.86</v>
      </c>
      <c r="AU63" s="1">
        <v>-1.0859999999999999</v>
      </c>
      <c r="AV63" t="s">
        <v>39</v>
      </c>
      <c r="AW63">
        <v>0.69599999999999995</v>
      </c>
      <c r="AX63" s="1">
        <v>2.0000000000000018E-2</v>
      </c>
      <c r="AY63">
        <v>21.23</v>
      </c>
      <c r="AZ63" s="4">
        <v>-2.1230000000000002</v>
      </c>
      <c r="BA63">
        <v>32.519599999999997</v>
      </c>
      <c r="BB63" s="16">
        <v>22.6</v>
      </c>
      <c r="BC63" s="17">
        <v>352</v>
      </c>
      <c r="BD63">
        <v>1.5061315708212935</v>
      </c>
      <c r="BE63">
        <v>2.8735632183908073E-2</v>
      </c>
      <c r="BF63">
        <v>1.5061315708212936E-6</v>
      </c>
      <c r="BG63">
        <v>3.0812296028563452E-7</v>
      </c>
      <c r="BH63" s="3">
        <v>0.30812296028563452</v>
      </c>
      <c r="BI63" s="3">
        <v>0.29712918060331189</v>
      </c>
      <c r="BJ63">
        <v>32.519599999999997</v>
      </c>
      <c r="BK63">
        <v>22.6</v>
      </c>
      <c r="BL63">
        <v>352</v>
      </c>
      <c r="BM63">
        <v>1.5061315708212935</v>
      </c>
      <c r="BN63" s="1">
        <f t="shared" si="0"/>
        <v>0.87399999999999989</v>
      </c>
      <c r="BO63" s="1">
        <f t="shared" si="1"/>
        <v>1.6400000000000001</v>
      </c>
      <c r="BP63">
        <f t="shared" si="2"/>
        <v>15.7364224082857</v>
      </c>
      <c r="BQ63" s="3">
        <f t="shared" si="3"/>
        <v>5.0499368930941051</v>
      </c>
      <c r="BR63" s="3">
        <f t="shared" si="4"/>
        <v>4.0818182862199457</v>
      </c>
    </row>
    <row r="64" spans="1:70" x14ac:dyDescent="0.35">
      <c r="A64" s="5">
        <v>44720</v>
      </c>
      <c r="B64" t="s">
        <v>32</v>
      </c>
      <c r="C64" t="s">
        <v>33</v>
      </c>
      <c r="D64" t="s">
        <v>195</v>
      </c>
      <c r="E64" t="s">
        <v>35</v>
      </c>
      <c r="F64">
        <v>2</v>
      </c>
      <c r="G64" t="s">
        <v>87</v>
      </c>
      <c r="H64" t="s">
        <v>56</v>
      </c>
      <c r="I64" t="s">
        <v>196</v>
      </c>
      <c r="J64" t="s">
        <v>196</v>
      </c>
      <c r="K64" t="s">
        <v>127</v>
      </c>
      <c r="L64" s="1">
        <v>0.53100000000000003</v>
      </c>
      <c r="M64">
        <v>10.48</v>
      </c>
      <c r="N64" s="2">
        <v>-1.048</v>
      </c>
      <c r="O64" t="s">
        <v>197</v>
      </c>
      <c r="P64">
        <v>0.40600000000000003</v>
      </c>
      <c r="Q64" s="1">
        <v>0.125</v>
      </c>
      <c r="R64">
        <v>3.4</v>
      </c>
      <c r="S64" s="2">
        <v>-0.33999999999999997</v>
      </c>
      <c r="T64">
        <v>26.9267</v>
      </c>
      <c r="U64" s="16">
        <v>58</v>
      </c>
      <c r="V64" s="17">
        <v>684</v>
      </c>
      <c r="W64">
        <v>27.909216206457202</v>
      </c>
      <c r="X64">
        <v>0.12229102167182655</v>
      </c>
      <c r="Y64">
        <v>8.9563216301143164E-6</v>
      </c>
      <c r="Z64">
        <v>2.5691647119880736E-6</v>
      </c>
      <c r="AA64" s="3">
        <v>2.5691647119880736</v>
      </c>
      <c r="AB64" s="3">
        <v>3.5387943691295782</v>
      </c>
      <c r="AC64">
        <v>27.385200000000001</v>
      </c>
      <c r="AD64" s="16">
        <v>45.3</v>
      </c>
      <c r="AE64" s="17">
        <v>410</v>
      </c>
      <c r="AF64">
        <v>8.9563216301143171</v>
      </c>
      <c r="AH64" s="5">
        <v>44805</v>
      </c>
      <c r="AI64" s="6" t="s">
        <v>32</v>
      </c>
      <c r="AJ64" s="6" t="s">
        <v>40</v>
      </c>
      <c r="AK64" t="s">
        <v>195</v>
      </c>
      <c r="AL64" t="s">
        <v>35</v>
      </c>
      <c r="AM64">
        <v>9</v>
      </c>
      <c r="AN64" t="s">
        <v>87</v>
      </c>
      <c r="AO64" t="s">
        <v>56</v>
      </c>
      <c r="AP64" t="s">
        <v>196</v>
      </c>
      <c r="AQ64" t="s">
        <v>196</v>
      </c>
      <c r="AR64" t="s">
        <v>130</v>
      </c>
      <c r="AS64" s="1">
        <v>0.59099999999999997</v>
      </c>
      <c r="AT64">
        <v>12.51</v>
      </c>
      <c r="AU64" s="1">
        <v>-1.2509999999999999</v>
      </c>
      <c r="AV64" t="s">
        <v>198</v>
      </c>
      <c r="AW64">
        <v>0.50800000000000001</v>
      </c>
      <c r="AX64" s="1">
        <v>8.2999999999999963E-2</v>
      </c>
      <c r="AY64">
        <v>7.48</v>
      </c>
      <c r="AZ64" s="4">
        <v>-0.748</v>
      </c>
      <c r="BA64">
        <v>34.357199999999999</v>
      </c>
      <c r="BB64" s="16">
        <v>58</v>
      </c>
      <c r="BC64" s="17">
        <v>684</v>
      </c>
      <c r="BD64">
        <v>12.794221444461208</v>
      </c>
      <c r="BE64">
        <v>0.16338582677165348</v>
      </c>
      <c r="BF64">
        <v>1.2794221444461207E-5</v>
      </c>
      <c r="BG64">
        <v>8.1714023491180444E-6</v>
      </c>
      <c r="BH64" s="3">
        <v>8.1714023491180452</v>
      </c>
      <c r="BI64" s="3">
        <v>16.245332702023951</v>
      </c>
      <c r="BJ64">
        <v>34.357199999999999</v>
      </c>
      <c r="BK64">
        <v>58</v>
      </c>
      <c r="BL64">
        <v>684</v>
      </c>
      <c r="BM64">
        <v>12.794221444461208</v>
      </c>
      <c r="BN64" s="1">
        <f t="shared" si="0"/>
        <v>0.20299999999999985</v>
      </c>
      <c r="BO64" s="1">
        <f t="shared" si="1"/>
        <v>0.40800000000000003</v>
      </c>
      <c r="BP64">
        <f t="shared" si="2"/>
        <v>-3.8378998143468905</v>
      </c>
      <c r="BQ64" s="3">
        <f t="shared" si="3"/>
        <v>-12.706538332894374</v>
      </c>
      <c r="BR64" s="3">
        <f t="shared" si="4"/>
        <v>-5.6022376371299716</v>
      </c>
    </row>
    <row r="65" spans="1:70" x14ac:dyDescent="0.35">
      <c r="A65" s="5">
        <v>44720</v>
      </c>
      <c r="B65" t="s">
        <v>32</v>
      </c>
      <c r="C65" t="s">
        <v>33</v>
      </c>
      <c r="D65" t="s">
        <v>195</v>
      </c>
      <c r="E65" t="s">
        <v>35</v>
      </c>
      <c r="F65">
        <v>8</v>
      </c>
      <c r="G65" t="s">
        <v>87</v>
      </c>
      <c r="H65" t="s">
        <v>155</v>
      </c>
      <c r="I65" t="s">
        <v>199</v>
      </c>
      <c r="J65" t="s">
        <v>199</v>
      </c>
      <c r="K65" t="s">
        <v>127</v>
      </c>
      <c r="L65" s="1">
        <v>0.83</v>
      </c>
      <c r="M65">
        <v>6.74</v>
      </c>
      <c r="N65" s="2">
        <v>-0.67400000000000004</v>
      </c>
      <c r="O65" t="s">
        <v>197</v>
      </c>
      <c r="P65">
        <v>0.68400000000000005</v>
      </c>
      <c r="Q65" s="1">
        <v>0.14599999999999991</v>
      </c>
      <c r="R65">
        <v>4.75</v>
      </c>
      <c r="S65" s="2">
        <v>-0.47499999999999998</v>
      </c>
      <c r="T65">
        <v>26.9267</v>
      </c>
      <c r="U65" s="16">
        <v>30</v>
      </c>
      <c r="V65" s="17">
        <v>350</v>
      </c>
      <c r="W65">
        <v>17.779161119480808</v>
      </c>
      <c r="X65">
        <v>0.57357357357357353</v>
      </c>
      <c r="Y65">
        <v>6.0030254564193116E-5</v>
      </c>
      <c r="Z65">
        <v>6.006586361074678E-5</v>
      </c>
      <c r="AA65" s="3">
        <v>60.065863610746781</v>
      </c>
      <c r="AB65" s="3">
        <v>45.50444212935362</v>
      </c>
      <c r="AC65">
        <v>27.385200000000001</v>
      </c>
      <c r="AD65" s="16">
        <v>93.8</v>
      </c>
      <c r="AE65" s="17">
        <v>803</v>
      </c>
      <c r="AF65">
        <v>60.030254564193115</v>
      </c>
      <c r="AH65" s="5">
        <v>44805</v>
      </c>
      <c r="AI65" s="6" t="s">
        <v>32</v>
      </c>
      <c r="AJ65" s="6" t="s">
        <v>40</v>
      </c>
      <c r="AK65" t="s">
        <v>195</v>
      </c>
      <c r="AL65" t="s">
        <v>35</v>
      </c>
      <c r="AM65">
        <v>14</v>
      </c>
      <c r="AN65" t="s">
        <v>87</v>
      </c>
      <c r="AO65" t="s">
        <v>155</v>
      </c>
      <c r="AP65" t="s">
        <v>199</v>
      </c>
      <c r="AQ65" t="s">
        <v>199</v>
      </c>
      <c r="AR65" t="s">
        <v>200</v>
      </c>
      <c r="AS65">
        <v>0.86099999999999999</v>
      </c>
      <c r="AT65">
        <v>14.63</v>
      </c>
      <c r="AU65" s="1">
        <v>-1.4630000000000001</v>
      </c>
      <c r="AV65" t="s">
        <v>201</v>
      </c>
      <c r="AW65">
        <v>0.74099999999999999</v>
      </c>
      <c r="AX65" s="1">
        <v>0.12</v>
      </c>
      <c r="AY65">
        <v>22.73</v>
      </c>
      <c r="AZ65" s="4">
        <v>-2.2730000000000001</v>
      </c>
      <c r="BA65">
        <v>34.357199999999999</v>
      </c>
      <c r="BB65" s="16">
        <v>30</v>
      </c>
      <c r="BC65" s="17">
        <v>350</v>
      </c>
      <c r="BD65">
        <v>12.655312136129728</v>
      </c>
      <c r="BE65">
        <v>0.16194331983805668</v>
      </c>
      <c r="BF65">
        <v>1.2655312136129728E-5</v>
      </c>
      <c r="BG65">
        <v>1.3933048923723796E-6</v>
      </c>
      <c r="BH65" s="3">
        <v>1.3933048923723796</v>
      </c>
      <c r="BI65" s="3">
        <v>1.7201294967560241</v>
      </c>
      <c r="BJ65">
        <v>34.357199999999999</v>
      </c>
      <c r="BK65">
        <v>30</v>
      </c>
      <c r="BL65">
        <v>350</v>
      </c>
      <c r="BM65">
        <v>12.655312136129728</v>
      </c>
      <c r="BN65" s="1">
        <f t="shared" si="0"/>
        <v>0.78900000000000003</v>
      </c>
      <c r="BO65" s="1">
        <f t="shared" si="1"/>
        <v>1.798</v>
      </c>
      <c r="BP65">
        <f t="shared" si="2"/>
        <v>47.374942428063385</v>
      </c>
      <c r="BQ65" s="3">
        <f t="shared" si="3"/>
        <v>43.784312632597597</v>
      </c>
      <c r="BR65" s="3">
        <f t="shared" si="4"/>
        <v>58.672558718374404</v>
      </c>
    </row>
    <row r="66" spans="1:70" x14ac:dyDescent="0.35">
      <c r="A66" s="5">
        <v>44720</v>
      </c>
      <c r="B66" t="s">
        <v>32</v>
      </c>
      <c r="C66" t="s">
        <v>33</v>
      </c>
      <c r="D66" t="s">
        <v>195</v>
      </c>
      <c r="E66" t="s">
        <v>35</v>
      </c>
      <c r="F66">
        <v>5</v>
      </c>
      <c r="G66" t="s">
        <v>36</v>
      </c>
      <c r="H66" t="s">
        <v>125</v>
      </c>
      <c r="I66" t="s">
        <v>202</v>
      </c>
      <c r="J66" t="s">
        <v>202</v>
      </c>
      <c r="K66" t="s">
        <v>127</v>
      </c>
      <c r="L66" s="1">
        <v>0.60599999999999998</v>
      </c>
      <c r="M66">
        <v>7.47</v>
      </c>
      <c r="N66" s="2">
        <v>-0.747</v>
      </c>
      <c r="O66" t="s">
        <v>197</v>
      </c>
      <c r="P66">
        <v>0.434</v>
      </c>
      <c r="Q66" s="1">
        <v>0.17199999999999999</v>
      </c>
      <c r="R66">
        <v>10.01</v>
      </c>
      <c r="S66" s="2">
        <v>-1.0009999999999999</v>
      </c>
      <c r="T66">
        <v>26.9267</v>
      </c>
      <c r="U66" s="16">
        <v>32.1</v>
      </c>
      <c r="V66" s="17">
        <v>370</v>
      </c>
      <c r="W66">
        <v>38.083128882939192</v>
      </c>
      <c r="X66">
        <v>0.625</v>
      </c>
      <c r="Y66">
        <v>6.6722953590273818E-5</v>
      </c>
      <c r="Z66">
        <v>3.5476812274392059E-5</v>
      </c>
      <c r="AA66" s="3">
        <v>35.47681227439206</v>
      </c>
      <c r="AB66" s="3">
        <v>76.458647143086338</v>
      </c>
      <c r="AC66">
        <v>27.385200000000001</v>
      </c>
      <c r="AD66" s="16">
        <v>77.3</v>
      </c>
      <c r="AE66" s="17">
        <v>705</v>
      </c>
      <c r="AF66">
        <v>66.722953590273818</v>
      </c>
      <c r="AH66" s="5">
        <v>44805</v>
      </c>
      <c r="AI66" s="6" t="s">
        <v>32</v>
      </c>
      <c r="AJ66" s="6" t="s">
        <v>40</v>
      </c>
      <c r="AK66" t="s">
        <v>195</v>
      </c>
      <c r="AL66" t="s">
        <v>35</v>
      </c>
      <c r="AM66">
        <v>14</v>
      </c>
      <c r="AN66" t="s">
        <v>36</v>
      </c>
      <c r="AO66" t="s">
        <v>125</v>
      </c>
      <c r="AP66" t="s">
        <v>202</v>
      </c>
      <c r="AQ66" t="s">
        <v>202</v>
      </c>
      <c r="AR66" t="s">
        <v>130</v>
      </c>
      <c r="AS66" s="1">
        <v>0.621</v>
      </c>
      <c r="AT66">
        <v>23.67</v>
      </c>
      <c r="AU66" s="1">
        <v>-2.367</v>
      </c>
      <c r="AV66" t="s">
        <v>198</v>
      </c>
      <c r="AW66">
        <v>0.53400000000000003</v>
      </c>
      <c r="AX66" s="1">
        <v>8.6999999999999966E-2</v>
      </c>
      <c r="AY66">
        <v>28.76</v>
      </c>
      <c r="AZ66" s="4">
        <v>-2.8760000000000003</v>
      </c>
      <c r="BA66">
        <v>34.357199999999999</v>
      </c>
      <c r="BB66" s="16">
        <v>32.1</v>
      </c>
      <c r="BC66" s="17">
        <v>370</v>
      </c>
      <c r="BD66">
        <v>12.749462443421159</v>
      </c>
      <c r="BE66">
        <v>0.16292134831460667</v>
      </c>
      <c r="BF66">
        <v>1.2749462443421158E-5</v>
      </c>
      <c r="BG66">
        <v>2.6031661175040673E-6</v>
      </c>
      <c r="BH66" s="3">
        <v>2.6031661175040672</v>
      </c>
      <c r="BI66" s="3">
        <v>5.1142752799686946</v>
      </c>
      <c r="BJ66">
        <v>34.357199999999999</v>
      </c>
      <c r="BK66">
        <v>32.1</v>
      </c>
      <c r="BL66">
        <v>370</v>
      </c>
      <c r="BM66">
        <v>12.749462443421159</v>
      </c>
      <c r="BN66" s="1">
        <f t="shared" si="0"/>
        <v>1.62</v>
      </c>
      <c r="BO66" s="1">
        <f t="shared" si="1"/>
        <v>1.8750000000000004</v>
      </c>
      <c r="BP66">
        <f t="shared" si="2"/>
        <v>53.973491146852659</v>
      </c>
      <c r="BQ66" s="3">
        <f t="shared" si="3"/>
        <v>71.344371863117644</v>
      </c>
      <c r="BR66" s="3">
        <f t="shared" si="4"/>
        <v>32.873646156887993</v>
      </c>
    </row>
    <row r="67" spans="1:70" x14ac:dyDescent="0.35">
      <c r="A67" s="5">
        <v>44721</v>
      </c>
      <c r="B67" t="s">
        <v>32</v>
      </c>
      <c r="C67" t="s">
        <v>33</v>
      </c>
      <c r="D67" t="s">
        <v>195</v>
      </c>
      <c r="E67" t="s">
        <v>35</v>
      </c>
      <c r="F67">
        <v>3</v>
      </c>
      <c r="G67" t="s">
        <v>43</v>
      </c>
      <c r="H67" t="s">
        <v>145</v>
      </c>
      <c r="I67" t="s">
        <v>203</v>
      </c>
      <c r="J67" t="s">
        <v>203</v>
      </c>
      <c r="K67" t="s">
        <v>127</v>
      </c>
      <c r="L67" s="1">
        <v>0.68600000000000005</v>
      </c>
      <c r="M67">
        <v>4.6399999999999997</v>
      </c>
      <c r="N67" s="2">
        <v>-0.46399999999999997</v>
      </c>
      <c r="O67" t="s">
        <v>204</v>
      </c>
      <c r="P67">
        <v>0.48</v>
      </c>
      <c r="Q67" s="1">
        <v>0.20600000000000007</v>
      </c>
      <c r="R67">
        <v>1.0900000000000001</v>
      </c>
      <c r="S67" s="2">
        <v>-0.10900000000000001</v>
      </c>
      <c r="T67">
        <v>24.548100000000002</v>
      </c>
      <c r="U67" s="16">
        <v>97</v>
      </c>
      <c r="V67" s="17">
        <v>770</v>
      </c>
      <c r="W67">
        <v>42.005827681874422</v>
      </c>
      <c r="X67">
        <v>0.42061855670103088</v>
      </c>
      <c r="Y67">
        <v>4.0978269778104939E-5</v>
      </c>
      <c r="Z67">
        <v>2.6550526481371257E-5</v>
      </c>
      <c r="AA67" s="3">
        <v>26.550526481371257</v>
      </c>
      <c r="AB67" s="3">
        <v>23.371942325150755</v>
      </c>
      <c r="AC67">
        <v>27.385200000000001</v>
      </c>
      <c r="AD67" s="16">
        <v>85.7</v>
      </c>
      <c r="AE67" s="17">
        <v>734</v>
      </c>
      <c r="AF67">
        <v>40.978269778104938</v>
      </c>
      <c r="AH67" s="5">
        <v>44805</v>
      </c>
      <c r="AI67" s="6" t="s">
        <v>32</v>
      </c>
      <c r="AJ67" s="6" t="s">
        <v>40</v>
      </c>
      <c r="AK67" t="s">
        <v>195</v>
      </c>
      <c r="AL67" t="s">
        <v>35</v>
      </c>
      <c r="AM67">
        <v>12</v>
      </c>
      <c r="AN67" t="s">
        <v>43</v>
      </c>
      <c r="AO67" t="s">
        <v>145</v>
      </c>
      <c r="AP67" t="s">
        <v>203</v>
      </c>
      <c r="AQ67" t="s">
        <v>203</v>
      </c>
      <c r="AR67" t="s">
        <v>130</v>
      </c>
      <c r="AS67" s="1">
        <v>0.68899999999999995</v>
      </c>
      <c r="AT67">
        <v>6.46</v>
      </c>
      <c r="AU67" s="1">
        <v>-0.64600000000000002</v>
      </c>
      <c r="AV67" t="s">
        <v>198</v>
      </c>
      <c r="AW67">
        <v>0.55100000000000005</v>
      </c>
      <c r="AX67" s="1">
        <v>0.1379999999999999</v>
      </c>
      <c r="AY67">
        <v>7.14</v>
      </c>
      <c r="AZ67" s="4">
        <v>-0.71399999999999997</v>
      </c>
      <c r="BA67">
        <v>34.357199999999999</v>
      </c>
      <c r="BB67" s="16">
        <v>97</v>
      </c>
      <c r="BC67" s="17">
        <v>770</v>
      </c>
      <c r="BD67">
        <v>21.64614177310273</v>
      </c>
      <c r="BE67">
        <v>0.25045372050816678</v>
      </c>
      <c r="BF67">
        <v>2.1646141773102731E-5</v>
      </c>
      <c r="BG67">
        <v>2.3519821333661422E-5</v>
      </c>
      <c r="BH67" s="3">
        <v>23.519821333661422</v>
      </c>
      <c r="BI67" s="3">
        <v>345.87972549502115</v>
      </c>
      <c r="BJ67">
        <v>34.357199999999999</v>
      </c>
      <c r="BK67">
        <v>97</v>
      </c>
      <c r="BL67">
        <v>770</v>
      </c>
      <c r="BM67">
        <v>21.64614177310273</v>
      </c>
      <c r="BN67" s="1">
        <f t="shared" ref="BN67:BN94" si="5">N67-AU67</f>
        <v>0.18200000000000005</v>
      </c>
      <c r="BO67" s="1">
        <f t="shared" ref="BO67:BO94" si="6">S67-AZ67</f>
        <v>0.60499999999999998</v>
      </c>
      <c r="BP67">
        <f t="shared" ref="BP67:BP94" si="7">AF67-BM67</f>
        <v>19.332128005002208</v>
      </c>
      <c r="BQ67" s="3">
        <f t="shared" ref="BQ67:BQ94" si="8">AB67-BI67</f>
        <v>-322.50778316987038</v>
      </c>
      <c r="BR67" s="3">
        <f t="shared" ref="BR67:BR94" si="9">AA67-BH67</f>
        <v>3.0307051477098348</v>
      </c>
    </row>
    <row r="68" spans="1:70" x14ac:dyDescent="0.35">
      <c r="A68" s="5">
        <v>44721</v>
      </c>
      <c r="B68" t="s">
        <v>32</v>
      </c>
      <c r="C68" t="s">
        <v>33</v>
      </c>
      <c r="D68" t="s">
        <v>195</v>
      </c>
      <c r="E68" t="s">
        <v>35</v>
      </c>
      <c r="F68">
        <v>1</v>
      </c>
      <c r="G68" t="s">
        <v>50</v>
      </c>
      <c r="H68" t="s">
        <v>205</v>
      </c>
      <c r="I68" t="s">
        <v>206</v>
      </c>
      <c r="J68" t="s">
        <v>206</v>
      </c>
      <c r="K68" t="s">
        <v>127</v>
      </c>
      <c r="L68" s="1">
        <v>1.0620000000000001</v>
      </c>
      <c r="M68">
        <v>6.84</v>
      </c>
      <c r="N68" s="2">
        <v>-0.68399999999999994</v>
      </c>
      <c r="O68" t="s">
        <v>204</v>
      </c>
      <c r="P68">
        <v>0.90400000000000003</v>
      </c>
      <c r="Q68" s="1">
        <v>0.15800000000000003</v>
      </c>
      <c r="R68">
        <v>13.34</v>
      </c>
      <c r="S68" s="2">
        <v>-1.3340000000000001</v>
      </c>
      <c r="T68">
        <v>24.548100000000002</v>
      </c>
      <c r="U68" s="16">
        <v>33.200000000000003</v>
      </c>
      <c r="V68" s="17">
        <v>460</v>
      </c>
      <c r="W68">
        <v>13.901142571194249</v>
      </c>
      <c r="X68">
        <v>0.29734513274336294</v>
      </c>
      <c r="Y68">
        <v>2.6738131074134755E-5</v>
      </c>
      <c r="Z68">
        <v>9.2263040274291776E-6</v>
      </c>
      <c r="AA68" s="3">
        <v>9.2263040274291779</v>
      </c>
      <c r="AB68" s="3">
        <v>10.496364081261863</v>
      </c>
      <c r="AC68">
        <v>27.385200000000001</v>
      </c>
      <c r="AD68" s="16">
        <v>55</v>
      </c>
      <c r="AE68" s="17">
        <v>622</v>
      </c>
      <c r="AF68">
        <v>26.738131074134756</v>
      </c>
      <c r="AH68" s="5">
        <v>44805</v>
      </c>
      <c r="AI68" s="6" t="s">
        <v>32</v>
      </c>
      <c r="AJ68" s="6" t="s">
        <v>40</v>
      </c>
      <c r="AK68" t="s">
        <v>195</v>
      </c>
      <c r="AL68" t="s">
        <v>35</v>
      </c>
      <c r="AM68">
        <v>11</v>
      </c>
      <c r="AN68" t="s">
        <v>50</v>
      </c>
      <c r="AO68" t="s">
        <v>205</v>
      </c>
      <c r="AP68" t="s">
        <v>206</v>
      </c>
      <c r="AQ68" t="s">
        <v>206</v>
      </c>
      <c r="AR68" t="s">
        <v>200</v>
      </c>
      <c r="AS68">
        <v>1.1120000000000001</v>
      </c>
      <c r="AT68">
        <v>24.75</v>
      </c>
      <c r="AU68" s="1">
        <v>-2.4750000000000001</v>
      </c>
      <c r="AV68" t="s">
        <v>201</v>
      </c>
      <c r="AW68">
        <v>1.0569999999999999</v>
      </c>
      <c r="AX68" s="1">
        <v>5.500000000000016E-2</v>
      </c>
      <c r="AY68">
        <v>24.65</v>
      </c>
      <c r="AZ68" s="4">
        <v>-2.4649999999999999</v>
      </c>
      <c r="BA68">
        <v>34.357199999999999</v>
      </c>
      <c r="BB68" s="16">
        <v>33.200000000000003</v>
      </c>
      <c r="BC68" s="17">
        <v>460</v>
      </c>
      <c r="BD68">
        <v>3.1282188076346644</v>
      </c>
      <c r="BE68">
        <v>5.2034058656575365E-2</v>
      </c>
      <c r="BF68">
        <v>3.1282188076346645E-6</v>
      </c>
      <c r="BG68">
        <v>6.8071219419538729E-7</v>
      </c>
      <c r="BH68" s="3">
        <v>0.68071219419538731</v>
      </c>
      <c r="BI68" s="3">
        <v>68.071219419537158</v>
      </c>
      <c r="BJ68">
        <v>34.357199999999999</v>
      </c>
      <c r="BK68">
        <v>33.200000000000003</v>
      </c>
      <c r="BL68">
        <v>460</v>
      </c>
      <c r="BM68">
        <v>3.1282188076346644</v>
      </c>
      <c r="BN68" s="1">
        <f t="shared" si="5"/>
        <v>1.7910000000000001</v>
      </c>
      <c r="BO68" s="1">
        <f t="shared" si="6"/>
        <v>1.1309999999999998</v>
      </c>
      <c r="BP68">
        <f t="shared" si="7"/>
        <v>23.609912266500093</v>
      </c>
      <c r="BQ68" s="3">
        <f t="shared" si="8"/>
        <v>-57.574855338275299</v>
      </c>
      <c r="BR68" s="3">
        <f t="shared" si="9"/>
        <v>8.5455918332337912</v>
      </c>
    </row>
    <row r="69" spans="1:70" x14ac:dyDescent="0.35">
      <c r="A69" s="5">
        <v>44720</v>
      </c>
      <c r="B69" t="s">
        <v>32</v>
      </c>
      <c r="C69" t="s">
        <v>33</v>
      </c>
      <c r="D69" t="s">
        <v>195</v>
      </c>
      <c r="E69" t="s">
        <v>35</v>
      </c>
      <c r="F69">
        <v>4</v>
      </c>
      <c r="G69" t="s">
        <v>50</v>
      </c>
      <c r="H69" t="s">
        <v>207</v>
      </c>
      <c r="I69" t="s">
        <v>208</v>
      </c>
      <c r="J69" t="s">
        <v>208</v>
      </c>
      <c r="K69" t="s">
        <v>127</v>
      </c>
      <c r="L69" s="1">
        <v>0.86099999999999999</v>
      </c>
      <c r="M69">
        <v>10.47</v>
      </c>
      <c r="N69" s="2">
        <v>-1.0470000000000002</v>
      </c>
      <c r="O69" t="s">
        <v>197</v>
      </c>
      <c r="P69">
        <v>0.70099999999999996</v>
      </c>
      <c r="Q69" s="1">
        <v>0.16000000000000003</v>
      </c>
      <c r="R69">
        <v>12.51</v>
      </c>
      <c r="S69" s="2">
        <v>-1.2509999999999999</v>
      </c>
      <c r="T69">
        <v>26.9267</v>
      </c>
      <c r="U69" s="16">
        <v>42.8</v>
      </c>
      <c r="V69" s="17">
        <v>570</v>
      </c>
      <c r="W69">
        <v>19.308110691663</v>
      </c>
      <c r="X69">
        <v>0.3460620525059665</v>
      </c>
      <c r="Y69">
        <v>3.2228901999965147E-5</v>
      </c>
      <c r="Z69">
        <v>6.3375781864501628E-6</v>
      </c>
      <c r="AA69" s="3">
        <v>6.3375781864501626</v>
      </c>
      <c r="AB69" s="3">
        <v>11.935175492373189</v>
      </c>
      <c r="AC69">
        <v>27.385200000000001</v>
      </c>
      <c r="AD69" s="16">
        <v>43.6</v>
      </c>
      <c r="AE69" s="17">
        <v>371</v>
      </c>
      <c r="AF69">
        <v>32.228901999965146</v>
      </c>
      <c r="AH69" s="5">
        <v>44805</v>
      </c>
      <c r="AI69" s="6" t="s">
        <v>32</v>
      </c>
      <c r="AJ69" s="6" t="s">
        <v>40</v>
      </c>
      <c r="AK69" t="s">
        <v>195</v>
      </c>
      <c r="AL69" t="s">
        <v>35</v>
      </c>
      <c r="AM69">
        <v>16</v>
      </c>
      <c r="AN69" t="s">
        <v>50</v>
      </c>
      <c r="AO69" t="s">
        <v>207</v>
      </c>
      <c r="AP69" t="s">
        <v>208</v>
      </c>
      <c r="AQ69" t="s">
        <v>208</v>
      </c>
      <c r="AR69" t="s">
        <v>200</v>
      </c>
      <c r="AS69">
        <v>0.94199999999999995</v>
      </c>
      <c r="AT69">
        <v>27.78</v>
      </c>
      <c r="AU69" s="1">
        <v>-2.778</v>
      </c>
      <c r="AV69" t="s">
        <v>201</v>
      </c>
      <c r="AW69">
        <v>0.88100000000000001</v>
      </c>
      <c r="AX69" s="1">
        <v>6.0999999999999943E-2</v>
      </c>
      <c r="AY69">
        <v>40.06</v>
      </c>
      <c r="AZ69" s="4">
        <v>-4.0060000000000002</v>
      </c>
      <c r="BA69">
        <v>34.357199999999999</v>
      </c>
      <c r="BB69" s="16">
        <v>42.8</v>
      </c>
      <c r="BC69" s="17">
        <v>570</v>
      </c>
      <c r="BD69">
        <v>4.4465445209103116</v>
      </c>
      <c r="BE69">
        <v>6.9239500567536819E-2</v>
      </c>
      <c r="BF69">
        <v>4.4465445209103116E-6</v>
      </c>
      <c r="BG69">
        <v>1.0965881175853709E-6</v>
      </c>
      <c r="BH69" s="3">
        <v>1.0965881175853709</v>
      </c>
      <c r="BI69" s="3">
        <v>0.89298706643759829</v>
      </c>
      <c r="BJ69">
        <v>34.357199999999999</v>
      </c>
      <c r="BK69">
        <v>42.8</v>
      </c>
      <c r="BL69">
        <v>570</v>
      </c>
      <c r="BM69">
        <v>4.4465445209103116</v>
      </c>
      <c r="BN69" s="1">
        <f t="shared" si="5"/>
        <v>1.7309999999999999</v>
      </c>
      <c r="BO69" s="1">
        <f t="shared" si="6"/>
        <v>2.7550000000000003</v>
      </c>
      <c r="BP69">
        <f t="shared" si="7"/>
        <v>27.782357479054834</v>
      </c>
      <c r="BQ69" s="3">
        <f t="shared" si="8"/>
        <v>11.04218842593559</v>
      </c>
      <c r="BR69" s="3">
        <f t="shared" si="9"/>
        <v>5.2409900688647912</v>
      </c>
    </row>
    <row r="70" spans="1:70" x14ac:dyDescent="0.35">
      <c r="A70" s="5">
        <v>44721</v>
      </c>
      <c r="B70" t="s">
        <v>32</v>
      </c>
      <c r="C70" t="s">
        <v>33</v>
      </c>
      <c r="D70" t="s">
        <v>195</v>
      </c>
      <c r="E70" t="s">
        <v>35</v>
      </c>
      <c r="F70">
        <v>7</v>
      </c>
      <c r="G70" t="s">
        <v>53</v>
      </c>
      <c r="H70" t="s">
        <v>51</v>
      </c>
      <c r="I70" t="s">
        <v>209</v>
      </c>
      <c r="J70" t="s">
        <v>209</v>
      </c>
      <c r="K70" t="s">
        <v>127</v>
      </c>
      <c r="L70" s="1">
        <v>0.72899999999999998</v>
      </c>
      <c r="M70">
        <v>7.52</v>
      </c>
      <c r="N70" s="2">
        <v>-0.752</v>
      </c>
      <c r="O70" t="s">
        <v>204</v>
      </c>
      <c r="P70">
        <v>0.58399999999999996</v>
      </c>
      <c r="Q70" s="1">
        <v>0.14500000000000002</v>
      </c>
      <c r="R70">
        <v>18.63</v>
      </c>
      <c r="S70" s="2">
        <v>-1.863</v>
      </c>
      <c r="T70">
        <v>24.548100000000002</v>
      </c>
      <c r="U70" s="16">
        <v>13.9</v>
      </c>
      <c r="V70" s="17">
        <v>342</v>
      </c>
      <c r="W70">
        <v>21.415921059734188</v>
      </c>
      <c r="X70">
        <v>0.11170784103114915</v>
      </c>
      <c r="Y70">
        <v>8.0119447319958262E-6</v>
      </c>
      <c r="Z70">
        <v>3.9351434496100062E-6</v>
      </c>
      <c r="AA70" s="3">
        <v>3.9351434496100062</v>
      </c>
      <c r="AB70" s="3">
        <v>9.1514963944418746</v>
      </c>
      <c r="AC70">
        <v>27.385200000000001</v>
      </c>
      <c r="AD70" s="16">
        <v>75</v>
      </c>
      <c r="AE70" s="17">
        <v>640</v>
      </c>
      <c r="AF70">
        <v>8.0119447319958255</v>
      </c>
      <c r="AH70" s="5">
        <v>44805</v>
      </c>
      <c r="AI70" s="6" t="s">
        <v>32</v>
      </c>
      <c r="AJ70" s="6" t="s">
        <v>40</v>
      </c>
      <c r="AK70" t="s">
        <v>195</v>
      </c>
      <c r="AL70" t="s">
        <v>35</v>
      </c>
      <c r="AM70">
        <v>13</v>
      </c>
      <c r="AN70" t="s">
        <v>53</v>
      </c>
      <c r="AO70" t="s">
        <v>51</v>
      </c>
      <c r="AP70" t="s">
        <v>209</v>
      </c>
      <c r="AQ70" t="s">
        <v>209</v>
      </c>
      <c r="AR70" t="s">
        <v>130</v>
      </c>
      <c r="AS70" s="1">
        <v>0.68899999999999995</v>
      </c>
      <c r="AT70">
        <v>35.14</v>
      </c>
      <c r="AU70" s="1">
        <v>-3.5140000000000002</v>
      </c>
      <c r="AV70" t="s">
        <v>198</v>
      </c>
      <c r="AW70">
        <v>0.68500000000000005</v>
      </c>
      <c r="AX70" s="1">
        <v>3.9999999999998925E-3</v>
      </c>
      <c r="AY70">
        <v>41.08</v>
      </c>
      <c r="AZ70" s="4">
        <v>-4.1079999999999997</v>
      </c>
      <c r="BA70">
        <v>34.357199999999999</v>
      </c>
      <c r="BB70" s="16">
        <v>13.9</v>
      </c>
      <c r="BC70" s="17">
        <v>342</v>
      </c>
      <c r="BD70">
        <v>0.21181061304797388</v>
      </c>
      <c r="BE70">
        <v>5.8394160583940032E-3</v>
      </c>
      <c r="BF70">
        <v>2.118106130479739E-7</v>
      </c>
      <c r="BG70">
        <v>1.383913700982185E-8</v>
      </c>
      <c r="BH70" s="3">
        <v>1.383913700982185E-2</v>
      </c>
      <c r="BI70" s="3">
        <v>2.3298210454245561E-2</v>
      </c>
      <c r="BJ70">
        <v>34.357199999999999</v>
      </c>
      <c r="BK70">
        <v>13.9</v>
      </c>
      <c r="BL70">
        <v>342</v>
      </c>
      <c r="BM70">
        <v>0.21181061304797388</v>
      </c>
      <c r="BN70" s="1">
        <f t="shared" si="5"/>
        <v>2.7620000000000005</v>
      </c>
      <c r="BO70" s="1">
        <f t="shared" si="6"/>
        <v>2.2449999999999997</v>
      </c>
      <c r="BP70">
        <f t="shared" si="7"/>
        <v>7.8001341189478515</v>
      </c>
      <c r="BQ70" s="3">
        <f t="shared" si="8"/>
        <v>9.1281981839876298</v>
      </c>
      <c r="BR70" s="3">
        <f t="shared" si="9"/>
        <v>3.9213043126001845</v>
      </c>
    </row>
    <row r="71" spans="1:70" x14ac:dyDescent="0.35">
      <c r="A71" s="5">
        <v>44721</v>
      </c>
      <c r="B71" t="s">
        <v>32</v>
      </c>
      <c r="C71" t="s">
        <v>33</v>
      </c>
      <c r="D71" t="s">
        <v>195</v>
      </c>
      <c r="E71" t="s">
        <v>35</v>
      </c>
      <c r="F71">
        <v>8</v>
      </c>
      <c r="G71" t="s">
        <v>53</v>
      </c>
      <c r="H71" t="s">
        <v>210</v>
      </c>
      <c r="I71" t="s">
        <v>211</v>
      </c>
      <c r="J71" t="s">
        <v>211</v>
      </c>
      <c r="K71" t="s">
        <v>127</v>
      </c>
      <c r="L71" s="1">
        <v>0.745</v>
      </c>
      <c r="M71">
        <v>4.25</v>
      </c>
      <c r="N71" s="2">
        <v>-0.42499999999999999</v>
      </c>
      <c r="O71" t="s">
        <v>204</v>
      </c>
      <c r="P71">
        <v>0.52800000000000002</v>
      </c>
      <c r="Q71" s="1">
        <v>0.21699999999999997</v>
      </c>
      <c r="R71">
        <v>15.35</v>
      </c>
      <c r="S71" s="2">
        <v>-1.5349999999999999</v>
      </c>
      <c r="T71">
        <v>24.548100000000002</v>
      </c>
      <c r="U71" s="16">
        <v>20.3</v>
      </c>
      <c r="V71" s="17">
        <v>310</v>
      </c>
      <c r="W71">
        <v>39.825985851455329</v>
      </c>
      <c r="X71">
        <v>0.20142602495543668</v>
      </c>
      <c r="Y71">
        <v>1.6554392314331867E-5</v>
      </c>
      <c r="Z71">
        <v>3.3866817909143428E-6</v>
      </c>
      <c r="AA71" s="3">
        <v>3.3866817909143427</v>
      </c>
      <c r="AB71" s="3">
        <v>12.49698077828171</v>
      </c>
      <c r="AC71">
        <v>27.385200000000001</v>
      </c>
      <c r="AD71" s="16">
        <v>22.6</v>
      </c>
      <c r="AE71" s="17">
        <v>352</v>
      </c>
      <c r="AF71">
        <v>16.554392314331867</v>
      </c>
      <c r="AH71" s="5">
        <v>44805</v>
      </c>
      <c r="AI71" s="6" t="s">
        <v>32</v>
      </c>
      <c r="AJ71" s="6" t="s">
        <v>40</v>
      </c>
      <c r="AK71" t="s">
        <v>195</v>
      </c>
      <c r="AL71" t="s">
        <v>35</v>
      </c>
      <c r="AM71">
        <v>10</v>
      </c>
      <c r="AN71" t="s">
        <v>53</v>
      </c>
      <c r="AO71" t="s">
        <v>210</v>
      </c>
      <c r="AP71" t="s">
        <v>211</v>
      </c>
      <c r="AQ71" t="s">
        <v>211</v>
      </c>
      <c r="AR71" t="s">
        <v>130</v>
      </c>
      <c r="AS71" s="1">
        <v>0.72299999999999998</v>
      </c>
      <c r="AT71">
        <v>22.58</v>
      </c>
      <c r="AU71" s="1">
        <v>-2.258</v>
      </c>
      <c r="AV71" t="s">
        <v>198</v>
      </c>
      <c r="AW71">
        <v>0.63700000000000001</v>
      </c>
      <c r="AX71" s="1">
        <v>8.5999999999999965E-2</v>
      </c>
      <c r="AY71">
        <v>34.46</v>
      </c>
      <c r="AZ71" s="4">
        <v>-3.4460000000000002</v>
      </c>
      <c r="BA71">
        <v>34.357199999999999</v>
      </c>
      <c r="BB71" s="16">
        <v>20.3</v>
      </c>
      <c r="BC71" s="17">
        <v>310</v>
      </c>
      <c r="BD71">
        <v>10.116235098395256</v>
      </c>
      <c r="BE71">
        <v>0.13500784929356352</v>
      </c>
      <c r="BF71">
        <v>1.0116235098395256E-5</v>
      </c>
      <c r="BG71">
        <v>1.0521831381936276E-6</v>
      </c>
      <c r="BH71" s="3">
        <v>1.0521831381936275</v>
      </c>
      <c r="BI71" s="3">
        <v>0.88567604225052809</v>
      </c>
      <c r="BJ71">
        <v>34.357199999999999</v>
      </c>
      <c r="BK71">
        <v>20.3</v>
      </c>
      <c r="BL71">
        <v>310</v>
      </c>
      <c r="BM71">
        <v>10.116235098395256</v>
      </c>
      <c r="BN71" s="1">
        <f t="shared" si="5"/>
        <v>1.833</v>
      </c>
      <c r="BO71" s="1">
        <f t="shared" si="6"/>
        <v>1.9110000000000003</v>
      </c>
      <c r="BP71">
        <f t="shared" si="7"/>
        <v>6.4381572159366112</v>
      </c>
      <c r="BQ71" s="3">
        <f t="shared" si="8"/>
        <v>11.611304736031181</v>
      </c>
      <c r="BR71" s="3">
        <f t="shared" si="9"/>
        <v>2.3344986527207152</v>
      </c>
    </row>
    <row r="72" spans="1:70" x14ac:dyDescent="0.35">
      <c r="A72" s="5">
        <v>44720</v>
      </c>
      <c r="B72" t="s">
        <v>32</v>
      </c>
      <c r="C72" t="s">
        <v>33</v>
      </c>
      <c r="D72" t="s">
        <v>195</v>
      </c>
      <c r="E72" t="s">
        <v>35</v>
      </c>
      <c r="F72">
        <v>3</v>
      </c>
      <c r="G72" t="s">
        <v>58</v>
      </c>
      <c r="H72" t="s">
        <v>179</v>
      </c>
      <c r="I72" t="s">
        <v>212</v>
      </c>
      <c r="J72" t="s">
        <v>212</v>
      </c>
      <c r="K72" t="s">
        <v>127</v>
      </c>
      <c r="L72" s="1">
        <v>0.66100000000000003</v>
      </c>
      <c r="M72">
        <v>12.35</v>
      </c>
      <c r="N72" s="2">
        <v>-1.2349999999999999</v>
      </c>
      <c r="O72" t="s">
        <v>197</v>
      </c>
      <c r="P72">
        <v>0.73599999999999999</v>
      </c>
      <c r="Q72" s="1">
        <v>-7.4999999999999956E-2</v>
      </c>
      <c r="R72">
        <v>11.53</v>
      </c>
      <c r="S72" s="2">
        <v>-1.153</v>
      </c>
      <c r="T72">
        <v>26.9267</v>
      </c>
      <c r="U72" s="16">
        <v>55</v>
      </c>
      <c r="V72" s="17">
        <v>715</v>
      </c>
      <c r="W72">
        <v>8.1673163927777992</v>
      </c>
      <c r="X72">
        <v>0.30788177339901474</v>
      </c>
      <c r="Y72">
        <v>2.7909216206457201E-5</v>
      </c>
      <c r="Z72">
        <v>1.7825034204814152E-5</v>
      </c>
      <c r="AA72" s="3">
        <v>17.825034204814152</v>
      </c>
      <c r="AB72" s="3">
        <v>25.176601984200776</v>
      </c>
      <c r="AC72">
        <v>26.9267</v>
      </c>
      <c r="AD72" s="16">
        <v>58</v>
      </c>
      <c r="AE72" s="17">
        <v>684</v>
      </c>
      <c r="AF72">
        <v>27.909216206457202</v>
      </c>
      <c r="AH72" s="5">
        <v>44805</v>
      </c>
      <c r="AI72" s="6" t="s">
        <v>32</v>
      </c>
      <c r="AJ72" s="6" t="s">
        <v>40</v>
      </c>
      <c r="AK72" t="s">
        <v>195</v>
      </c>
      <c r="AL72" t="s">
        <v>35</v>
      </c>
      <c r="AM72">
        <v>15</v>
      </c>
      <c r="AN72" t="s">
        <v>58</v>
      </c>
      <c r="AO72" t="s">
        <v>179</v>
      </c>
      <c r="AP72" t="s">
        <v>212</v>
      </c>
      <c r="AQ72" t="s">
        <v>212</v>
      </c>
      <c r="AR72" t="s">
        <v>200</v>
      </c>
      <c r="AS72">
        <v>0.76500000000000001</v>
      </c>
      <c r="AT72">
        <v>6.98</v>
      </c>
      <c r="AU72" s="1">
        <v>-0.69800000000000006</v>
      </c>
      <c r="AV72" t="s">
        <v>201</v>
      </c>
      <c r="AW72">
        <v>0.78200000000000003</v>
      </c>
      <c r="AX72" s="1">
        <v>-1.7000000000000015E-2</v>
      </c>
      <c r="AY72">
        <v>8.89</v>
      </c>
      <c r="AZ72" s="4">
        <v>-0.88900000000000001</v>
      </c>
      <c r="BA72">
        <v>34.357199999999999</v>
      </c>
      <c r="BB72" s="16">
        <v>55</v>
      </c>
      <c r="BC72" s="17">
        <v>715</v>
      </c>
      <c r="BD72">
        <v>1.0975955988685695</v>
      </c>
      <c r="BE72">
        <v>2.222222222222224E-2</v>
      </c>
      <c r="BF72">
        <v>1.0975955988685696E-6</v>
      </c>
      <c r="BG72">
        <v>6.0001857569356171E-7</v>
      </c>
      <c r="BH72" s="3">
        <v>0.60001857569356176</v>
      </c>
      <c r="BI72" s="3">
        <v>3.1414585114846174</v>
      </c>
      <c r="BJ72">
        <v>34.357199999999999</v>
      </c>
      <c r="BK72">
        <v>55</v>
      </c>
      <c r="BL72">
        <v>715</v>
      </c>
      <c r="BM72">
        <v>1.0975955988685695</v>
      </c>
      <c r="BN72" s="1">
        <f t="shared" si="5"/>
        <v>-0.53699999999999981</v>
      </c>
      <c r="BO72" s="1">
        <f t="shared" si="6"/>
        <v>-0.26400000000000001</v>
      </c>
      <c r="BP72">
        <f t="shared" si="7"/>
        <v>26.811620607588633</v>
      </c>
      <c r="BQ72" s="3">
        <f t="shared" si="8"/>
        <v>22.035143472716157</v>
      </c>
      <c r="BR72" s="3">
        <f t="shared" si="9"/>
        <v>17.225015629120591</v>
      </c>
    </row>
    <row r="73" spans="1:70" x14ac:dyDescent="0.35">
      <c r="A73" s="5">
        <v>44720</v>
      </c>
      <c r="B73" t="s">
        <v>32</v>
      </c>
      <c r="C73" t="s">
        <v>33</v>
      </c>
      <c r="D73" t="s">
        <v>195</v>
      </c>
      <c r="E73" t="s">
        <v>35</v>
      </c>
      <c r="F73">
        <v>7</v>
      </c>
      <c r="G73" t="s">
        <v>69</v>
      </c>
      <c r="H73" t="s">
        <v>213</v>
      </c>
      <c r="I73" t="s">
        <v>214</v>
      </c>
      <c r="J73" t="s">
        <v>214</v>
      </c>
      <c r="K73" t="s">
        <v>127</v>
      </c>
      <c r="L73" s="1">
        <v>0.53700000000000003</v>
      </c>
      <c r="M73">
        <v>5.18</v>
      </c>
      <c r="N73" s="2">
        <v>-0.51800000000000002</v>
      </c>
      <c r="O73" t="s">
        <v>197</v>
      </c>
      <c r="P73">
        <v>0.46700000000000003</v>
      </c>
      <c r="Q73" s="1">
        <v>7.0000000000000007E-2</v>
      </c>
      <c r="R73">
        <v>15.54</v>
      </c>
      <c r="S73" s="2">
        <v>-1.5539999999999998</v>
      </c>
      <c r="T73">
        <v>26.9267</v>
      </c>
      <c r="U73" s="16">
        <v>80</v>
      </c>
      <c r="V73" s="17">
        <v>710</v>
      </c>
      <c r="W73">
        <v>11.5062437162617</v>
      </c>
      <c r="X73">
        <v>0.21345029239766067</v>
      </c>
      <c r="Y73">
        <v>1.7779161119480808E-5</v>
      </c>
      <c r="Z73">
        <v>1.9574224565610092E-6</v>
      </c>
      <c r="AA73" s="3">
        <v>1.9574224565610092</v>
      </c>
      <c r="AB73" s="3">
        <v>9.8362937515628577</v>
      </c>
      <c r="AC73">
        <v>26.9267</v>
      </c>
      <c r="AD73" s="16">
        <v>30</v>
      </c>
      <c r="AE73" s="17">
        <v>350</v>
      </c>
      <c r="AF73">
        <v>17.779161119480808</v>
      </c>
      <c r="AH73" s="5">
        <v>44805</v>
      </c>
      <c r="AI73" s="6" t="s">
        <v>32</v>
      </c>
      <c r="AJ73" s="6" t="s">
        <v>40</v>
      </c>
      <c r="AK73" t="s">
        <v>195</v>
      </c>
      <c r="AL73" t="s">
        <v>35</v>
      </c>
      <c r="AM73">
        <v>16</v>
      </c>
      <c r="AN73" t="s">
        <v>69</v>
      </c>
      <c r="AO73" t="s">
        <v>213</v>
      </c>
      <c r="AP73" t="s">
        <v>214</v>
      </c>
      <c r="AQ73" t="s">
        <v>214</v>
      </c>
      <c r="AR73" t="s">
        <v>130</v>
      </c>
      <c r="AS73" s="1">
        <v>1.0449999999999999</v>
      </c>
      <c r="AT73">
        <v>21.51</v>
      </c>
      <c r="AU73" s="1">
        <v>-2.1510000000000002</v>
      </c>
      <c r="AV73" t="s">
        <v>198</v>
      </c>
      <c r="AW73">
        <v>0.63700000000000001</v>
      </c>
      <c r="AX73" s="1">
        <v>0.40799999999999992</v>
      </c>
      <c r="AY73">
        <v>28.67</v>
      </c>
      <c r="AZ73" s="4">
        <v>-2.867</v>
      </c>
      <c r="BA73">
        <v>34.357199999999999</v>
      </c>
      <c r="BB73" s="16">
        <v>80</v>
      </c>
      <c r="BC73" s="17">
        <v>710</v>
      </c>
      <c r="BD73">
        <v>68.766034524054746</v>
      </c>
      <c r="BE73">
        <v>0.64050235478806894</v>
      </c>
      <c r="BF73">
        <v>6.8766034524054743E-5</v>
      </c>
      <c r="BG73">
        <v>4.7343373536034397E-5</v>
      </c>
      <c r="BH73" s="3">
        <v>47.343373536034399</v>
      </c>
      <c r="BI73" s="3">
        <v>66.122030078260352</v>
      </c>
      <c r="BJ73">
        <v>34.357199999999999</v>
      </c>
      <c r="BK73">
        <v>80</v>
      </c>
      <c r="BL73">
        <v>710</v>
      </c>
      <c r="BM73">
        <v>68.766034524054746</v>
      </c>
      <c r="BN73" s="1">
        <f t="shared" si="5"/>
        <v>1.6330000000000002</v>
      </c>
      <c r="BO73" s="1">
        <f t="shared" si="6"/>
        <v>1.3130000000000002</v>
      </c>
      <c r="BP73">
        <f t="shared" si="7"/>
        <v>-50.986873404573942</v>
      </c>
      <c r="BQ73" s="3">
        <f t="shared" si="8"/>
        <v>-56.285736326697496</v>
      </c>
      <c r="BR73" s="3">
        <f t="shared" si="9"/>
        <v>-45.385951079473386</v>
      </c>
    </row>
    <row r="74" spans="1:70" x14ac:dyDescent="0.35">
      <c r="A74" s="5">
        <v>44720</v>
      </c>
      <c r="B74" t="s">
        <v>32</v>
      </c>
      <c r="C74" t="s">
        <v>33</v>
      </c>
      <c r="D74" t="s">
        <v>195</v>
      </c>
      <c r="E74" t="s">
        <v>35</v>
      </c>
      <c r="F74">
        <v>1</v>
      </c>
      <c r="G74" t="s">
        <v>69</v>
      </c>
      <c r="H74" t="s">
        <v>181</v>
      </c>
      <c r="I74" t="s">
        <v>215</v>
      </c>
      <c r="J74" t="s">
        <v>215</v>
      </c>
      <c r="K74" t="s">
        <v>127</v>
      </c>
      <c r="L74" s="1">
        <v>0.74399999999999999</v>
      </c>
      <c r="M74">
        <v>10.67</v>
      </c>
      <c r="N74" s="2">
        <v>-1.0669999999999999</v>
      </c>
      <c r="O74" t="s">
        <v>197</v>
      </c>
      <c r="P74">
        <v>0.60399999999999998</v>
      </c>
      <c r="Q74" s="1">
        <v>0.14000000000000001</v>
      </c>
      <c r="R74">
        <v>17.559999999999999</v>
      </c>
      <c r="S74" s="2">
        <v>-1.7559999999999998</v>
      </c>
      <c r="T74">
        <v>26.9267</v>
      </c>
      <c r="U74" s="16">
        <v>94</v>
      </c>
      <c r="V74" s="17">
        <v>800</v>
      </c>
      <c r="W74">
        <v>19.677689429343872</v>
      </c>
      <c r="X74">
        <v>0.39631336405529949</v>
      </c>
      <c r="Y74">
        <v>3.8083128882939194E-5</v>
      </c>
      <c r="Z74">
        <v>7.7757561306252002E-6</v>
      </c>
      <c r="AA74" s="3">
        <v>7.7757561306251999</v>
      </c>
      <c r="AB74" s="3">
        <v>30.61321311269765</v>
      </c>
      <c r="AC74">
        <v>26.9267</v>
      </c>
      <c r="AD74" s="16">
        <v>32.1</v>
      </c>
      <c r="AE74" s="17">
        <v>370</v>
      </c>
      <c r="AF74">
        <v>38.083128882939192</v>
      </c>
      <c r="AH74" s="5">
        <v>44805</v>
      </c>
      <c r="AI74" s="6" t="s">
        <v>32</v>
      </c>
      <c r="AJ74" s="6" t="s">
        <v>40</v>
      </c>
      <c r="AK74" t="s">
        <v>195</v>
      </c>
      <c r="AL74" t="s">
        <v>35</v>
      </c>
      <c r="AM74">
        <v>15</v>
      </c>
      <c r="AN74" t="s">
        <v>69</v>
      </c>
      <c r="AO74" t="s">
        <v>181</v>
      </c>
      <c r="AP74" t="s">
        <v>215</v>
      </c>
      <c r="AQ74" t="s">
        <v>215</v>
      </c>
      <c r="AR74" t="s">
        <v>130</v>
      </c>
      <c r="AS74" s="1">
        <v>0.81899999999999995</v>
      </c>
      <c r="AT74">
        <v>24.43</v>
      </c>
      <c r="AU74" s="1">
        <v>-2.4430000000000001</v>
      </c>
      <c r="AV74" t="s">
        <v>198</v>
      </c>
      <c r="AW74">
        <v>0.66900000000000004</v>
      </c>
      <c r="AX74" s="1">
        <v>0.14999999999999991</v>
      </c>
      <c r="AY74">
        <v>32.119999999999997</v>
      </c>
      <c r="AZ74" s="4">
        <v>-3.2119999999999997</v>
      </c>
      <c r="BA74">
        <v>34.357199999999999</v>
      </c>
      <c r="BB74" s="16">
        <v>94</v>
      </c>
      <c r="BC74" s="17">
        <v>800</v>
      </c>
      <c r="BD74">
        <v>18.889295049929114</v>
      </c>
      <c r="BE74">
        <v>0.22421524663677114</v>
      </c>
      <c r="BF74">
        <v>1.8889295049929115E-5</v>
      </c>
      <c r="BG74">
        <v>1.7167614385595479E-5</v>
      </c>
      <c r="BH74" s="3">
        <v>17.167614385595478</v>
      </c>
      <c r="BI74" s="3">
        <v>22.324596080098161</v>
      </c>
      <c r="BJ74">
        <v>34.357199999999999</v>
      </c>
      <c r="BK74">
        <v>94</v>
      </c>
      <c r="BL74">
        <v>800</v>
      </c>
      <c r="BM74">
        <v>18.889295049929114</v>
      </c>
      <c r="BN74" s="1">
        <f t="shared" si="5"/>
        <v>1.3760000000000001</v>
      </c>
      <c r="BO74" s="1">
        <f t="shared" si="6"/>
        <v>1.456</v>
      </c>
      <c r="BP74">
        <f t="shared" si="7"/>
        <v>19.193833833010078</v>
      </c>
      <c r="BQ74" s="3">
        <f t="shared" si="8"/>
        <v>8.2886170325994897</v>
      </c>
      <c r="BR74" s="3">
        <f t="shared" si="9"/>
        <v>-9.3918582549702769</v>
      </c>
    </row>
    <row r="75" spans="1:70" x14ac:dyDescent="0.35">
      <c r="A75" s="5">
        <v>44721</v>
      </c>
      <c r="B75" t="s">
        <v>32</v>
      </c>
      <c r="C75" t="s">
        <v>33</v>
      </c>
      <c r="D75" t="s">
        <v>195</v>
      </c>
      <c r="E75" t="s">
        <v>35</v>
      </c>
      <c r="F75">
        <v>6</v>
      </c>
      <c r="G75" t="s">
        <v>72</v>
      </c>
      <c r="H75" t="s">
        <v>65</v>
      </c>
      <c r="I75" t="s">
        <v>216</v>
      </c>
      <c r="J75" t="s">
        <v>216</v>
      </c>
      <c r="K75" t="s">
        <v>127</v>
      </c>
      <c r="L75" s="1">
        <v>0.67300000000000004</v>
      </c>
      <c r="M75">
        <v>6.52</v>
      </c>
      <c r="N75" s="2">
        <v>-0.65199999999999991</v>
      </c>
      <c r="O75" t="s">
        <v>204</v>
      </c>
      <c r="P75">
        <v>0.51400000000000001</v>
      </c>
      <c r="Q75" s="1">
        <v>0.15900000000000003</v>
      </c>
      <c r="R75">
        <v>9.08</v>
      </c>
      <c r="S75" s="2">
        <v>-0.90800000000000003</v>
      </c>
      <c r="T75">
        <v>24.548100000000002</v>
      </c>
      <c r="U75" s="16">
        <v>37.700000000000003</v>
      </c>
      <c r="V75" s="17">
        <v>480</v>
      </c>
      <c r="W75">
        <v>28.071862110349372</v>
      </c>
      <c r="X75">
        <v>0.42916666666666681</v>
      </c>
      <c r="Y75">
        <v>4.2005827681874422E-5</v>
      </c>
      <c r="Z75">
        <v>4.5641831805698334E-5</v>
      </c>
      <c r="AA75" s="3">
        <v>45.641831805698331</v>
      </c>
      <c r="AB75" s="3">
        <v>128.56854029774178</v>
      </c>
      <c r="AC75">
        <v>24.548100000000002</v>
      </c>
      <c r="AD75" s="16">
        <v>97</v>
      </c>
      <c r="AE75" s="17">
        <v>770</v>
      </c>
      <c r="AF75">
        <v>42.005827681874422</v>
      </c>
      <c r="AH75" s="5">
        <v>44805</v>
      </c>
      <c r="AI75" s="6" t="s">
        <v>32</v>
      </c>
      <c r="AJ75" s="6" t="s">
        <v>40</v>
      </c>
      <c r="AK75" t="s">
        <v>195</v>
      </c>
      <c r="AL75" t="s">
        <v>35</v>
      </c>
      <c r="AM75">
        <v>11</v>
      </c>
      <c r="AN75" t="s">
        <v>72</v>
      </c>
      <c r="AO75" t="s">
        <v>65</v>
      </c>
      <c r="AP75" t="s">
        <v>216</v>
      </c>
      <c r="AQ75" t="s">
        <v>216</v>
      </c>
      <c r="AR75" t="s">
        <v>130</v>
      </c>
      <c r="AS75" s="1">
        <v>0.67</v>
      </c>
      <c r="AT75">
        <v>34.36</v>
      </c>
      <c r="AU75" s="1">
        <v>-3.4359999999999999</v>
      </c>
      <c r="AV75" t="s">
        <v>198</v>
      </c>
      <c r="AW75">
        <v>0.55700000000000005</v>
      </c>
      <c r="AX75" s="1">
        <v>0.11299999999999999</v>
      </c>
      <c r="AY75">
        <v>44.34</v>
      </c>
      <c r="AZ75" s="4">
        <v>-4.4340000000000002</v>
      </c>
      <c r="BA75">
        <v>34.357199999999999</v>
      </c>
      <c r="BB75" s="16">
        <v>37.700000000000003</v>
      </c>
      <c r="BC75" s="17">
        <v>480</v>
      </c>
      <c r="BD75">
        <v>16.700857870526278</v>
      </c>
      <c r="BE75">
        <v>0.20287253141831235</v>
      </c>
      <c r="BF75">
        <v>1.6700857870526277E-5</v>
      </c>
      <c r="BG75">
        <v>3.7665003852750133E-6</v>
      </c>
      <c r="BH75" s="3">
        <v>3.7665003852750134</v>
      </c>
      <c r="BI75" s="3">
        <v>3.7740484822394915</v>
      </c>
      <c r="BJ75">
        <v>34.357199999999999</v>
      </c>
      <c r="BK75">
        <v>37.700000000000003</v>
      </c>
      <c r="BL75">
        <v>480</v>
      </c>
      <c r="BM75">
        <v>16.700857870526278</v>
      </c>
      <c r="BN75" s="1">
        <f t="shared" si="5"/>
        <v>2.7839999999999998</v>
      </c>
      <c r="BO75" s="1">
        <f t="shared" si="6"/>
        <v>3.5260000000000002</v>
      </c>
      <c r="BP75">
        <f t="shared" si="7"/>
        <v>25.304969811348144</v>
      </c>
      <c r="BQ75" s="3">
        <f t="shared" si="8"/>
        <v>124.79449181550228</v>
      </c>
      <c r="BR75" s="3">
        <f t="shared" si="9"/>
        <v>41.875331420423315</v>
      </c>
    </row>
    <row r="76" spans="1:70" x14ac:dyDescent="0.35">
      <c r="A76" s="5">
        <v>44720</v>
      </c>
      <c r="B76" t="s">
        <v>32</v>
      </c>
      <c r="C76" t="s">
        <v>33</v>
      </c>
      <c r="D76" t="s">
        <v>195</v>
      </c>
      <c r="E76" t="s">
        <v>35</v>
      </c>
      <c r="F76">
        <v>6</v>
      </c>
      <c r="G76" t="s">
        <v>72</v>
      </c>
      <c r="H76" t="s">
        <v>217</v>
      </c>
      <c r="I76" t="s">
        <v>218</v>
      </c>
      <c r="J76" t="s">
        <v>218</v>
      </c>
      <c r="K76" t="s">
        <v>127</v>
      </c>
      <c r="L76" s="1">
        <v>0.69299999999999995</v>
      </c>
      <c r="M76">
        <v>10.210000000000001</v>
      </c>
      <c r="N76" s="2">
        <v>-1.0210000000000001</v>
      </c>
      <c r="O76" t="s">
        <v>197</v>
      </c>
      <c r="P76">
        <v>0.54</v>
      </c>
      <c r="Q76" s="1">
        <v>0.15299999999999991</v>
      </c>
      <c r="R76">
        <v>11.35</v>
      </c>
      <c r="S76" s="2">
        <v>-1.135</v>
      </c>
      <c r="T76">
        <v>26.9267</v>
      </c>
      <c r="U76" s="16">
        <v>45.4</v>
      </c>
      <c r="V76" s="17">
        <v>650</v>
      </c>
      <c r="W76">
        <v>25.195639996823726</v>
      </c>
      <c r="X76">
        <v>0.17477876106194692</v>
      </c>
      <c r="Y76">
        <v>1.390114257119425E-5</v>
      </c>
      <c r="Z76">
        <v>3.0249409786700774E-6</v>
      </c>
      <c r="AA76" s="3">
        <v>3.0249409786700774</v>
      </c>
      <c r="AB76" s="3">
        <v>4.6537553518001182</v>
      </c>
      <c r="AC76">
        <v>24.548100000000002</v>
      </c>
      <c r="AD76" s="16">
        <v>33.200000000000003</v>
      </c>
      <c r="AE76" s="17">
        <v>460</v>
      </c>
      <c r="AF76">
        <v>13.901142571194249</v>
      </c>
      <c r="AH76" s="5">
        <v>44805</v>
      </c>
      <c r="AI76" s="6" t="s">
        <v>32</v>
      </c>
      <c r="AJ76" s="6" t="s">
        <v>40</v>
      </c>
      <c r="AK76" t="s">
        <v>195</v>
      </c>
      <c r="AL76" t="s">
        <v>35</v>
      </c>
      <c r="AM76">
        <v>12</v>
      </c>
      <c r="AN76" t="s">
        <v>72</v>
      </c>
      <c r="AO76" t="s">
        <v>217</v>
      </c>
      <c r="AP76" t="s">
        <v>218</v>
      </c>
      <c r="AQ76" t="s">
        <v>218</v>
      </c>
      <c r="AR76" t="s">
        <v>200</v>
      </c>
      <c r="AS76">
        <v>0.76800000000000002</v>
      </c>
      <c r="AT76">
        <v>31.59</v>
      </c>
      <c r="AU76" s="1">
        <v>-3.1589999999999998</v>
      </c>
      <c r="AV76" t="s">
        <v>201</v>
      </c>
      <c r="AW76">
        <v>0.70299999999999996</v>
      </c>
      <c r="AX76" s="1">
        <v>6.5000000000000058E-2</v>
      </c>
      <c r="AY76">
        <v>41.05</v>
      </c>
      <c r="AZ76" s="4">
        <v>-4.1049999999999995</v>
      </c>
      <c r="BA76">
        <v>34.357199999999999</v>
      </c>
      <c r="BB76" s="16">
        <v>45.4</v>
      </c>
      <c r="BC76" s="17">
        <v>650</v>
      </c>
      <c r="BD76">
        <v>6.3480640254254359</v>
      </c>
      <c r="BE76">
        <v>9.2460881934566239E-2</v>
      </c>
      <c r="BF76">
        <v>6.3480640254254355E-6</v>
      </c>
      <c r="BG76">
        <v>1.2910602789804291E-6</v>
      </c>
      <c r="BH76" s="3">
        <v>1.2910602789804291</v>
      </c>
      <c r="BI76" s="3">
        <v>1.3647571659412574</v>
      </c>
      <c r="BJ76">
        <v>34.357199999999999</v>
      </c>
      <c r="BK76">
        <v>45.4</v>
      </c>
      <c r="BL76">
        <v>650</v>
      </c>
      <c r="BM76">
        <v>6.3480640254254359</v>
      </c>
      <c r="BN76" s="1">
        <f t="shared" si="5"/>
        <v>2.1379999999999999</v>
      </c>
      <c r="BO76" s="1">
        <f t="shared" si="6"/>
        <v>2.9699999999999998</v>
      </c>
      <c r="BP76">
        <f t="shared" si="7"/>
        <v>7.5530785457688134</v>
      </c>
      <c r="BQ76" s="3">
        <f t="shared" si="8"/>
        <v>3.2889981858588611</v>
      </c>
      <c r="BR76" s="3">
        <f t="shared" si="9"/>
        <v>1.7338806996896483</v>
      </c>
    </row>
    <row r="77" spans="1:70" x14ac:dyDescent="0.35">
      <c r="A77" s="5">
        <v>44721</v>
      </c>
      <c r="B77" t="s">
        <v>32</v>
      </c>
      <c r="C77" t="s">
        <v>33</v>
      </c>
      <c r="D77" t="s">
        <v>195</v>
      </c>
      <c r="E77" t="s">
        <v>35</v>
      </c>
      <c r="F77">
        <v>2</v>
      </c>
      <c r="G77" t="s">
        <v>75</v>
      </c>
      <c r="H77" t="s">
        <v>219</v>
      </c>
      <c r="I77" t="s">
        <v>220</v>
      </c>
      <c r="J77" t="s">
        <v>220</v>
      </c>
      <c r="K77" t="s">
        <v>127</v>
      </c>
      <c r="L77" s="1" t="s">
        <v>109</v>
      </c>
      <c r="M77">
        <v>6.54</v>
      </c>
      <c r="N77" s="2">
        <v>-0.65400000000000003</v>
      </c>
      <c r="O77" t="s">
        <v>204</v>
      </c>
      <c r="P77" t="s">
        <v>119</v>
      </c>
      <c r="Q77" s="1" t="s">
        <v>109</v>
      </c>
      <c r="R77">
        <v>10.49</v>
      </c>
      <c r="S77" s="2">
        <v>-1.0489999999999999</v>
      </c>
      <c r="T77">
        <v>24.548100000000002</v>
      </c>
      <c r="U77" s="16">
        <v>52</v>
      </c>
      <c r="V77" s="17">
        <v>575</v>
      </c>
      <c r="W77" t="e">
        <v>#VALUE!</v>
      </c>
      <c r="X77">
        <v>0.22824536376604856</v>
      </c>
      <c r="Y77">
        <v>1.9308110691663001E-5</v>
      </c>
      <c r="Z77">
        <v>4.7616850923076079E-6</v>
      </c>
      <c r="AA77" s="3">
        <v>4.7616850923076077</v>
      </c>
      <c r="AB77" s="3">
        <v>23.341593589743205</v>
      </c>
      <c r="AC77">
        <v>26.9267</v>
      </c>
      <c r="AD77" s="16">
        <v>42.8</v>
      </c>
      <c r="AE77" s="17">
        <v>570</v>
      </c>
      <c r="AF77">
        <v>19.308110691663</v>
      </c>
      <c r="AH77" s="5">
        <v>44805</v>
      </c>
      <c r="AI77" s="6" t="s">
        <v>32</v>
      </c>
      <c r="AJ77" s="6" t="s">
        <v>40</v>
      </c>
      <c r="AK77" t="s">
        <v>195</v>
      </c>
      <c r="AL77" t="s">
        <v>35</v>
      </c>
      <c r="AM77">
        <v>9</v>
      </c>
      <c r="AN77" t="s">
        <v>75</v>
      </c>
      <c r="AO77" t="s">
        <v>219</v>
      </c>
      <c r="AP77" t="s">
        <v>220</v>
      </c>
      <c r="AQ77" t="s">
        <v>220</v>
      </c>
      <c r="AR77" t="s">
        <v>200</v>
      </c>
      <c r="AS77">
        <v>1.0429999999999999</v>
      </c>
      <c r="AT77">
        <v>24.21</v>
      </c>
      <c r="AU77" s="1">
        <v>-2.4210000000000003</v>
      </c>
      <c r="AV77" t="s">
        <v>201</v>
      </c>
      <c r="AW77">
        <v>0.96499999999999997</v>
      </c>
      <c r="AX77" s="1">
        <v>7.7999999999999958E-2</v>
      </c>
      <c r="AY77">
        <v>29.05</v>
      </c>
      <c r="AZ77" s="4">
        <v>-2.9050000000000002</v>
      </c>
      <c r="BA77">
        <v>34.357199999999999</v>
      </c>
      <c r="BB77" s="16">
        <v>52</v>
      </c>
      <c r="BC77" s="17">
        <v>575</v>
      </c>
      <c r="BD77">
        <v>5.3797524818170093</v>
      </c>
      <c r="BE77">
        <v>8.0829015544041413E-2</v>
      </c>
      <c r="BF77">
        <v>5.3797524818170095E-6</v>
      </c>
      <c r="BG77">
        <v>1.53301376286678E-6</v>
      </c>
      <c r="BH77" s="3">
        <v>1.5330137628667799</v>
      </c>
      <c r="BI77" s="3">
        <v>3.1673838075759915</v>
      </c>
      <c r="BJ77">
        <v>34.357199999999999</v>
      </c>
      <c r="BK77">
        <v>52</v>
      </c>
      <c r="BL77">
        <v>575</v>
      </c>
      <c r="BM77">
        <v>5.3797524818170093</v>
      </c>
      <c r="BN77" s="1">
        <f t="shared" si="5"/>
        <v>1.7670000000000003</v>
      </c>
      <c r="BO77" s="1">
        <f t="shared" si="6"/>
        <v>1.8560000000000003</v>
      </c>
      <c r="BP77">
        <f t="shared" si="7"/>
        <v>13.928358209845991</v>
      </c>
      <c r="BQ77" s="3">
        <f t="shared" si="8"/>
        <v>20.174209782167214</v>
      </c>
      <c r="BR77" s="3">
        <f t="shared" si="9"/>
        <v>3.2286713294408278</v>
      </c>
    </row>
    <row r="78" spans="1:70" x14ac:dyDescent="0.35">
      <c r="A78" s="5">
        <v>44721</v>
      </c>
      <c r="B78" t="s">
        <v>32</v>
      </c>
      <c r="C78" t="s">
        <v>33</v>
      </c>
      <c r="D78" t="s">
        <v>195</v>
      </c>
      <c r="E78" t="s">
        <v>35</v>
      </c>
      <c r="F78">
        <v>4</v>
      </c>
      <c r="G78" t="s">
        <v>78</v>
      </c>
      <c r="H78" t="s">
        <v>73</v>
      </c>
      <c r="I78" t="s">
        <v>221</v>
      </c>
      <c r="J78" t="s">
        <v>221</v>
      </c>
      <c r="K78" t="s">
        <v>127</v>
      </c>
      <c r="L78" s="1">
        <v>0.752</v>
      </c>
      <c r="M78">
        <v>6.14</v>
      </c>
      <c r="N78" s="2">
        <v>-0.61399999999999999</v>
      </c>
      <c r="O78" t="s">
        <v>204</v>
      </c>
      <c r="P78">
        <v>0.67900000000000005</v>
      </c>
      <c r="Q78" s="1">
        <v>7.2999999999999954E-2</v>
      </c>
      <c r="R78">
        <v>13.27</v>
      </c>
      <c r="S78" s="2">
        <v>-1.327</v>
      </c>
      <c r="T78">
        <v>24.548100000000002</v>
      </c>
      <c r="U78" s="16">
        <v>83</v>
      </c>
      <c r="V78" s="17">
        <v>620</v>
      </c>
      <c r="W78">
        <v>7.6430325659728942</v>
      </c>
      <c r="X78">
        <v>0.24828767123287676</v>
      </c>
      <c r="Y78">
        <v>2.141592105973419E-5</v>
      </c>
      <c r="Z78">
        <v>1.3992588070648883E-6</v>
      </c>
      <c r="AA78" s="3">
        <v>1.3992588070648884</v>
      </c>
      <c r="AB78" s="3">
        <v>1.2594588722456241</v>
      </c>
      <c r="AC78">
        <v>24.548100000000002</v>
      </c>
      <c r="AD78" s="16">
        <v>13.9</v>
      </c>
      <c r="AE78" s="17">
        <v>342</v>
      </c>
      <c r="AF78">
        <v>21.415921059734188</v>
      </c>
      <c r="AH78" s="5">
        <v>44805</v>
      </c>
      <c r="AI78" s="6" t="s">
        <v>32</v>
      </c>
      <c r="AJ78" s="6" t="s">
        <v>40</v>
      </c>
      <c r="AK78" t="s">
        <v>195</v>
      </c>
      <c r="AL78" t="s">
        <v>35</v>
      </c>
      <c r="AM78">
        <v>13</v>
      </c>
      <c r="AN78" t="s">
        <v>78</v>
      </c>
      <c r="AO78" t="s">
        <v>73</v>
      </c>
      <c r="AP78" t="s">
        <v>221</v>
      </c>
      <c r="AQ78" t="s">
        <v>221</v>
      </c>
      <c r="AR78" t="s">
        <v>200</v>
      </c>
      <c r="AS78">
        <v>0.86599999999999999</v>
      </c>
      <c r="AT78">
        <v>8.8699999999999992</v>
      </c>
      <c r="AU78" s="1">
        <v>-0.8869999999999999</v>
      </c>
      <c r="AV78" t="s">
        <v>201</v>
      </c>
      <c r="AW78">
        <v>0.89100000000000001</v>
      </c>
      <c r="AX78" s="1">
        <v>-2.5000000000000022E-2</v>
      </c>
      <c r="AY78">
        <v>13.34</v>
      </c>
      <c r="AZ78" s="4">
        <v>-1.3340000000000001</v>
      </c>
      <c r="BA78">
        <v>34.357199999999999</v>
      </c>
      <c r="BB78" s="16">
        <v>83</v>
      </c>
      <c r="BC78" s="17">
        <v>620</v>
      </c>
      <c r="BD78">
        <v>1.5146998659991693</v>
      </c>
      <c r="BE78">
        <v>2.8868360277136285E-2</v>
      </c>
      <c r="BF78">
        <v>1.5146998659991693E-6</v>
      </c>
      <c r="BG78">
        <v>1.1130077570075077E-6</v>
      </c>
      <c r="BH78" s="3">
        <v>1.1130077570075076</v>
      </c>
      <c r="BI78" s="3">
        <v>2.4899502393903963</v>
      </c>
      <c r="BJ78">
        <v>34.357199999999999</v>
      </c>
      <c r="BK78">
        <v>83</v>
      </c>
      <c r="BL78">
        <v>620</v>
      </c>
      <c r="BM78">
        <v>1.5146998659991693</v>
      </c>
      <c r="BN78" s="1">
        <f t="shared" si="5"/>
        <v>0.27299999999999991</v>
      </c>
      <c r="BO78" s="1">
        <f t="shared" si="6"/>
        <v>7.0000000000001172E-3</v>
      </c>
      <c r="BP78">
        <f t="shared" si="7"/>
        <v>19.901221193735019</v>
      </c>
      <c r="BQ78" s="3">
        <f t="shared" si="8"/>
        <v>-1.2304913671447721</v>
      </c>
      <c r="BR78" s="3">
        <f t="shared" si="9"/>
        <v>0.28625105005738072</v>
      </c>
    </row>
    <row r="79" spans="1:70" x14ac:dyDescent="0.35">
      <c r="A79" s="5">
        <v>44721</v>
      </c>
      <c r="B79" t="s">
        <v>32</v>
      </c>
      <c r="C79" t="s">
        <v>33</v>
      </c>
      <c r="D79" t="s">
        <v>195</v>
      </c>
      <c r="E79" t="s">
        <v>35</v>
      </c>
      <c r="F79">
        <v>5</v>
      </c>
      <c r="G79" t="s">
        <v>81</v>
      </c>
      <c r="H79" t="s">
        <v>222</v>
      </c>
      <c r="I79" t="s">
        <v>223</v>
      </c>
      <c r="J79" t="s">
        <v>223</v>
      </c>
      <c r="K79" t="s">
        <v>127</v>
      </c>
      <c r="L79" s="1">
        <v>0.71799999999999997</v>
      </c>
      <c r="M79">
        <v>4.54</v>
      </c>
      <c r="N79" s="2">
        <v>-0.45400000000000001</v>
      </c>
      <c r="O79" t="s">
        <v>204</v>
      </c>
      <c r="P79">
        <v>0.51200000000000001</v>
      </c>
      <c r="Q79" s="1">
        <v>0.20599999999999996</v>
      </c>
      <c r="R79">
        <v>10.53</v>
      </c>
      <c r="S79" s="2">
        <v>-1.0529999999999999</v>
      </c>
      <c r="T79">
        <v>24.548100000000002</v>
      </c>
      <c r="U79" s="16">
        <v>23.8</v>
      </c>
      <c r="V79" s="17">
        <v>350</v>
      </c>
      <c r="W79">
        <v>38.797718504419514</v>
      </c>
      <c r="X79">
        <v>0.4109848484848484</v>
      </c>
      <c r="Y79">
        <v>3.9825985851455327E-5</v>
      </c>
      <c r="Z79">
        <v>4.1422752997789235E-6</v>
      </c>
      <c r="AA79" s="3">
        <v>4.1422752997789232</v>
      </c>
      <c r="AB79" s="3">
        <v>3.7317795493503816</v>
      </c>
      <c r="AC79">
        <v>24.548100000000002</v>
      </c>
      <c r="AD79" s="16">
        <v>20.3</v>
      </c>
      <c r="AE79" s="17">
        <v>310</v>
      </c>
      <c r="AF79">
        <v>39.825985851455329</v>
      </c>
      <c r="AH79" s="5">
        <v>44805</v>
      </c>
      <c r="AI79" s="6" t="s">
        <v>32</v>
      </c>
      <c r="AJ79" s="6" t="s">
        <v>40</v>
      </c>
      <c r="AK79" t="s">
        <v>195</v>
      </c>
      <c r="AL79" t="s">
        <v>35</v>
      </c>
      <c r="AM79">
        <v>10</v>
      </c>
      <c r="AN79" t="s">
        <v>81</v>
      </c>
      <c r="AO79" t="s">
        <v>222</v>
      </c>
      <c r="AP79" t="s">
        <v>223</v>
      </c>
      <c r="AQ79" t="s">
        <v>223</v>
      </c>
      <c r="AR79" t="s">
        <v>200</v>
      </c>
      <c r="AS79">
        <v>0.76700000000000002</v>
      </c>
      <c r="AT79">
        <v>20.34</v>
      </c>
      <c r="AU79" s="1">
        <v>-2.0339999999999998</v>
      </c>
      <c r="AV79" t="s">
        <v>201</v>
      </c>
      <c r="AW79">
        <v>0.62</v>
      </c>
      <c r="AX79" s="1">
        <v>0.14700000000000002</v>
      </c>
      <c r="AY79">
        <v>18.75</v>
      </c>
      <c r="AZ79" s="4">
        <v>-1.875</v>
      </c>
      <c r="BA79">
        <v>34.357199999999999</v>
      </c>
      <c r="BB79" s="16">
        <v>23.8</v>
      </c>
      <c r="BC79" s="17">
        <v>350</v>
      </c>
      <c r="BD79">
        <v>20.233938735309877</v>
      </c>
      <c r="BE79">
        <v>0.23709677419354841</v>
      </c>
      <c r="BF79">
        <v>2.0233938735309878E-5</v>
      </c>
      <c r="BG79">
        <v>1.7825417130375688E-6</v>
      </c>
      <c r="BH79" s="3">
        <v>1.7825417130375687</v>
      </c>
      <c r="BI79" s="3">
        <v>11.210954170047616</v>
      </c>
      <c r="BJ79">
        <v>34.357199999999999</v>
      </c>
      <c r="BK79">
        <v>23.8</v>
      </c>
      <c r="BL79">
        <v>350</v>
      </c>
      <c r="BM79">
        <v>20.233938735309877</v>
      </c>
      <c r="BN79" s="1">
        <f t="shared" si="5"/>
        <v>1.5799999999999998</v>
      </c>
      <c r="BO79" s="1">
        <f t="shared" si="6"/>
        <v>0.82200000000000006</v>
      </c>
      <c r="BP79">
        <f t="shared" si="7"/>
        <v>19.592047116145451</v>
      </c>
      <c r="BQ79" s="3">
        <f t="shared" si="8"/>
        <v>-7.4791746206972345</v>
      </c>
      <c r="BR79" s="3">
        <f t="shared" si="9"/>
        <v>2.3597335867413545</v>
      </c>
    </row>
    <row r="80" spans="1:70" x14ac:dyDescent="0.35">
      <c r="A80" s="5">
        <v>44722</v>
      </c>
      <c r="B80" t="s">
        <v>32</v>
      </c>
      <c r="C80" t="s">
        <v>33</v>
      </c>
      <c r="D80" t="s">
        <v>224</v>
      </c>
      <c r="E80" t="s">
        <v>124</v>
      </c>
      <c r="F80">
        <v>11</v>
      </c>
      <c r="G80" t="s">
        <v>36</v>
      </c>
      <c r="H80" t="s">
        <v>225</v>
      </c>
      <c r="I80" t="s">
        <v>226</v>
      </c>
      <c r="J80" t="s">
        <v>226</v>
      </c>
      <c r="K80" t="s">
        <v>227</v>
      </c>
      <c r="L80" s="1">
        <v>0.78800000000000003</v>
      </c>
      <c r="M80">
        <v>0.98</v>
      </c>
      <c r="N80" s="2">
        <v>-9.8000000000000004E-2</v>
      </c>
      <c r="O80" t="s">
        <v>228</v>
      </c>
      <c r="P80">
        <v>0.63800000000000001</v>
      </c>
      <c r="Q80" s="1">
        <v>0.15000000000000002</v>
      </c>
      <c r="R80" s="6">
        <v>16.670000000000002</v>
      </c>
      <c r="S80" s="2">
        <v>-1.6670000000000003</v>
      </c>
      <c r="T80">
        <v>27.385200000000001</v>
      </c>
      <c r="U80" s="16">
        <v>90</v>
      </c>
      <c r="V80" s="17">
        <v>650</v>
      </c>
      <c r="W80">
        <v>20.025392902207457</v>
      </c>
      <c r="X80">
        <v>0.11346444780635394</v>
      </c>
      <c r="Y80">
        <v>8.1673163927777997E-6</v>
      </c>
      <c r="Z80">
        <v>4.4647970111075701E-6</v>
      </c>
      <c r="AA80" s="3">
        <v>4.4647970111075699</v>
      </c>
      <c r="AB80" s="3">
        <v>54.448744037897292</v>
      </c>
      <c r="AC80">
        <v>26.9267</v>
      </c>
      <c r="AD80" s="16">
        <v>55</v>
      </c>
      <c r="AE80" s="17">
        <v>715</v>
      </c>
      <c r="AF80">
        <v>8.1673163927777992</v>
      </c>
      <c r="AH80" s="5">
        <v>44805</v>
      </c>
      <c r="AI80" s="6" t="s">
        <v>32</v>
      </c>
      <c r="AJ80" s="6" t="s">
        <v>40</v>
      </c>
      <c r="AK80" t="s">
        <v>224</v>
      </c>
      <c r="AL80" t="s">
        <v>124</v>
      </c>
      <c r="AM80">
        <v>2</v>
      </c>
      <c r="AN80" t="s">
        <v>36</v>
      </c>
      <c r="AO80" t="s">
        <v>225</v>
      </c>
      <c r="AP80" t="s">
        <v>226</v>
      </c>
      <c r="AQ80" t="s">
        <v>226</v>
      </c>
      <c r="AR80" t="s">
        <v>229</v>
      </c>
      <c r="AS80" s="1">
        <v>0.82699999999999996</v>
      </c>
      <c r="AT80">
        <v>10.45</v>
      </c>
      <c r="AU80" s="1">
        <v>-1.0449999999999999</v>
      </c>
      <c r="AV80" t="s">
        <v>230</v>
      </c>
      <c r="AW80">
        <v>0.72199999999999998</v>
      </c>
      <c r="AX80" s="1">
        <v>0.10499999999999998</v>
      </c>
      <c r="AY80">
        <v>18.32</v>
      </c>
      <c r="AZ80" s="4">
        <v>-1.8320000000000001</v>
      </c>
      <c r="BA80">
        <v>34.357199999999999</v>
      </c>
      <c r="BB80" s="16">
        <v>90</v>
      </c>
      <c r="BC80" s="17">
        <v>650</v>
      </c>
      <c r="BD80">
        <v>11.085918930382308</v>
      </c>
      <c r="BE80">
        <v>0.1454293628808864</v>
      </c>
      <c r="BF80">
        <v>1.1085918930382308E-5</v>
      </c>
      <c r="BG80">
        <v>6.2211200052350746E-6</v>
      </c>
      <c r="BH80" s="3">
        <v>6.2211200052350746</v>
      </c>
      <c r="BI80" s="3">
        <v>7.9048538821284291</v>
      </c>
      <c r="BJ80">
        <v>34.357199999999999</v>
      </c>
      <c r="BK80">
        <v>90</v>
      </c>
      <c r="BL80">
        <v>650</v>
      </c>
      <c r="BM80">
        <v>11.085918930382308</v>
      </c>
      <c r="BN80" s="1">
        <f t="shared" si="5"/>
        <v>0.94699999999999995</v>
      </c>
      <c r="BO80" s="1">
        <f t="shared" si="6"/>
        <v>0.16499999999999981</v>
      </c>
      <c r="BP80">
        <f t="shared" si="7"/>
        <v>-2.9186025376045084</v>
      </c>
      <c r="BQ80" s="3">
        <f t="shared" si="8"/>
        <v>46.543890155768864</v>
      </c>
      <c r="BR80" s="3">
        <f t="shared" si="9"/>
        <v>-1.7563229941275047</v>
      </c>
    </row>
    <row r="81" spans="1:70" x14ac:dyDescent="0.35">
      <c r="A81" s="5">
        <v>44722</v>
      </c>
      <c r="B81" t="s">
        <v>32</v>
      </c>
      <c r="C81" t="s">
        <v>33</v>
      </c>
      <c r="D81" t="s">
        <v>224</v>
      </c>
      <c r="E81" t="s">
        <v>124</v>
      </c>
      <c r="F81">
        <v>4</v>
      </c>
      <c r="G81" t="s">
        <v>43</v>
      </c>
      <c r="H81" t="s">
        <v>73</v>
      </c>
      <c r="I81" t="s">
        <v>231</v>
      </c>
      <c r="J81" t="s">
        <v>231</v>
      </c>
      <c r="K81" t="s">
        <v>232</v>
      </c>
      <c r="L81" s="1">
        <v>0.53500000000000003</v>
      </c>
      <c r="M81">
        <v>1.43</v>
      </c>
      <c r="N81" s="2">
        <v>-0.14299999999999999</v>
      </c>
      <c r="O81" t="s">
        <v>233</v>
      </c>
      <c r="P81">
        <v>0.36</v>
      </c>
      <c r="Q81" s="1">
        <v>0.17500000000000004</v>
      </c>
      <c r="R81">
        <v>12.1</v>
      </c>
      <c r="S81" s="2">
        <v>-1.21</v>
      </c>
      <c r="T81">
        <v>27.385200000000001</v>
      </c>
      <c r="U81" s="16">
        <v>107</v>
      </c>
      <c r="V81" s="17">
        <v>840</v>
      </c>
      <c r="W81">
        <v>48.968682655280219</v>
      </c>
      <c r="X81">
        <v>0.14989293361884368</v>
      </c>
      <c r="Y81">
        <v>1.15062437162617E-5</v>
      </c>
      <c r="Z81">
        <v>7.9217072501842692E-6</v>
      </c>
      <c r="AA81" s="3">
        <v>7.9217072501842694</v>
      </c>
      <c r="AB81" s="3">
        <v>7.646435569675937</v>
      </c>
      <c r="AC81">
        <v>26.9267</v>
      </c>
      <c r="AD81" s="16">
        <v>80</v>
      </c>
      <c r="AE81" s="17">
        <v>710</v>
      </c>
      <c r="AF81">
        <v>11.5062437162617</v>
      </c>
      <c r="AH81" s="5">
        <v>44804</v>
      </c>
      <c r="AI81" s="6" t="s">
        <v>32</v>
      </c>
      <c r="AJ81" s="6" t="s">
        <v>40</v>
      </c>
      <c r="AK81" t="s">
        <v>224</v>
      </c>
      <c r="AL81" t="s">
        <v>124</v>
      </c>
      <c r="AM81">
        <v>6</v>
      </c>
      <c r="AN81" t="s">
        <v>43</v>
      </c>
      <c r="AO81" t="s">
        <v>73</v>
      </c>
      <c r="AP81" t="s">
        <v>231</v>
      </c>
      <c r="AQ81" t="s">
        <v>231</v>
      </c>
      <c r="AR81" t="s">
        <v>234</v>
      </c>
      <c r="AS81" s="1">
        <v>0.746</v>
      </c>
      <c r="AT81">
        <v>9.44</v>
      </c>
      <c r="AU81" s="1">
        <v>-0.94399999999999995</v>
      </c>
      <c r="AV81" t="s">
        <v>128</v>
      </c>
      <c r="AW81">
        <v>0.627</v>
      </c>
      <c r="AX81" s="1">
        <v>0.11899999999999999</v>
      </c>
      <c r="AZ81" s="4" t="s">
        <v>64</v>
      </c>
      <c r="BA81">
        <v>32.519599999999997</v>
      </c>
      <c r="BB81" s="16">
        <v>107</v>
      </c>
      <c r="BC81" s="17">
        <v>840</v>
      </c>
      <c r="BD81">
        <v>15.385404828349337</v>
      </c>
      <c r="BE81">
        <v>0.18979266347687399</v>
      </c>
      <c r="BF81">
        <v>1.5385404828349336E-5</v>
      </c>
      <c r="BG81">
        <v>1.7160545759131787E-5</v>
      </c>
      <c r="BH81" s="3">
        <v>17.160545759131786</v>
      </c>
      <c r="BI81" s="3" t="s">
        <v>64</v>
      </c>
      <c r="BJ81">
        <v>32.519599999999997</v>
      </c>
      <c r="BK81">
        <v>107</v>
      </c>
      <c r="BL81">
        <v>840</v>
      </c>
      <c r="BM81">
        <v>15.385404828349337</v>
      </c>
      <c r="BN81" s="1">
        <f t="shared" si="5"/>
        <v>0.80099999999999993</v>
      </c>
      <c r="BO81" s="1" t="e">
        <f t="shared" si="6"/>
        <v>#VALUE!</v>
      </c>
      <c r="BP81">
        <f t="shared" si="7"/>
        <v>-3.8791611120876368</v>
      </c>
      <c r="BQ81" s="3" t="e">
        <f t="shared" si="8"/>
        <v>#VALUE!</v>
      </c>
      <c r="BR81" s="3">
        <f t="shared" si="9"/>
        <v>-9.2388385089475165</v>
      </c>
    </row>
    <row r="82" spans="1:70" x14ac:dyDescent="0.35">
      <c r="A82" s="5">
        <v>44722</v>
      </c>
      <c r="B82" t="s">
        <v>32</v>
      </c>
      <c r="C82" t="s">
        <v>33</v>
      </c>
      <c r="D82" t="s">
        <v>224</v>
      </c>
      <c r="E82" t="s">
        <v>124</v>
      </c>
      <c r="F82">
        <v>14</v>
      </c>
      <c r="G82" t="s">
        <v>50</v>
      </c>
      <c r="H82" t="s">
        <v>62</v>
      </c>
      <c r="I82" t="s">
        <v>235</v>
      </c>
      <c r="J82" t="s">
        <v>235</v>
      </c>
      <c r="K82" t="s">
        <v>227</v>
      </c>
      <c r="L82" s="1">
        <v>0.54800000000000004</v>
      </c>
      <c r="M82">
        <v>6.11</v>
      </c>
      <c r="N82" s="2">
        <v>-0.61099999999999999</v>
      </c>
      <c r="O82" t="s">
        <v>228</v>
      </c>
      <c r="P82">
        <v>0.40600000000000003</v>
      </c>
      <c r="Q82" s="1">
        <v>0.14200000000000002</v>
      </c>
      <c r="R82">
        <v>15.6</v>
      </c>
      <c r="S82" s="2">
        <v>-1.56</v>
      </c>
      <c r="T82">
        <v>27.385200000000001</v>
      </c>
      <c r="U82" s="16">
        <v>39.299999999999997</v>
      </c>
      <c r="V82" s="17">
        <v>410</v>
      </c>
      <c r="W82">
        <v>32.652644947362113</v>
      </c>
      <c r="X82">
        <v>0.23178807947019869</v>
      </c>
      <c r="Y82">
        <v>1.967768942934387E-5</v>
      </c>
      <c r="Z82">
        <v>1.7884149897047198E-5</v>
      </c>
      <c r="AA82" s="3">
        <v>17.884149897047198</v>
      </c>
      <c r="AB82" s="3">
        <v>25.956676193101892</v>
      </c>
      <c r="AC82">
        <v>26.9267</v>
      </c>
      <c r="AD82" s="16">
        <v>94</v>
      </c>
      <c r="AE82" s="17">
        <v>800</v>
      </c>
      <c r="AF82">
        <v>19.677689429343872</v>
      </c>
      <c r="AH82" s="5">
        <v>44804</v>
      </c>
      <c r="AI82" s="6" t="s">
        <v>32</v>
      </c>
      <c r="AJ82" s="6" t="s">
        <v>40</v>
      </c>
      <c r="AK82" t="s">
        <v>224</v>
      </c>
      <c r="AL82" t="s">
        <v>124</v>
      </c>
      <c r="AM82">
        <v>3</v>
      </c>
      <c r="AN82" t="s">
        <v>50</v>
      </c>
      <c r="AO82" t="s">
        <v>62</v>
      </c>
      <c r="AP82" t="s">
        <v>235</v>
      </c>
      <c r="AQ82" t="s">
        <v>235</v>
      </c>
      <c r="AR82" t="s">
        <v>234</v>
      </c>
      <c r="AS82" s="1">
        <v>0.80700000000000005</v>
      </c>
      <c r="AT82">
        <v>5.87</v>
      </c>
      <c r="AU82" s="1">
        <v>-0.58699999999999997</v>
      </c>
      <c r="AV82" t="s">
        <v>128</v>
      </c>
      <c r="AW82">
        <v>0.69899999999999995</v>
      </c>
      <c r="AX82" s="1">
        <v>0.1080000000000001</v>
      </c>
      <c r="AY82">
        <v>9.8699999999999992</v>
      </c>
      <c r="AZ82" s="4">
        <v>-0.98699999999999988</v>
      </c>
      <c r="BA82">
        <v>32.519599999999997</v>
      </c>
      <c r="BB82" s="16">
        <v>39.299999999999997</v>
      </c>
      <c r="BC82" s="17">
        <v>410</v>
      </c>
      <c r="BD82">
        <v>11.94373615726362</v>
      </c>
      <c r="BE82">
        <v>0.1545064377682405</v>
      </c>
      <c r="BF82">
        <v>1.1943736157263621E-5</v>
      </c>
      <c r="BG82">
        <v>1.9882414652230397E-6</v>
      </c>
      <c r="BH82" s="3">
        <v>1.9882414652230398</v>
      </c>
      <c r="BI82" s="3">
        <v>4.9706036630576005</v>
      </c>
      <c r="BJ82">
        <v>32.519599999999997</v>
      </c>
      <c r="BK82">
        <v>39.299999999999997</v>
      </c>
      <c r="BL82">
        <v>410</v>
      </c>
      <c r="BM82">
        <v>11.94373615726362</v>
      </c>
      <c r="BN82" s="1">
        <f t="shared" si="5"/>
        <v>-2.4000000000000021E-2</v>
      </c>
      <c r="BO82" s="1">
        <f t="shared" si="6"/>
        <v>-0.57300000000000018</v>
      </c>
      <c r="BP82">
        <f t="shared" si="7"/>
        <v>7.7339532720802513</v>
      </c>
      <c r="BQ82" s="3">
        <f t="shared" si="8"/>
        <v>20.986072530044289</v>
      </c>
      <c r="BR82" s="3">
        <f t="shared" si="9"/>
        <v>15.895908431824159</v>
      </c>
    </row>
    <row r="83" spans="1:70" x14ac:dyDescent="0.35">
      <c r="A83" s="5">
        <v>44722</v>
      </c>
      <c r="B83" t="s">
        <v>32</v>
      </c>
      <c r="C83" t="s">
        <v>33</v>
      </c>
      <c r="D83" t="s">
        <v>224</v>
      </c>
      <c r="E83" t="s">
        <v>124</v>
      </c>
      <c r="F83">
        <v>2</v>
      </c>
      <c r="G83" t="s">
        <v>50</v>
      </c>
      <c r="H83" t="s">
        <v>193</v>
      </c>
      <c r="I83" t="s">
        <v>236</v>
      </c>
      <c r="J83" t="s">
        <v>236</v>
      </c>
      <c r="K83" t="s">
        <v>232</v>
      </c>
      <c r="L83" s="1">
        <v>0.85699999999999998</v>
      </c>
      <c r="M83">
        <v>4.87</v>
      </c>
      <c r="N83" s="2">
        <v>-0.48699999999999999</v>
      </c>
      <c r="O83" t="s">
        <v>233</v>
      </c>
      <c r="P83">
        <v>0.65700000000000003</v>
      </c>
      <c r="Q83" s="1">
        <v>0.19999999999999996</v>
      </c>
      <c r="R83">
        <v>12.86</v>
      </c>
      <c r="S83" s="2">
        <v>-1.286</v>
      </c>
      <c r="T83">
        <v>27.385200000000001</v>
      </c>
      <c r="U83" s="16">
        <v>65</v>
      </c>
      <c r="V83" s="17">
        <v>575</v>
      </c>
      <c r="W83">
        <v>27.522755757189771</v>
      </c>
      <c r="X83">
        <v>0.30933852140077828</v>
      </c>
      <c r="Y83">
        <v>2.8071862110349373E-5</v>
      </c>
      <c r="Z83">
        <v>6.3309729520311227E-6</v>
      </c>
      <c r="AA83" s="3">
        <v>6.3309729520311224</v>
      </c>
      <c r="AB83" s="3">
        <v>24.73036309387156</v>
      </c>
      <c r="AC83">
        <v>24.548100000000002</v>
      </c>
      <c r="AD83" s="16">
        <v>37.700000000000003</v>
      </c>
      <c r="AE83" s="17">
        <v>480</v>
      </c>
      <c r="AF83">
        <v>28.071862110349372</v>
      </c>
      <c r="AH83" s="5">
        <v>44804</v>
      </c>
      <c r="AI83" s="6" t="s">
        <v>32</v>
      </c>
      <c r="AJ83" s="6" t="s">
        <v>40</v>
      </c>
      <c r="AK83" t="s">
        <v>224</v>
      </c>
      <c r="AL83" t="s">
        <v>124</v>
      </c>
      <c r="AM83">
        <v>8</v>
      </c>
      <c r="AN83" t="s">
        <v>50</v>
      </c>
      <c r="AO83" t="s">
        <v>193</v>
      </c>
      <c r="AP83" t="s">
        <v>236</v>
      </c>
      <c r="AQ83" t="s">
        <v>236</v>
      </c>
      <c r="AR83" t="s">
        <v>234</v>
      </c>
      <c r="AS83" s="1">
        <v>0.91400000000000003</v>
      </c>
      <c r="AT83">
        <v>5.34</v>
      </c>
      <c r="AU83" s="1">
        <v>-0.53400000000000003</v>
      </c>
      <c r="AV83" t="s">
        <v>128</v>
      </c>
      <c r="AW83">
        <v>0.86099999999999999</v>
      </c>
      <c r="AX83" s="1">
        <v>5.3000000000000047E-2</v>
      </c>
      <c r="AY83">
        <v>10.76</v>
      </c>
      <c r="AZ83" s="4">
        <v>-1.0760000000000001</v>
      </c>
      <c r="BA83">
        <v>32.519599999999997</v>
      </c>
      <c r="BB83" s="16">
        <v>65</v>
      </c>
      <c r="BC83" s="17">
        <v>575</v>
      </c>
      <c r="BD83">
        <v>3.8471726571324401</v>
      </c>
      <c r="BE83">
        <v>3.9534883720930267E-2</v>
      </c>
      <c r="BF83">
        <v>2.2306422037348834E-6</v>
      </c>
      <c r="BG83">
        <v>7.9310319601591811E-7</v>
      </c>
      <c r="BH83" s="3">
        <v>0.79310319601591805</v>
      </c>
      <c r="BI83" s="3">
        <v>1.3307100604293924</v>
      </c>
      <c r="BJ83">
        <v>34.357199999999999</v>
      </c>
      <c r="BK83">
        <v>65</v>
      </c>
      <c r="BL83">
        <v>575</v>
      </c>
      <c r="BM83">
        <v>2.2306422037348832</v>
      </c>
      <c r="BN83" s="1">
        <f t="shared" si="5"/>
        <v>4.7000000000000042E-2</v>
      </c>
      <c r="BO83" s="1">
        <f t="shared" si="6"/>
        <v>-0.20999999999999996</v>
      </c>
      <c r="BP83">
        <f t="shared" si="7"/>
        <v>25.841219906614487</v>
      </c>
      <c r="BQ83" s="3">
        <f t="shared" si="8"/>
        <v>23.399653033442167</v>
      </c>
      <c r="BR83" s="3">
        <f t="shared" si="9"/>
        <v>5.5378697560152048</v>
      </c>
    </row>
    <row r="84" spans="1:70" x14ac:dyDescent="0.35">
      <c r="A84" s="5">
        <v>44722</v>
      </c>
      <c r="B84" t="s">
        <v>32</v>
      </c>
      <c r="C84" t="s">
        <v>33</v>
      </c>
      <c r="D84" t="s">
        <v>224</v>
      </c>
      <c r="E84" t="s">
        <v>124</v>
      </c>
      <c r="F84">
        <v>8</v>
      </c>
      <c r="G84" t="s">
        <v>53</v>
      </c>
      <c r="H84" t="s">
        <v>114</v>
      </c>
      <c r="I84" t="s">
        <v>237</v>
      </c>
      <c r="J84" t="s">
        <v>237</v>
      </c>
      <c r="K84" t="s">
        <v>232</v>
      </c>
      <c r="L84" s="1">
        <v>0.81399999999999995</v>
      </c>
      <c r="M84">
        <v>2.2400000000000002</v>
      </c>
      <c r="N84" s="2">
        <v>-0.22400000000000003</v>
      </c>
      <c r="O84" t="s">
        <v>233</v>
      </c>
      <c r="P84">
        <v>0.64700000000000002</v>
      </c>
      <c r="Q84" s="1">
        <v>0.16699999999999993</v>
      </c>
      <c r="R84">
        <v>7.85</v>
      </c>
      <c r="S84" s="2">
        <v>-0.78499999999999992</v>
      </c>
      <c r="T84">
        <v>27.385200000000001</v>
      </c>
      <c r="U84" s="16">
        <v>12.9</v>
      </c>
      <c r="V84" s="17">
        <v>270</v>
      </c>
      <c r="W84">
        <v>22.464035039880976</v>
      </c>
      <c r="X84">
        <v>0.28333333333333316</v>
      </c>
      <c r="Y84">
        <v>2.5195639996823727E-5</v>
      </c>
      <c r="Z84">
        <v>5.1242536107234139E-6</v>
      </c>
      <c r="AA84" s="3">
        <v>5.1242536107234136</v>
      </c>
      <c r="AB84" s="3">
        <v>44.949593076521218</v>
      </c>
      <c r="AC84">
        <v>26.9267</v>
      </c>
      <c r="AD84" s="16">
        <v>45.4</v>
      </c>
      <c r="AE84" s="17">
        <v>650</v>
      </c>
      <c r="AF84">
        <v>25.195639996823726</v>
      </c>
      <c r="AH84" s="5">
        <v>44805</v>
      </c>
      <c r="AI84" s="6" t="s">
        <v>32</v>
      </c>
      <c r="AJ84" s="6" t="s">
        <v>40</v>
      </c>
      <c r="AK84" t="s">
        <v>224</v>
      </c>
      <c r="AL84" t="s">
        <v>124</v>
      </c>
      <c r="AM84">
        <v>8</v>
      </c>
      <c r="AN84" t="s">
        <v>50</v>
      </c>
      <c r="AO84" t="s">
        <v>193</v>
      </c>
      <c r="AP84" t="s">
        <v>236</v>
      </c>
      <c r="AQ84" t="s">
        <v>236</v>
      </c>
      <c r="AR84" t="s">
        <v>229</v>
      </c>
      <c r="AS84" s="1">
        <v>0.86</v>
      </c>
      <c r="AT84">
        <v>8.27</v>
      </c>
      <c r="AU84" s="1">
        <v>-0.82699999999999996</v>
      </c>
      <c r="AV84" t="s">
        <v>230</v>
      </c>
      <c r="AW84">
        <v>0.89400000000000002</v>
      </c>
      <c r="AX84" s="1">
        <v>-3.400000000000003E-2</v>
      </c>
      <c r="AY84">
        <v>14.23</v>
      </c>
      <c r="AZ84" s="4">
        <v>-1.423</v>
      </c>
      <c r="BA84">
        <v>34.357199999999999</v>
      </c>
      <c r="BB84" s="16">
        <v>65</v>
      </c>
      <c r="BC84" s="17">
        <v>575</v>
      </c>
      <c r="BD84">
        <v>2.2306422037348832</v>
      </c>
      <c r="BE84">
        <v>6.1556329849012832E-2</v>
      </c>
      <c r="BF84">
        <v>3.84717265713244E-6</v>
      </c>
      <c r="BG84">
        <v>1.3678594105715361E-6</v>
      </c>
      <c r="BH84" s="3">
        <v>1.367859410571536</v>
      </c>
      <c r="BI84" s="3">
        <v>2.5237258497629815</v>
      </c>
      <c r="BJ84">
        <v>32.519599999999997</v>
      </c>
      <c r="BK84">
        <v>65</v>
      </c>
      <c r="BL84">
        <v>575</v>
      </c>
      <c r="BM84">
        <v>3.8471726571324401</v>
      </c>
      <c r="BN84" s="1">
        <f t="shared" si="5"/>
        <v>0.60299999999999998</v>
      </c>
      <c r="BO84" s="1">
        <f t="shared" si="6"/>
        <v>0.63800000000000012</v>
      </c>
      <c r="BP84">
        <f t="shared" si="7"/>
        <v>21.348467339691286</v>
      </c>
      <c r="BQ84" s="3">
        <f t="shared" si="8"/>
        <v>42.425867226758236</v>
      </c>
      <c r="BR84" s="3">
        <f t="shared" si="9"/>
        <v>3.7563942001518775</v>
      </c>
    </row>
    <row r="85" spans="1:70" x14ac:dyDescent="0.35">
      <c r="A85" s="5">
        <v>44722</v>
      </c>
      <c r="B85" t="s">
        <v>32</v>
      </c>
      <c r="C85" t="s">
        <v>33</v>
      </c>
      <c r="D85" t="s">
        <v>224</v>
      </c>
      <c r="E85" t="s">
        <v>124</v>
      </c>
      <c r="F85">
        <v>10</v>
      </c>
      <c r="G85" t="s">
        <v>53</v>
      </c>
      <c r="H85" t="s">
        <v>238</v>
      </c>
      <c r="I85" t="s">
        <v>239</v>
      </c>
      <c r="J85" t="s">
        <v>239</v>
      </c>
      <c r="K85" t="s">
        <v>227</v>
      </c>
      <c r="L85" s="1">
        <v>0.71699999999999997</v>
      </c>
      <c r="M85">
        <v>2.79</v>
      </c>
      <c r="N85" s="2">
        <v>-0.27900000000000003</v>
      </c>
      <c r="O85" t="s">
        <v>228</v>
      </c>
      <c r="P85">
        <v>0.64700000000000002</v>
      </c>
      <c r="Q85" s="1">
        <v>6.9999999999999951E-2</v>
      </c>
      <c r="R85">
        <v>2.35</v>
      </c>
      <c r="S85" s="2">
        <v>-0.23500000000000001</v>
      </c>
      <c r="T85">
        <v>27.385200000000001</v>
      </c>
      <c r="U85" s="16">
        <v>17.7</v>
      </c>
      <c r="V85" s="17">
        <v>375</v>
      </c>
      <c r="W85">
        <v>7.7026378455970361</v>
      </c>
      <c r="X85" t="s">
        <v>109</v>
      </c>
      <c r="Y85" t="s">
        <v>64</v>
      </c>
      <c r="Z85" t="s">
        <v>64</v>
      </c>
      <c r="AA85" s="3" t="s">
        <v>64</v>
      </c>
      <c r="AB85" s="3" t="s">
        <v>64</v>
      </c>
      <c r="AC85">
        <v>24.548100000000002</v>
      </c>
      <c r="AD85" s="16">
        <v>52</v>
      </c>
      <c r="AE85" s="17">
        <v>575</v>
      </c>
      <c r="AF85" t="e">
        <v>#VALUE!</v>
      </c>
      <c r="AH85" s="5">
        <v>44804</v>
      </c>
      <c r="AI85" s="6" t="s">
        <v>32</v>
      </c>
      <c r="AJ85" s="6" t="s">
        <v>40</v>
      </c>
      <c r="AK85" t="s">
        <v>224</v>
      </c>
      <c r="AL85" t="s">
        <v>124</v>
      </c>
      <c r="AM85">
        <v>7</v>
      </c>
      <c r="AN85" t="s">
        <v>53</v>
      </c>
      <c r="AO85" t="s">
        <v>114</v>
      </c>
      <c r="AP85" t="s">
        <v>237</v>
      </c>
      <c r="AQ85" t="s">
        <v>237</v>
      </c>
      <c r="AR85" t="s">
        <v>234</v>
      </c>
      <c r="AS85" s="1">
        <v>0.84399999999999997</v>
      </c>
      <c r="AT85">
        <v>7.92</v>
      </c>
      <c r="AU85" s="1">
        <v>-0.79200000000000004</v>
      </c>
      <c r="AV85" t="s">
        <v>128</v>
      </c>
      <c r="AW85">
        <v>0.71099999999999997</v>
      </c>
      <c r="AX85" s="1">
        <v>0.13300000000000001</v>
      </c>
      <c r="AY85">
        <v>19.05</v>
      </c>
      <c r="AZ85" s="4">
        <v>-1.905</v>
      </c>
      <c r="BA85">
        <v>32.519599999999997</v>
      </c>
      <c r="BB85" s="16">
        <v>12.9</v>
      </c>
      <c r="BC85" s="17">
        <v>270</v>
      </c>
      <c r="BD85">
        <v>15.113214731211768</v>
      </c>
      <c r="BE85">
        <v>0.18706047819971872</v>
      </c>
      <c r="BF85">
        <v>1.5113214731211767E-5</v>
      </c>
      <c r="BG85">
        <v>1.8510608728232933E-6</v>
      </c>
      <c r="BH85" s="3">
        <v>1.8510608728232933</v>
      </c>
      <c r="BI85" s="3">
        <v>1.6631274688439293</v>
      </c>
      <c r="BJ85">
        <v>32.519599999999997</v>
      </c>
      <c r="BK85">
        <v>12.9</v>
      </c>
      <c r="BL85">
        <v>270</v>
      </c>
      <c r="BM85">
        <v>15.113214731211768</v>
      </c>
      <c r="BN85" s="1">
        <f t="shared" si="5"/>
        <v>0.51300000000000001</v>
      </c>
      <c r="BO85" s="1">
        <f t="shared" si="6"/>
        <v>1.67</v>
      </c>
      <c r="BP85" t="e">
        <f t="shared" si="7"/>
        <v>#VALUE!</v>
      </c>
      <c r="BQ85" s="3" t="e">
        <f t="shared" si="8"/>
        <v>#VALUE!</v>
      </c>
      <c r="BR85" s="3" t="e">
        <f t="shared" si="9"/>
        <v>#VALUE!</v>
      </c>
    </row>
    <row r="86" spans="1:70" x14ac:dyDescent="0.35">
      <c r="A86" s="5">
        <v>44722</v>
      </c>
      <c r="B86" t="s">
        <v>32</v>
      </c>
      <c r="C86" t="s">
        <v>33</v>
      </c>
      <c r="D86" t="s">
        <v>224</v>
      </c>
      <c r="E86" t="s">
        <v>124</v>
      </c>
      <c r="F86">
        <v>12</v>
      </c>
      <c r="G86" t="s">
        <v>58</v>
      </c>
      <c r="H86" t="s">
        <v>240</v>
      </c>
      <c r="I86" t="s">
        <v>241</v>
      </c>
      <c r="J86" t="s">
        <v>241</v>
      </c>
      <c r="K86" t="s">
        <v>227</v>
      </c>
      <c r="L86" s="1">
        <v>0.502</v>
      </c>
      <c r="M86">
        <v>8.65</v>
      </c>
      <c r="N86" s="2">
        <v>-0.86499999999999999</v>
      </c>
      <c r="O86" t="s">
        <v>228</v>
      </c>
      <c r="P86">
        <v>0.55200000000000005</v>
      </c>
      <c r="Q86" s="1">
        <v>-5.0000000000000044E-2</v>
      </c>
      <c r="R86">
        <v>5.53</v>
      </c>
      <c r="S86" s="2">
        <v>-0.55300000000000005</v>
      </c>
      <c r="T86">
        <v>27.385200000000001</v>
      </c>
      <c r="U86" s="16">
        <v>85</v>
      </c>
      <c r="V86" s="17">
        <v>767</v>
      </c>
      <c r="W86">
        <v>6.956851946260298</v>
      </c>
      <c r="X86">
        <v>0.10751104565537548</v>
      </c>
      <c r="Y86">
        <v>7.6430325659728942E-6</v>
      </c>
      <c r="Z86">
        <v>5.6161320958309854E-6</v>
      </c>
      <c r="AA86" s="3">
        <v>5.6161320958309853</v>
      </c>
      <c r="AB86" s="3">
        <v>7.876763107757343</v>
      </c>
      <c r="AC86">
        <v>24.548100000000002</v>
      </c>
      <c r="AD86" s="16">
        <v>83</v>
      </c>
      <c r="AE86" s="17">
        <v>620</v>
      </c>
      <c r="AF86">
        <v>7.6430325659728942</v>
      </c>
      <c r="AH86" s="5">
        <v>44805</v>
      </c>
      <c r="AI86" s="6" t="s">
        <v>32</v>
      </c>
      <c r="AJ86" s="6" t="s">
        <v>40</v>
      </c>
      <c r="AK86" t="s">
        <v>224</v>
      </c>
      <c r="AL86" t="s">
        <v>124</v>
      </c>
      <c r="AM86">
        <v>6</v>
      </c>
      <c r="AN86" t="s">
        <v>58</v>
      </c>
      <c r="AO86" t="s">
        <v>240</v>
      </c>
      <c r="AP86" t="s">
        <v>241</v>
      </c>
      <c r="AQ86" t="s">
        <v>241</v>
      </c>
      <c r="AR86" t="s">
        <v>229</v>
      </c>
      <c r="AS86" s="1">
        <v>0.61599999999999999</v>
      </c>
      <c r="AT86">
        <v>8.1199999999999992</v>
      </c>
      <c r="AU86" s="1">
        <v>-0.81199999999999994</v>
      </c>
      <c r="AV86" t="s">
        <v>230</v>
      </c>
      <c r="AW86">
        <v>0.72399999999999998</v>
      </c>
      <c r="AX86" s="1">
        <v>-0.10799999999999998</v>
      </c>
      <c r="AY86">
        <v>9.82</v>
      </c>
      <c r="AZ86" s="4">
        <v>-0.98199999999999998</v>
      </c>
      <c r="BA86">
        <v>34.357199999999999</v>
      </c>
      <c r="BB86" s="16">
        <v>85</v>
      </c>
      <c r="BC86" s="17">
        <v>767</v>
      </c>
      <c r="BD86">
        <v>13.954611422900447</v>
      </c>
      <c r="BE86">
        <v>0.1753246753246753</v>
      </c>
      <c r="BF86">
        <v>1.3954611422900447E-5</v>
      </c>
      <c r="BG86">
        <v>7.7847120626621334E-6</v>
      </c>
      <c r="BH86" s="3">
        <v>7.7847120626621331</v>
      </c>
      <c r="BI86" s="3">
        <v>45.792423898012537</v>
      </c>
      <c r="BJ86">
        <v>34.357199999999999</v>
      </c>
      <c r="BK86">
        <v>85</v>
      </c>
      <c r="BL86">
        <v>767</v>
      </c>
      <c r="BM86">
        <v>13.954611422900447</v>
      </c>
      <c r="BN86" s="1">
        <f t="shared" si="5"/>
        <v>-5.3000000000000047E-2</v>
      </c>
      <c r="BO86" s="1">
        <f t="shared" si="6"/>
        <v>0.42899999999999994</v>
      </c>
      <c r="BP86">
        <f t="shared" si="7"/>
        <v>-6.3115788569275528</v>
      </c>
      <c r="BQ86" s="3">
        <f t="shared" si="8"/>
        <v>-37.915660790255195</v>
      </c>
      <c r="BR86" s="3">
        <f t="shared" si="9"/>
        <v>-2.1685799668311478</v>
      </c>
    </row>
    <row r="87" spans="1:70" x14ac:dyDescent="0.35">
      <c r="A87" s="5">
        <v>44722</v>
      </c>
      <c r="B87" t="s">
        <v>32</v>
      </c>
      <c r="C87" t="s">
        <v>33</v>
      </c>
      <c r="D87" t="s">
        <v>224</v>
      </c>
      <c r="E87" t="s">
        <v>124</v>
      </c>
      <c r="F87">
        <v>3</v>
      </c>
      <c r="G87" t="s">
        <v>61</v>
      </c>
      <c r="H87" t="s">
        <v>116</v>
      </c>
      <c r="I87" t="s">
        <v>242</v>
      </c>
      <c r="J87" t="s">
        <v>242</v>
      </c>
      <c r="K87" t="s">
        <v>232</v>
      </c>
      <c r="L87" s="1">
        <v>0.72199999999999998</v>
      </c>
      <c r="M87">
        <v>2.12</v>
      </c>
      <c r="N87" s="2">
        <v>-0.21200000000000002</v>
      </c>
      <c r="O87" t="s">
        <v>233</v>
      </c>
      <c r="P87">
        <v>0.53400000000000003</v>
      </c>
      <c r="Q87" s="1">
        <v>0.18799999999999994</v>
      </c>
      <c r="R87">
        <v>13.66</v>
      </c>
      <c r="S87" s="2">
        <v>-1.3660000000000001</v>
      </c>
      <c r="T87">
        <v>27.385200000000001</v>
      </c>
      <c r="U87" s="16">
        <v>59.2</v>
      </c>
      <c r="V87" s="17">
        <v>370</v>
      </c>
      <c r="W87">
        <v>32.917889756924353</v>
      </c>
      <c r="X87">
        <v>0.40234374999999989</v>
      </c>
      <c r="Y87">
        <v>3.8797718504419517E-5</v>
      </c>
      <c r="Z87">
        <v>3.4179480579394075E-6</v>
      </c>
      <c r="AA87" s="3">
        <v>3.4179480579394075</v>
      </c>
      <c r="AB87" s="3">
        <v>5.7060902469773085</v>
      </c>
      <c r="AC87">
        <v>24.548100000000002</v>
      </c>
      <c r="AD87" s="16">
        <v>23.8</v>
      </c>
      <c r="AE87" s="17">
        <v>350</v>
      </c>
      <c r="AF87">
        <v>38.797718504419514</v>
      </c>
      <c r="AH87" s="5">
        <v>44804</v>
      </c>
      <c r="AI87" s="6" t="s">
        <v>32</v>
      </c>
      <c r="AJ87" s="6" t="s">
        <v>40</v>
      </c>
      <c r="AK87" t="s">
        <v>224</v>
      </c>
      <c r="AL87" t="s">
        <v>124</v>
      </c>
      <c r="AM87">
        <v>2</v>
      </c>
      <c r="AN87" t="s">
        <v>61</v>
      </c>
      <c r="AO87" t="s">
        <v>116</v>
      </c>
      <c r="AP87" t="s">
        <v>242</v>
      </c>
      <c r="AQ87" t="s">
        <v>242</v>
      </c>
      <c r="AR87" t="s">
        <v>234</v>
      </c>
      <c r="AS87" s="1">
        <v>0.79800000000000004</v>
      </c>
      <c r="AT87">
        <v>6.86</v>
      </c>
      <c r="AU87" s="1">
        <v>-0.68600000000000005</v>
      </c>
      <c r="AV87" t="s">
        <v>128</v>
      </c>
      <c r="AW87">
        <v>0.77100000000000002</v>
      </c>
      <c r="AX87" s="1">
        <v>2.7000000000000024E-2</v>
      </c>
      <c r="AY87">
        <v>14.25</v>
      </c>
      <c r="AZ87" s="4">
        <v>-1.425</v>
      </c>
      <c r="BA87">
        <v>32.519599999999997</v>
      </c>
      <c r="BB87" s="16">
        <v>59.2</v>
      </c>
      <c r="BC87" s="17">
        <v>370</v>
      </c>
      <c r="BD87">
        <v>1.9212851043166017</v>
      </c>
      <c r="BE87">
        <v>3.5019455252918316E-2</v>
      </c>
      <c r="BF87">
        <v>1.9212851043166017E-6</v>
      </c>
      <c r="BG87">
        <v>7.5174556487029241E-7</v>
      </c>
      <c r="BH87" s="3">
        <v>0.75174556487029243</v>
      </c>
      <c r="BI87" s="3">
        <v>1.0172470431262415</v>
      </c>
      <c r="BJ87">
        <v>32.519599999999997</v>
      </c>
      <c r="BK87">
        <v>59.2</v>
      </c>
      <c r="BL87">
        <v>370</v>
      </c>
      <c r="BM87">
        <v>1.9212851043166017</v>
      </c>
      <c r="BN87" s="1">
        <f t="shared" si="5"/>
        <v>0.47400000000000003</v>
      </c>
      <c r="BO87" s="1">
        <f t="shared" si="6"/>
        <v>5.8999999999999941E-2</v>
      </c>
      <c r="BP87">
        <f t="shared" si="7"/>
        <v>36.876433400102911</v>
      </c>
      <c r="BQ87" s="3">
        <f t="shared" si="8"/>
        <v>4.688843203851067</v>
      </c>
      <c r="BR87" s="3">
        <f t="shared" si="9"/>
        <v>2.6662024930691151</v>
      </c>
    </row>
    <row r="88" spans="1:70" x14ac:dyDescent="0.35">
      <c r="A88" s="5">
        <v>44722</v>
      </c>
      <c r="B88" t="s">
        <v>32</v>
      </c>
      <c r="C88" t="s">
        <v>33</v>
      </c>
      <c r="D88" t="s">
        <v>224</v>
      </c>
      <c r="E88" t="s">
        <v>124</v>
      </c>
      <c r="F88">
        <v>7</v>
      </c>
      <c r="G88" t="s">
        <v>148</v>
      </c>
      <c r="H88" t="s">
        <v>120</v>
      </c>
      <c r="I88" t="s">
        <v>243</v>
      </c>
      <c r="J88" t="s">
        <v>243</v>
      </c>
      <c r="K88" t="s">
        <v>232</v>
      </c>
      <c r="L88" s="1">
        <v>0.65500000000000003</v>
      </c>
      <c r="M88">
        <v>4.29</v>
      </c>
      <c r="N88" s="2">
        <v>-0.42899999999999999</v>
      </c>
      <c r="O88" t="s">
        <v>233</v>
      </c>
      <c r="P88">
        <v>0.47799999999999998</v>
      </c>
      <c r="Q88" s="1">
        <v>0.17700000000000005</v>
      </c>
      <c r="R88">
        <v>9.43</v>
      </c>
      <c r="S88" s="2">
        <v>-0.94299999999999995</v>
      </c>
      <c r="T88">
        <v>27.385200000000001</v>
      </c>
      <c r="U88" s="16">
        <v>37.4</v>
      </c>
      <c r="V88" s="17">
        <v>677</v>
      </c>
      <c r="W88">
        <v>35.028884837824528</v>
      </c>
      <c r="X88">
        <v>0.48883374689826287</v>
      </c>
      <c r="Y88">
        <v>4.930652254451948E-5</v>
      </c>
      <c r="Z88">
        <v>1.4359893856045883E-5</v>
      </c>
      <c r="AA88" s="3">
        <v>14.359893856045883</v>
      </c>
      <c r="AB88" s="3">
        <v>27.196768666753563</v>
      </c>
      <c r="AC88">
        <v>24.828800000000001</v>
      </c>
      <c r="AD88" s="16">
        <v>51.2</v>
      </c>
      <c r="AE88" s="17">
        <v>410</v>
      </c>
      <c r="AF88">
        <v>49.306522544519481</v>
      </c>
      <c r="AH88" s="5">
        <v>44804</v>
      </c>
      <c r="AI88" s="6" t="s">
        <v>32</v>
      </c>
      <c r="AJ88" s="6" t="s">
        <v>40</v>
      </c>
      <c r="AK88" t="s">
        <v>224</v>
      </c>
      <c r="AL88" t="s">
        <v>124</v>
      </c>
      <c r="AM88">
        <v>5</v>
      </c>
      <c r="AN88" t="s">
        <v>148</v>
      </c>
      <c r="AO88" t="s">
        <v>65</v>
      </c>
      <c r="AP88" t="s">
        <v>243</v>
      </c>
      <c r="AQ88" t="s">
        <v>243</v>
      </c>
      <c r="AR88" t="s">
        <v>229</v>
      </c>
      <c r="AS88" s="1">
        <v>0.69799999999999995</v>
      </c>
      <c r="AT88">
        <v>14.96</v>
      </c>
      <c r="AU88" s="1">
        <v>-1.496</v>
      </c>
      <c r="AV88" t="s">
        <v>230</v>
      </c>
      <c r="AW88">
        <v>0.747</v>
      </c>
      <c r="AX88" s="1">
        <v>-4.9000000000000044E-2</v>
      </c>
      <c r="AY88">
        <v>21.81</v>
      </c>
      <c r="AZ88" s="4">
        <v>-2.181</v>
      </c>
      <c r="BA88">
        <v>34.357199999999999</v>
      </c>
      <c r="BB88" s="16">
        <v>37.4</v>
      </c>
      <c r="BC88" s="17">
        <v>677</v>
      </c>
      <c r="BD88">
        <v>4.5226430321941091</v>
      </c>
      <c r="BE88">
        <v>7.0200573065902647E-2</v>
      </c>
      <c r="BF88">
        <v>4.5226430321941094E-6</v>
      </c>
      <c r="BG88">
        <v>5.6379162322550898E-7</v>
      </c>
      <c r="BH88" s="3">
        <v>0.56379162322550902</v>
      </c>
      <c r="BI88" s="3">
        <v>0.82305346456278683</v>
      </c>
      <c r="BJ88">
        <v>34.357199999999999</v>
      </c>
      <c r="BK88">
        <v>37.4</v>
      </c>
      <c r="BL88">
        <v>677</v>
      </c>
      <c r="BM88">
        <v>4.5226430321941091</v>
      </c>
      <c r="BN88" s="1">
        <f t="shared" si="5"/>
        <v>1.0669999999999999</v>
      </c>
      <c r="BO88" s="1">
        <f t="shared" si="6"/>
        <v>1.238</v>
      </c>
      <c r="BP88">
        <f t="shared" si="7"/>
        <v>44.78387951232537</v>
      </c>
      <c r="BQ88" s="3">
        <f t="shared" si="8"/>
        <v>26.373715202190777</v>
      </c>
      <c r="BR88" s="3">
        <f t="shared" si="9"/>
        <v>13.796102232820374</v>
      </c>
    </row>
    <row r="89" spans="1:70" x14ac:dyDescent="0.35">
      <c r="A89" s="5">
        <v>44722</v>
      </c>
      <c r="B89" t="s">
        <v>32</v>
      </c>
      <c r="C89" t="s">
        <v>33</v>
      </c>
      <c r="D89" t="s">
        <v>224</v>
      </c>
      <c r="E89" t="s">
        <v>124</v>
      </c>
      <c r="F89">
        <v>6</v>
      </c>
      <c r="G89" t="s">
        <v>69</v>
      </c>
      <c r="H89" t="s">
        <v>244</v>
      </c>
      <c r="I89" t="s">
        <v>245</v>
      </c>
      <c r="J89" t="s">
        <v>245</v>
      </c>
      <c r="K89" t="s">
        <v>232</v>
      </c>
      <c r="L89" s="1">
        <v>0.71399999999999997</v>
      </c>
      <c r="M89">
        <v>2.4500000000000002</v>
      </c>
      <c r="N89" s="2">
        <v>-0.24500000000000002</v>
      </c>
      <c r="O89" t="s">
        <v>233</v>
      </c>
      <c r="P89">
        <v>0.57999999999999996</v>
      </c>
      <c r="Q89" s="1">
        <v>0.13400000000000001</v>
      </c>
      <c r="R89">
        <v>3.92</v>
      </c>
      <c r="S89" s="2">
        <v>-0.39200000000000002</v>
      </c>
      <c r="T89">
        <v>27.385200000000001</v>
      </c>
      <c r="U89" s="16">
        <v>73</v>
      </c>
      <c r="V89" s="17">
        <v>800</v>
      </c>
      <c r="W89">
        <v>19.598963680461672</v>
      </c>
      <c r="X89">
        <v>2.8860028860028886E-3</v>
      </c>
      <c r="Y89">
        <v>8.8955391267066253E-8</v>
      </c>
      <c r="Z89">
        <v>1.918095605777718E-8</v>
      </c>
      <c r="AA89" s="3">
        <v>1.9180956057777181E-2</v>
      </c>
      <c r="AB89" s="3">
        <v>3.7317035131862221E-2</v>
      </c>
      <c r="AC89">
        <v>24.828800000000001</v>
      </c>
      <c r="AD89" s="16">
        <v>23.6</v>
      </c>
      <c r="AE89" s="17">
        <v>300</v>
      </c>
      <c r="AF89">
        <v>8.8955391267066253E-2</v>
      </c>
      <c r="AH89" s="5">
        <v>44805</v>
      </c>
      <c r="AI89" s="6" t="s">
        <v>32</v>
      </c>
      <c r="AJ89" s="6" t="s">
        <v>40</v>
      </c>
      <c r="AK89" t="s">
        <v>224</v>
      </c>
      <c r="AL89" t="s">
        <v>124</v>
      </c>
      <c r="AM89">
        <v>5</v>
      </c>
      <c r="AN89" t="s">
        <v>148</v>
      </c>
      <c r="AO89" t="s">
        <v>120</v>
      </c>
      <c r="AP89" t="s">
        <v>245</v>
      </c>
      <c r="AQ89" t="s">
        <v>245</v>
      </c>
      <c r="AR89" t="s">
        <v>229</v>
      </c>
      <c r="AS89" s="1">
        <v>0.81899999999999995</v>
      </c>
      <c r="AT89">
        <v>7.78</v>
      </c>
      <c r="AU89" s="1">
        <v>-0.77800000000000002</v>
      </c>
      <c r="AV89" t="s">
        <v>230</v>
      </c>
      <c r="AW89">
        <v>0.63</v>
      </c>
      <c r="AX89" s="1">
        <v>0.18899999999999995</v>
      </c>
      <c r="AY89">
        <v>18.45</v>
      </c>
      <c r="AZ89" s="4">
        <v>-1.845</v>
      </c>
      <c r="BA89">
        <v>34.357199999999999</v>
      </c>
      <c r="BB89" s="16">
        <v>73</v>
      </c>
      <c r="BC89" s="17">
        <v>800</v>
      </c>
      <c r="BD89">
        <v>27.032314156222323</v>
      </c>
      <c r="BE89">
        <v>0.29999999999999993</v>
      </c>
      <c r="BF89">
        <v>2.7032314156222322E-5</v>
      </c>
      <c r="BG89">
        <v>1.2712612348830643E-5</v>
      </c>
      <c r="BH89" s="3">
        <v>12.712612348830643</v>
      </c>
      <c r="BI89" s="3">
        <v>11.914350842390482</v>
      </c>
      <c r="BJ89">
        <v>34.357199999999999</v>
      </c>
      <c r="BK89">
        <v>73</v>
      </c>
      <c r="BL89">
        <v>800</v>
      </c>
      <c r="BM89">
        <v>27.032314156222323</v>
      </c>
      <c r="BN89" s="1">
        <f t="shared" si="5"/>
        <v>0.53300000000000003</v>
      </c>
      <c r="BO89" s="1">
        <f t="shared" si="6"/>
        <v>1.4529999999999998</v>
      </c>
      <c r="BP89">
        <f t="shared" si="7"/>
        <v>-26.943358764955256</v>
      </c>
      <c r="BQ89" s="3">
        <f t="shared" si="8"/>
        <v>-11.87703380725862</v>
      </c>
      <c r="BR89" s="3">
        <f t="shared" si="9"/>
        <v>-12.693431392772865</v>
      </c>
    </row>
    <row r="90" spans="1:70" x14ac:dyDescent="0.35">
      <c r="A90" s="5">
        <v>44722</v>
      </c>
      <c r="B90" t="s">
        <v>32</v>
      </c>
      <c r="C90" t="s">
        <v>33</v>
      </c>
      <c r="D90" t="s">
        <v>224</v>
      </c>
      <c r="E90" t="s">
        <v>124</v>
      </c>
      <c r="F90">
        <v>1</v>
      </c>
      <c r="G90" t="s">
        <v>72</v>
      </c>
      <c r="H90" t="s">
        <v>246</v>
      </c>
      <c r="I90" t="s">
        <v>247</v>
      </c>
      <c r="J90" t="s">
        <v>247</v>
      </c>
      <c r="K90" t="s">
        <v>232</v>
      </c>
      <c r="L90" s="1">
        <v>0.76300000000000001</v>
      </c>
      <c r="M90">
        <v>2.34</v>
      </c>
      <c r="N90" s="2">
        <v>-0.23399999999999999</v>
      </c>
      <c r="O90" t="s">
        <v>233</v>
      </c>
      <c r="P90">
        <v>0.58399999999999996</v>
      </c>
      <c r="Q90" s="1">
        <v>0.17900000000000005</v>
      </c>
      <c r="R90">
        <v>4.42</v>
      </c>
      <c r="S90" s="2">
        <v>-0.442</v>
      </c>
      <c r="T90">
        <v>27.385200000000001</v>
      </c>
      <c r="U90" s="16">
        <v>55.9</v>
      </c>
      <c r="V90" s="17">
        <v>590</v>
      </c>
      <c r="W90">
        <v>27.755868914346273</v>
      </c>
      <c r="X90">
        <v>0.41425389755011133</v>
      </c>
      <c r="Y90">
        <v>4.0216303521411329E-5</v>
      </c>
      <c r="Z90">
        <v>6.199737676081947E-6</v>
      </c>
      <c r="AA90" s="3">
        <v>6.1997376760819467</v>
      </c>
      <c r="AB90" s="3">
        <v>43.053733861680179</v>
      </c>
      <c r="AC90">
        <v>24.828800000000001</v>
      </c>
      <c r="AD90" s="16">
        <v>40</v>
      </c>
      <c r="AE90" s="17">
        <v>295</v>
      </c>
      <c r="AF90">
        <v>40.216303521411326</v>
      </c>
      <c r="AH90" s="5">
        <v>44805</v>
      </c>
      <c r="AI90" s="6" t="s">
        <v>32</v>
      </c>
      <c r="AJ90" s="6" t="s">
        <v>40</v>
      </c>
      <c r="AK90" t="s">
        <v>224</v>
      </c>
      <c r="AL90" t="s">
        <v>124</v>
      </c>
      <c r="AM90">
        <v>3</v>
      </c>
      <c r="AN90" t="s">
        <v>69</v>
      </c>
      <c r="AO90" t="s">
        <v>244</v>
      </c>
      <c r="AP90" t="s">
        <v>247</v>
      </c>
      <c r="AQ90" t="s">
        <v>247</v>
      </c>
      <c r="AR90" t="s">
        <v>234</v>
      </c>
      <c r="AS90" s="1">
        <v>0.80600000000000005</v>
      </c>
      <c r="AT90">
        <v>12.53</v>
      </c>
      <c r="AU90" s="1">
        <v>-1.2529999999999999</v>
      </c>
      <c r="AV90" t="s">
        <v>128</v>
      </c>
      <c r="AW90">
        <v>0.63100000000000001</v>
      </c>
      <c r="AX90" s="1">
        <v>0.17500000000000004</v>
      </c>
      <c r="AY90">
        <v>22.45</v>
      </c>
      <c r="AZ90" s="4">
        <v>-2.2450000000000001</v>
      </c>
      <c r="BA90">
        <v>32.519599999999997</v>
      </c>
      <c r="BB90" s="16">
        <v>55.9</v>
      </c>
      <c r="BC90" s="17">
        <v>590</v>
      </c>
      <c r="BD90">
        <v>24.540909737739149</v>
      </c>
      <c r="BE90">
        <v>0.27733755942947708</v>
      </c>
      <c r="BF90">
        <v>2.454090973773915E-5</v>
      </c>
      <c r="BG90">
        <v>9.1851801939310038E-6</v>
      </c>
      <c r="BH90" s="3">
        <v>9.1851801939310036</v>
      </c>
      <c r="BI90" s="3">
        <v>9.2592542277530256</v>
      </c>
      <c r="BJ90">
        <v>32.519599999999997</v>
      </c>
      <c r="BK90">
        <v>55.9</v>
      </c>
      <c r="BL90">
        <v>590</v>
      </c>
      <c r="BM90">
        <v>24.540909737739149</v>
      </c>
      <c r="BN90" s="1">
        <f t="shared" si="5"/>
        <v>1.0189999999999999</v>
      </c>
      <c r="BO90" s="1">
        <f t="shared" si="6"/>
        <v>1.8030000000000002</v>
      </c>
      <c r="BP90">
        <f t="shared" si="7"/>
        <v>15.675393783672178</v>
      </c>
      <c r="BQ90" s="3">
        <f t="shared" si="8"/>
        <v>33.794479633927153</v>
      </c>
      <c r="BR90" s="3">
        <f t="shared" si="9"/>
        <v>-2.9854425178490569</v>
      </c>
    </row>
    <row r="91" spans="1:70" x14ac:dyDescent="0.35">
      <c r="A91" s="5">
        <v>44722</v>
      </c>
      <c r="B91" t="s">
        <v>32</v>
      </c>
      <c r="C91" t="s">
        <v>33</v>
      </c>
      <c r="D91" t="s">
        <v>224</v>
      </c>
      <c r="E91" t="s">
        <v>124</v>
      </c>
      <c r="F91">
        <v>15</v>
      </c>
      <c r="G91" t="s">
        <v>75</v>
      </c>
      <c r="H91" t="s">
        <v>248</v>
      </c>
      <c r="I91" t="s">
        <v>249</v>
      </c>
      <c r="J91" t="s">
        <v>249</v>
      </c>
      <c r="K91" t="s">
        <v>227</v>
      </c>
      <c r="L91" s="1">
        <v>0.80600000000000005</v>
      </c>
      <c r="M91">
        <v>2.56</v>
      </c>
      <c r="N91" s="2">
        <v>-0.25600000000000001</v>
      </c>
      <c r="O91" t="s">
        <v>228</v>
      </c>
      <c r="P91">
        <v>0.67</v>
      </c>
      <c r="Q91" s="1">
        <v>0.13600000000000001</v>
      </c>
      <c r="R91">
        <v>12.76</v>
      </c>
      <c r="S91" s="2">
        <v>-1.276</v>
      </c>
      <c r="T91">
        <v>27.385200000000001</v>
      </c>
      <c r="U91" s="16">
        <v>57</v>
      </c>
      <c r="V91" s="17">
        <v>720</v>
      </c>
      <c r="W91">
        <v>16.712263537823919</v>
      </c>
      <c r="X91">
        <v>0.17681728880157163</v>
      </c>
      <c r="Y91">
        <v>1.4100999606008172E-5</v>
      </c>
      <c r="Z91">
        <v>5.8802511218160691E-6</v>
      </c>
      <c r="AA91" s="3">
        <v>5.8802511218160687</v>
      </c>
      <c r="AB91" s="3">
        <v>16.022482620752232</v>
      </c>
      <c r="AC91">
        <v>24.828800000000001</v>
      </c>
      <c r="AD91" s="18">
        <v>43.1</v>
      </c>
      <c r="AE91" s="21">
        <v>395</v>
      </c>
      <c r="AF91">
        <v>14.100999606008171</v>
      </c>
      <c r="AH91" s="5">
        <v>44804</v>
      </c>
      <c r="AI91" s="6" t="s">
        <v>32</v>
      </c>
      <c r="AJ91" s="6" t="s">
        <v>40</v>
      </c>
      <c r="AK91" t="s">
        <v>224</v>
      </c>
      <c r="AL91" t="s">
        <v>124</v>
      </c>
      <c r="AM91">
        <v>1</v>
      </c>
      <c r="AN91" t="s">
        <v>72</v>
      </c>
      <c r="AO91" t="s">
        <v>246</v>
      </c>
      <c r="AP91" t="s">
        <v>249</v>
      </c>
      <c r="AQ91" t="s">
        <v>249</v>
      </c>
      <c r="AR91" t="s">
        <v>229</v>
      </c>
      <c r="AS91" s="1">
        <v>0.85599999999999998</v>
      </c>
      <c r="AT91">
        <v>10.87</v>
      </c>
      <c r="AU91" s="1">
        <v>-1.087</v>
      </c>
      <c r="AV91" t="s">
        <v>230</v>
      </c>
      <c r="AW91">
        <v>0.72399999999999998</v>
      </c>
      <c r="AX91" s="1">
        <v>0.13200000000000001</v>
      </c>
      <c r="AY91">
        <v>24.35</v>
      </c>
      <c r="AZ91" s="4">
        <v>-2.4350000000000001</v>
      </c>
      <c r="BA91">
        <v>34.357199999999999</v>
      </c>
      <c r="BB91" s="16">
        <v>57</v>
      </c>
      <c r="BC91" s="17">
        <v>720</v>
      </c>
      <c r="BD91">
        <v>14.643176452367465</v>
      </c>
      <c r="BE91">
        <v>0.18232044198895028</v>
      </c>
      <c r="BF91">
        <v>1.4643176452367464E-5</v>
      </c>
      <c r="BG91">
        <v>5.2218542464694114E-6</v>
      </c>
      <c r="BH91" s="3">
        <v>5.2218542464694115</v>
      </c>
      <c r="BI91" s="3">
        <v>3.8737791145915512</v>
      </c>
      <c r="BJ91">
        <v>34.357199999999999</v>
      </c>
      <c r="BK91">
        <v>57</v>
      </c>
      <c r="BL91">
        <v>720</v>
      </c>
      <c r="BM91">
        <v>14.643176452367465</v>
      </c>
      <c r="BN91" s="1">
        <f t="shared" si="5"/>
        <v>0.83099999999999996</v>
      </c>
      <c r="BO91" s="1">
        <f t="shared" si="6"/>
        <v>1.159</v>
      </c>
      <c r="BP91">
        <f t="shared" si="7"/>
        <v>-0.54217684635929331</v>
      </c>
      <c r="BQ91" s="3">
        <f t="shared" si="8"/>
        <v>12.148703506160681</v>
      </c>
      <c r="BR91" s="3">
        <f t="shared" si="9"/>
        <v>0.65839687534665714</v>
      </c>
    </row>
    <row r="92" spans="1:70" x14ac:dyDescent="0.35">
      <c r="A92" s="5">
        <v>44722</v>
      </c>
      <c r="B92" t="s">
        <v>32</v>
      </c>
      <c r="C92" t="s">
        <v>33</v>
      </c>
      <c r="D92" t="s">
        <v>224</v>
      </c>
      <c r="E92" t="s">
        <v>124</v>
      </c>
      <c r="F92">
        <v>9</v>
      </c>
      <c r="G92" t="s">
        <v>75</v>
      </c>
      <c r="H92" t="s">
        <v>153</v>
      </c>
      <c r="I92" t="s">
        <v>250</v>
      </c>
      <c r="J92" t="s">
        <v>250</v>
      </c>
      <c r="K92" t="s">
        <v>227</v>
      </c>
      <c r="L92" s="1">
        <v>0.65500000000000003</v>
      </c>
      <c r="M92">
        <v>3.08</v>
      </c>
      <c r="N92" s="2">
        <v>-0.308</v>
      </c>
      <c r="O92" t="s">
        <v>228</v>
      </c>
      <c r="P92">
        <v>0.627</v>
      </c>
      <c r="Q92" s="1">
        <v>2.8000000000000025E-2</v>
      </c>
      <c r="R92">
        <v>12.93</v>
      </c>
      <c r="S92" s="2">
        <v>-1.2929999999999999</v>
      </c>
      <c r="T92">
        <v>27.385200000000001</v>
      </c>
      <c r="U92" s="16">
        <v>80</v>
      </c>
      <c r="V92" s="17">
        <v>715</v>
      </c>
      <c r="W92">
        <v>2.5915652935884701</v>
      </c>
      <c r="X92">
        <v>0.34579439252336436</v>
      </c>
      <c r="Y92">
        <v>3.2198219254117729E-5</v>
      </c>
      <c r="Z92">
        <v>8.527652556619292E-6</v>
      </c>
      <c r="AA92" s="3">
        <v>8.5276525566192927</v>
      </c>
      <c r="AB92" s="3">
        <v>9.5281034152170871</v>
      </c>
      <c r="AC92">
        <v>24.828800000000001</v>
      </c>
      <c r="AD92" s="16">
        <v>36.9</v>
      </c>
      <c r="AE92" s="17">
        <v>400</v>
      </c>
      <c r="AF92">
        <v>32.198219254117731</v>
      </c>
      <c r="AH92" s="5">
        <v>44805</v>
      </c>
      <c r="AI92" s="6" t="s">
        <v>32</v>
      </c>
      <c r="AJ92" s="6" t="s">
        <v>40</v>
      </c>
      <c r="AK92" t="s">
        <v>224</v>
      </c>
      <c r="AL92" t="s">
        <v>124</v>
      </c>
      <c r="AM92">
        <v>4</v>
      </c>
      <c r="AN92" t="s">
        <v>75</v>
      </c>
      <c r="AO92" t="s">
        <v>248</v>
      </c>
      <c r="AP92" t="s">
        <v>250</v>
      </c>
      <c r="AQ92" t="s">
        <v>250</v>
      </c>
      <c r="AR92" t="s">
        <v>229</v>
      </c>
      <c r="AS92" s="1">
        <v>0.748</v>
      </c>
      <c r="AT92">
        <v>11.72</v>
      </c>
      <c r="AU92" s="1">
        <v>-1.1720000000000002</v>
      </c>
      <c r="AV92" t="s">
        <v>230</v>
      </c>
      <c r="AW92">
        <v>0.66200000000000003</v>
      </c>
      <c r="AX92" s="1">
        <v>8.5999999999999965E-2</v>
      </c>
      <c r="AY92">
        <v>23.97</v>
      </c>
      <c r="AZ92" s="4">
        <v>-2.3969999999999998</v>
      </c>
      <c r="BA92">
        <v>34.357199999999999</v>
      </c>
      <c r="BB92" s="16">
        <v>80</v>
      </c>
      <c r="BC92" s="17">
        <v>715</v>
      </c>
      <c r="BD92">
        <v>9.6480238832320389</v>
      </c>
      <c r="BE92">
        <v>0.12990936555891233</v>
      </c>
      <c r="BF92">
        <v>9.6480238832320397E-6</v>
      </c>
      <c r="BG92">
        <v>8.4937592459838984E-6</v>
      </c>
      <c r="BH92" s="3">
        <v>8.4937592459838989</v>
      </c>
      <c r="BI92" s="3">
        <v>6.9336810171297154</v>
      </c>
      <c r="BJ92">
        <v>34.357199999999999</v>
      </c>
      <c r="BK92">
        <v>80</v>
      </c>
      <c r="BL92">
        <v>715</v>
      </c>
      <c r="BM92">
        <v>9.6480238832320389</v>
      </c>
      <c r="BN92" s="1">
        <f t="shared" si="5"/>
        <v>0.8640000000000001</v>
      </c>
      <c r="BO92" s="1">
        <f t="shared" si="6"/>
        <v>1.1039999999999999</v>
      </c>
      <c r="BP92">
        <f t="shared" si="7"/>
        <v>22.550195370885692</v>
      </c>
      <c r="BQ92" s="3">
        <f t="shared" si="8"/>
        <v>2.5944223980873717</v>
      </c>
      <c r="BR92" s="3">
        <f t="shared" si="9"/>
        <v>3.3893310635393803E-2</v>
      </c>
    </row>
    <row r="93" spans="1:70" x14ac:dyDescent="0.35">
      <c r="A93" s="5">
        <v>44722</v>
      </c>
      <c r="B93" t="s">
        <v>32</v>
      </c>
      <c r="C93" t="s">
        <v>33</v>
      </c>
      <c r="D93" t="s">
        <v>224</v>
      </c>
      <c r="E93" t="s">
        <v>124</v>
      </c>
      <c r="F93">
        <v>16</v>
      </c>
      <c r="G93" t="s">
        <v>78</v>
      </c>
      <c r="H93" t="s">
        <v>129</v>
      </c>
      <c r="I93" t="s">
        <v>251</v>
      </c>
      <c r="J93" t="s">
        <v>251</v>
      </c>
      <c r="K93" t="s">
        <v>227</v>
      </c>
      <c r="L93" s="1">
        <v>0.62</v>
      </c>
      <c r="M93">
        <v>2.82</v>
      </c>
      <c r="N93" s="2">
        <v>-0.28199999999999997</v>
      </c>
      <c r="O93" t="s">
        <v>228</v>
      </c>
      <c r="P93">
        <v>0.53700000000000003</v>
      </c>
      <c r="Q93" s="1">
        <v>8.2999999999999963E-2</v>
      </c>
      <c r="R93" s="13">
        <v>10.52</v>
      </c>
      <c r="S93" s="2">
        <v>-1.052</v>
      </c>
      <c r="T93">
        <v>27.385200000000001</v>
      </c>
      <c r="U93" s="16">
        <v>60</v>
      </c>
      <c r="V93" s="17">
        <v>537</v>
      </c>
      <c r="W93">
        <v>11.949060152625588</v>
      </c>
      <c r="X93">
        <v>0.4232456140350877</v>
      </c>
      <c r="Y93">
        <v>4.1293556347020169E-5</v>
      </c>
      <c r="Z93">
        <v>4.4248430418008466E-5</v>
      </c>
      <c r="AA93" s="3">
        <v>44.248430418008468</v>
      </c>
      <c r="AB93" s="3">
        <v>68.70874288510629</v>
      </c>
      <c r="AC93">
        <v>24.828800000000001</v>
      </c>
      <c r="AD93" s="16">
        <v>94.2</v>
      </c>
      <c r="AE93" s="17">
        <v>590</v>
      </c>
      <c r="AF93">
        <v>41.293556347020171</v>
      </c>
      <c r="AH93" s="5">
        <v>44805</v>
      </c>
      <c r="AI93" s="6" t="s">
        <v>32</v>
      </c>
      <c r="AJ93" s="6" t="s">
        <v>40</v>
      </c>
      <c r="AK93" t="s">
        <v>224</v>
      </c>
      <c r="AL93" t="s">
        <v>124</v>
      </c>
      <c r="AM93">
        <v>1</v>
      </c>
      <c r="AN93" t="s">
        <v>75</v>
      </c>
      <c r="AO93" t="s">
        <v>153</v>
      </c>
      <c r="AP93" t="s">
        <v>251</v>
      </c>
      <c r="AQ93" t="s">
        <v>251</v>
      </c>
      <c r="AR93" t="s">
        <v>234</v>
      </c>
      <c r="AS93" s="1">
        <v>0.91100000000000003</v>
      </c>
      <c r="AT93">
        <v>4.96</v>
      </c>
      <c r="AU93" s="1">
        <v>-0.496</v>
      </c>
      <c r="AV93" t="s">
        <v>128</v>
      </c>
      <c r="AW93">
        <v>0.89200000000000002</v>
      </c>
      <c r="AX93" s="1">
        <v>1.9000000000000017E-2</v>
      </c>
      <c r="AY93">
        <v>8.24</v>
      </c>
      <c r="AZ93" s="4">
        <v>-0.82400000000000007</v>
      </c>
      <c r="BA93">
        <v>32.519599999999997</v>
      </c>
      <c r="BB93" s="16">
        <v>60</v>
      </c>
      <c r="BC93" s="17">
        <v>537</v>
      </c>
      <c r="BD93">
        <v>1.041821962344859</v>
      </c>
      <c r="BE93">
        <v>2.1300448430493293E-2</v>
      </c>
      <c r="BF93">
        <v>1.0418219623448591E-6</v>
      </c>
      <c r="BG93">
        <v>3.3655534066420382E-7</v>
      </c>
      <c r="BH93" s="3">
        <v>0.33655534066420384</v>
      </c>
      <c r="BI93" s="3">
        <v>1.026083355683548</v>
      </c>
      <c r="BJ93">
        <v>32.519599999999997</v>
      </c>
      <c r="BK93">
        <v>60</v>
      </c>
      <c r="BL93">
        <v>537</v>
      </c>
      <c r="BM93">
        <v>1.041821962344859</v>
      </c>
      <c r="BN93" s="1">
        <f t="shared" si="5"/>
        <v>0.21400000000000002</v>
      </c>
      <c r="BO93" s="1">
        <f t="shared" si="6"/>
        <v>-0.22799999999999998</v>
      </c>
      <c r="BP93">
        <f t="shared" si="7"/>
        <v>40.251734384675309</v>
      </c>
      <c r="BQ93" s="3">
        <f t="shared" si="8"/>
        <v>67.682659529422736</v>
      </c>
      <c r="BR93" s="3">
        <f t="shared" si="9"/>
        <v>43.911875077344263</v>
      </c>
    </row>
    <row r="94" spans="1:70" x14ac:dyDescent="0.35">
      <c r="A94" s="5">
        <v>44722</v>
      </c>
      <c r="B94" t="s">
        <v>32</v>
      </c>
      <c r="C94" t="s">
        <v>33</v>
      </c>
      <c r="D94" t="s">
        <v>224</v>
      </c>
      <c r="E94" t="s">
        <v>124</v>
      </c>
      <c r="F94">
        <v>13</v>
      </c>
      <c r="G94" t="s">
        <v>81</v>
      </c>
      <c r="H94" t="s">
        <v>207</v>
      </c>
      <c r="I94" t="s">
        <v>252</v>
      </c>
      <c r="J94" t="s">
        <v>252</v>
      </c>
      <c r="K94" t="s">
        <v>227</v>
      </c>
      <c r="L94" s="1">
        <v>0.72799999999999998</v>
      </c>
      <c r="M94">
        <v>2.0099999999999998</v>
      </c>
      <c r="N94" s="2">
        <v>-0.20099999999999998</v>
      </c>
      <c r="O94" t="s">
        <v>228</v>
      </c>
      <c r="P94">
        <v>0.57599999999999996</v>
      </c>
      <c r="Q94" s="1">
        <v>0.15200000000000002</v>
      </c>
      <c r="R94">
        <v>6.47</v>
      </c>
      <c r="S94" s="2">
        <v>-0.64700000000000002</v>
      </c>
      <c r="T94">
        <v>27.385200000000001</v>
      </c>
      <c r="U94" s="16">
        <v>33.9</v>
      </c>
      <c r="V94" s="17">
        <v>590</v>
      </c>
      <c r="W94">
        <v>23.084280405542593</v>
      </c>
      <c r="X94">
        <v>0.23880597014925375</v>
      </c>
      <c r="Y94">
        <v>2.0413645937287933E-5</v>
      </c>
      <c r="Z94">
        <v>1.087511379206732E-5</v>
      </c>
      <c r="AA94" s="3">
        <v>10.875113792067319</v>
      </c>
      <c r="AB94" s="3">
        <v>23.590268529430201</v>
      </c>
      <c r="AC94">
        <v>24.828800000000001</v>
      </c>
      <c r="AD94" s="16">
        <v>72</v>
      </c>
      <c r="AE94" s="17">
        <v>355</v>
      </c>
      <c r="AF94">
        <v>20.413645937287935</v>
      </c>
      <c r="AH94" s="5">
        <v>44804</v>
      </c>
      <c r="AI94" s="6" t="s">
        <v>32</v>
      </c>
      <c r="AJ94" s="6" t="s">
        <v>40</v>
      </c>
      <c r="AK94" t="s">
        <v>224</v>
      </c>
      <c r="AL94" t="s">
        <v>124</v>
      </c>
      <c r="AM94">
        <v>4</v>
      </c>
      <c r="AN94" t="s">
        <v>78</v>
      </c>
      <c r="AO94" t="s">
        <v>129</v>
      </c>
      <c r="AP94" t="s">
        <v>252</v>
      </c>
      <c r="AQ94" t="s">
        <v>252</v>
      </c>
      <c r="AR94" t="s">
        <v>229</v>
      </c>
      <c r="AS94" s="1">
        <v>0.72799999999999998</v>
      </c>
      <c r="AT94">
        <v>14.23</v>
      </c>
      <c r="AU94" s="1">
        <v>-1.423</v>
      </c>
      <c r="AV94" t="s">
        <v>230</v>
      </c>
      <c r="AW94">
        <v>0.68899999999999995</v>
      </c>
      <c r="AX94" s="1">
        <v>3.9000000000000035E-2</v>
      </c>
      <c r="AY94">
        <v>18.93</v>
      </c>
      <c r="AZ94" s="4">
        <v>-1.893</v>
      </c>
      <c r="BA94">
        <v>34.357199999999999</v>
      </c>
      <c r="BB94" s="16">
        <v>33.9</v>
      </c>
      <c r="BC94" s="16">
        <v>590</v>
      </c>
      <c r="BD94">
        <v>3.4697615529873098</v>
      </c>
      <c r="BE94">
        <v>5.6603773584905717E-2</v>
      </c>
      <c r="BF94">
        <v>3.4697615529873097E-6</v>
      </c>
      <c r="BG94">
        <v>5.3937313225129501E-7</v>
      </c>
      <c r="BH94" s="3">
        <v>0.53937313225129502</v>
      </c>
      <c r="BI94" s="3">
        <v>1.1476024090453085</v>
      </c>
      <c r="BJ94">
        <v>34.357199999999999</v>
      </c>
      <c r="BK94">
        <v>33.9</v>
      </c>
      <c r="BL94">
        <v>590</v>
      </c>
      <c r="BM94">
        <v>3.4697615529873098</v>
      </c>
      <c r="BN94" s="1">
        <f t="shared" si="5"/>
        <v>1.222</v>
      </c>
      <c r="BO94" s="1">
        <f t="shared" si="6"/>
        <v>1.246</v>
      </c>
      <c r="BP94">
        <f t="shared" si="7"/>
        <v>16.943884384300624</v>
      </c>
      <c r="BQ94" s="3">
        <f t="shared" si="8"/>
        <v>22.442666120384892</v>
      </c>
      <c r="BR94" s="3">
        <f t="shared" si="9"/>
        <v>10.335740659816024</v>
      </c>
    </row>
    <row r="95" spans="1:70" x14ac:dyDescent="0.35">
      <c r="X95">
        <v>0.21153846153846151</v>
      </c>
      <c r="Y95">
        <v>1.7583334611017856E-5</v>
      </c>
      <c r="Z95">
        <v>3.0070423930625755E-6</v>
      </c>
      <c r="AA95" s="3">
        <v>3.0070423930625756</v>
      </c>
      <c r="AB95" s="3">
        <v>6.2000874083764446</v>
      </c>
      <c r="AC95">
        <v>24.828800000000001</v>
      </c>
      <c r="AD95" s="16">
        <v>36.299999999999997</v>
      </c>
      <c r="AE95" s="17">
        <v>410</v>
      </c>
      <c r="AF95">
        <v>17.583334611017857</v>
      </c>
    </row>
    <row r="96" spans="1:70" x14ac:dyDescent="0.35">
      <c r="X96">
        <v>0.23510971786833859</v>
      </c>
      <c r="Y96">
        <v>2.0025392902207458E-5</v>
      </c>
      <c r="Z96">
        <v>1.1237712739824179E-5</v>
      </c>
      <c r="AA96" s="3">
        <v>11.237712739824179</v>
      </c>
      <c r="AB96" s="3">
        <v>7.1623408156941863</v>
      </c>
      <c r="AC96">
        <v>27.385200000000001</v>
      </c>
      <c r="AD96" s="16">
        <v>90</v>
      </c>
      <c r="AE96" s="17">
        <v>650</v>
      </c>
      <c r="AF96">
        <v>20.025392902207457</v>
      </c>
    </row>
    <row r="97" spans="24:32" x14ac:dyDescent="0.35">
      <c r="X97">
        <v>0.48611111111111127</v>
      </c>
      <c r="Y97">
        <v>4.8968682655280221E-5</v>
      </c>
      <c r="Z97">
        <v>5.4618603075164986E-5</v>
      </c>
      <c r="AA97" s="3">
        <v>54.618603075164984</v>
      </c>
      <c r="AB97" s="3">
        <v>51.188943838017792</v>
      </c>
      <c r="AC97">
        <v>27.385200000000001</v>
      </c>
      <c r="AD97" s="16">
        <v>107</v>
      </c>
      <c r="AE97" s="17">
        <v>840</v>
      </c>
      <c r="AF97">
        <v>48.968682655280219</v>
      </c>
    </row>
    <row r="98" spans="24:32" x14ac:dyDescent="0.35">
      <c r="X98">
        <v>0.34975369458128081</v>
      </c>
      <c r="Y98">
        <v>3.2652644947362116E-5</v>
      </c>
      <c r="Z98">
        <v>5.4355975197985955E-6</v>
      </c>
      <c r="AA98" s="3">
        <v>5.4355975197985957</v>
      </c>
      <c r="AB98" s="3">
        <v>5.7277107690185414</v>
      </c>
      <c r="AC98">
        <v>27.385200000000001</v>
      </c>
      <c r="AD98" s="16">
        <v>39.299999999999997</v>
      </c>
      <c r="AE98" s="17">
        <v>410</v>
      </c>
      <c r="AF98">
        <v>32.652644947362113</v>
      </c>
    </row>
    <row r="99" spans="24:32" x14ac:dyDescent="0.35">
      <c r="X99">
        <v>0.30441400304413996</v>
      </c>
      <c r="Y99">
        <v>2.7522755757189769E-5</v>
      </c>
      <c r="Z99">
        <v>9.7856955802433405E-6</v>
      </c>
      <c r="AA99" s="3">
        <v>9.7856955802433401</v>
      </c>
      <c r="AB99" s="3">
        <v>12.247428761255744</v>
      </c>
      <c r="AC99">
        <v>27.385200000000001</v>
      </c>
      <c r="AD99" s="16">
        <v>65</v>
      </c>
      <c r="AE99" s="17">
        <v>575</v>
      </c>
      <c r="AF99">
        <v>27.522755757189771</v>
      </c>
    </row>
    <row r="100" spans="24:32" x14ac:dyDescent="0.35">
      <c r="X100">
        <v>0.25811437403400295</v>
      </c>
      <c r="Y100">
        <v>2.2464035039880977E-5</v>
      </c>
      <c r="Z100">
        <v>2.7513865876714822E-6</v>
      </c>
      <c r="AA100" s="3">
        <v>2.7513865876714823</v>
      </c>
      <c r="AB100" s="3">
        <v>4.9044324200917693</v>
      </c>
      <c r="AC100">
        <v>27.385200000000001</v>
      </c>
      <c r="AD100" s="16">
        <v>12.9</v>
      </c>
      <c r="AE100" s="17">
        <v>270</v>
      </c>
      <c r="AF100">
        <v>22.464035039880976</v>
      </c>
    </row>
    <row r="101" spans="24:32" x14ac:dyDescent="0.35">
      <c r="X101">
        <v>0.10819165378670781</v>
      </c>
      <c r="Y101">
        <v>7.702637845597036E-6</v>
      </c>
      <c r="Z101">
        <v>1.3700078049156354E-6</v>
      </c>
      <c r="AA101" s="3">
        <v>1.3700078049156355</v>
      </c>
      <c r="AB101" s="3" t="s">
        <v>64</v>
      </c>
      <c r="AC101">
        <v>27.385200000000001</v>
      </c>
      <c r="AD101" s="16">
        <v>17.7</v>
      </c>
      <c r="AE101" s="17">
        <v>375</v>
      </c>
      <c r="AF101">
        <v>7.7026378455970361</v>
      </c>
    </row>
    <row r="102" spans="24:32" x14ac:dyDescent="0.35">
      <c r="X102">
        <v>9.96015936254981E-2</v>
      </c>
      <c r="Y102">
        <v>6.9568519462602977E-6</v>
      </c>
      <c r="Z102">
        <v>3.8809457048249789E-6</v>
      </c>
      <c r="AA102" s="3">
        <v>3.8809457048249789</v>
      </c>
      <c r="AB102" s="3">
        <v>12.438928541105703</v>
      </c>
      <c r="AC102">
        <v>27.385200000000001</v>
      </c>
      <c r="AD102" s="16">
        <v>85</v>
      </c>
      <c r="AE102" s="17">
        <v>767</v>
      </c>
      <c r="AF102">
        <v>6.956851946260298</v>
      </c>
    </row>
    <row r="103" spans="24:32" x14ac:dyDescent="0.35">
      <c r="X103">
        <v>0.35205992509363282</v>
      </c>
      <c r="Y103">
        <v>3.2917889756924351E-5</v>
      </c>
      <c r="Z103">
        <v>1.2879857119622639E-5</v>
      </c>
      <c r="AA103" s="3">
        <v>12.879857119622638</v>
      </c>
      <c r="AB103" s="3">
        <v>11.161054696380102</v>
      </c>
      <c r="AC103">
        <v>27.385200000000001</v>
      </c>
      <c r="AD103" s="16">
        <v>59.2</v>
      </c>
      <c r="AE103" s="17">
        <v>370</v>
      </c>
      <c r="AF103">
        <v>32.917889756924353</v>
      </c>
    </row>
    <row r="104" spans="24:32" x14ac:dyDescent="0.35">
      <c r="X104">
        <v>0.37029288702928881</v>
      </c>
      <c r="Y104">
        <v>3.5028884837824529E-5</v>
      </c>
      <c r="Z104">
        <v>4.3666925958813755E-6</v>
      </c>
      <c r="AA104" s="3">
        <v>4.3666925958813758</v>
      </c>
      <c r="AB104" s="3">
        <v>8.4955108869287468</v>
      </c>
      <c r="AC104">
        <v>27.385200000000001</v>
      </c>
      <c r="AD104" s="16">
        <v>37.4</v>
      </c>
      <c r="AE104" s="17">
        <v>677</v>
      </c>
      <c r="AF104">
        <v>35.028884837824528</v>
      </c>
    </row>
    <row r="105" spans="24:32" x14ac:dyDescent="0.35">
      <c r="X105">
        <v>0.23103448275862071</v>
      </c>
      <c r="Y105">
        <v>1.9598963680461674E-5</v>
      </c>
      <c r="Z105">
        <v>9.2168959811814645E-6</v>
      </c>
      <c r="AA105" s="3">
        <v>9.2168959811814641</v>
      </c>
      <c r="AB105" s="3">
        <v>62.6999726610984</v>
      </c>
      <c r="AC105">
        <v>27.385200000000001</v>
      </c>
      <c r="AD105" s="16">
        <v>73</v>
      </c>
      <c r="AE105" s="17">
        <v>800</v>
      </c>
      <c r="AF105">
        <v>19.598963680461672</v>
      </c>
    </row>
    <row r="106" spans="24:32" x14ac:dyDescent="0.35">
      <c r="X106">
        <v>0.30650684931506861</v>
      </c>
      <c r="Y106">
        <v>2.7755868914346271E-5</v>
      </c>
      <c r="Z106">
        <v>1.0388476227731133E-5</v>
      </c>
      <c r="AA106" s="3">
        <v>10.388476227731134</v>
      </c>
      <c r="AB106" s="3">
        <v>49.944597248707375</v>
      </c>
      <c r="AC106">
        <v>27.385200000000001</v>
      </c>
      <c r="AD106" s="16">
        <v>55.9</v>
      </c>
      <c r="AE106" s="17">
        <v>590</v>
      </c>
      <c r="AF106">
        <v>27.755868914346273</v>
      </c>
    </row>
    <row r="107" spans="24:32" x14ac:dyDescent="0.35">
      <c r="X107">
        <v>0.20298507462686569</v>
      </c>
      <c r="Y107">
        <v>1.671226353782392E-5</v>
      </c>
      <c r="Z107">
        <v>5.9597044812631735E-6</v>
      </c>
      <c r="AA107" s="3">
        <v>5.9597044812631736</v>
      </c>
      <c r="AB107" s="3">
        <v>5.8428475306501699</v>
      </c>
      <c r="AC107">
        <v>27.385200000000001</v>
      </c>
      <c r="AD107" s="16">
        <v>57</v>
      </c>
      <c r="AE107" s="17">
        <v>720</v>
      </c>
      <c r="AF107">
        <v>16.712263537823919</v>
      </c>
    </row>
    <row r="108" spans="24:32" x14ac:dyDescent="0.35">
      <c r="X108">
        <v>4.4657097288676277E-2</v>
      </c>
      <c r="Y108">
        <v>2.5915652935884703E-6</v>
      </c>
      <c r="Z108">
        <v>2.28151712105983E-6</v>
      </c>
      <c r="AA108" s="3">
        <v>2.2815171210598302</v>
      </c>
      <c r="AB108" s="3">
        <v>2.3162610366089651</v>
      </c>
      <c r="AC108">
        <v>27.385200000000001</v>
      </c>
      <c r="AD108" s="16">
        <v>80</v>
      </c>
      <c r="AE108" s="17">
        <v>715</v>
      </c>
      <c r="AF108">
        <v>2.5915652935884701</v>
      </c>
    </row>
    <row r="109" spans="24:32" x14ac:dyDescent="0.35">
      <c r="X109">
        <v>0.15456238361266286</v>
      </c>
      <c r="Y109">
        <v>1.1949060152625587E-5</v>
      </c>
      <c r="Z109">
        <v>3.8600837337241537E-6</v>
      </c>
      <c r="AA109" s="3">
        <v>3.8600837337241538</v>
      </c>
      <c r="AB109" s="3">
        <v>5.0130957580833169</v>
      </c>
      <c r="AC109">
        <v>27.385200000000001</v>
      </c>
      <c r="AD109" s="16">
        <v>60</v>
      </c>
      <c r="AE109" s="16">
        <v>537</v>
      </c>
      <c r="AF109">
        <v>11.949060152625588</v>
      </c>
    </row>
    <row r="110" spans="24:32" x14ac:dyDescent="0.35">
      <c r="X110">
        <v>0.26388888888888895</v>
      </c>
      <c r="Y110">
        <v>2.3084280405542594E-5</v>
      </c>
      <c r="Z110">
        <v>3.5884427324364446E-6</v>
      </c>
      <c r="AA110" s="3">
        <v>3.5884427324364445</v>
      </c>
      <c r="AB110" s="3">
        <v>8.0458357229516686</v>
      </c>
      <c r="AC110">
        <v>27.385200000000001</v>
      </c>
      <c r="AD110" s="16">
        <v>33.9</v>
      </c>
      <c r="AE110" s="17">
        <v>590</v>
      </c>
      <c r="AF110">
        <v>23.084280405542593</v>
      </c>
    </row>
    <row r="111" spans="24:32" x14ac:dyDescent="0.35">
      <c r="X111">
        <v>0.45434298440979959</v>
      </c>
      <c r="Y111">
        <v>4.5059508655774608E-5</v>
      </c>
      <c r="Z111">
        <v>1.7483506269854657E-5</v>
      </c>
      <c r="AA111" s="3">
        <v>17.483506269854658</v>
      </c>
      <c r="AB111" s="3">
        <v>45.768341020561927</v>
      </c>
      <c r="AC111">
        <v>24.828800000000001</v>
      </c>
      <c r="AD111" s="16">
        <v>57.8</v>
      </c>
      <c r="AE111" s="17">
        <v>500</v>
      </c>
      <c r="AF111">
        <v>45.059508655774607</v>
      </c>
    </row>
    <row r="112" spans="24:32" x14ac:dyDescent="0.35">
      <c r="X112">
        <v>1.6014234875444656E-2</v>
      </c>
      <c r="Y112">
        <v>7.3332093929594788E-7</v>
      </c>
      <c r="Z112">
        <v>6.7193396267065708E-8</v>
      </c>
      <c r="AA112" s="3">
        <v>6.7193396267065705E-2</v>
      </c>
      <c r="AB112" s="3">
        <v>9.2552887420200694E-2</v>
      </c>
      <c r="AC112">
        <v>24.828800000000001</v>
      </c>
      <c r="AD112" s="16">
        <v>26</v>
      </c>
      <c r="AE112" s="17">
        <v>300</v>
      </c>
      <c r="AF112">
        <v>0.73332093929594788</v>
      </c>
    </row>
    <row r="113" spans="24:32" x14ac:dyDescent="0.35">
      <c r="X113">
        <v>4.8114434330299133E-2</v>
      </c>
      <c r="Y113">
        <v>2.8407169290307863E-6</v>
      </c>
      <c r="Z113">
        <v>2.5551415381302867E-7</v>
      </c>
      <c r="AA113" s="3">
        <v>0.25551415381302867</v>
      </c>
      <c r="AB113" s="3">
        <v>0.14476722595639016</v>
      </c>
      <c r="AC113">
        <v>24.828800000000001</v>
      </c>
      <c r="AD113" s="16">
        <v>36.200000000000003</v>
      </c>
      <c r="AE113" s="17">
        <v>390</v>
      </c>
      <c r="AF113">
        <v>2.8407169290307865</v>
      </c>
    </row>
    <row r="114" spans="24:32" x14ac:dyDescent="0.35">
      <c r="X114">
        <v>0.42129629629629628</v>
      </c>
      <c r="Y114">
        <v>4.1059565348686452E-5</v>
      </c>
      <c r="Z114">
        <v>5.1429091840306192E-6</v>
      </c>
      <c r="AA114" s="3">
        <v>5.1429091840306196</v>
      </c>
      <c r="AB114" s="3">
        <v>8.5288709519579093</v>
      </c>
      <c r="AC114">
        <v>24.828800000000001</v>
      </c>
      <c r="AD114" s="16">
        <v>40.700000000000003</v>
      </c>
      <c r="AE114" s="17">
        <v>335</v>
      </c>
      <c r="AF114">
        <v>41.059565348686455</v>
      </c>
    </row>
    <row r="115" spans="24:32" x14ac:dyDescent="0.35">
      <c r="X115">
        <v>0.12125984251968497</v>
      </c>
      <c r="Y115">
        <v>8.8634456962035135E-6</v>
      </c>
      <c r="Z115">
        <v>1.2861989525290399E-6</v>
      </c>
      <c r="AA115" s="3">
        <v>1.2861989525290398</v>
      </c>
      <c r="AB115" s="3">
        <v>6.154061973823155</v>
      </c>
      <c r="AC115">
        <v>24.828800000000001</v>
      </c>
      <c r="AD115" s="16">
        <v>33</v>
      </c>
      <c r="AE115" s="17">
        <v>390</v>
      </c>
      <c r="AF115">
        <v>8.8634456962035131</v>
      </c>
    </row>
    <row r="116" spans="24:32" x14ac:dyDescent="0.35">
      <c r="X116">
        <v>0.34987593052109184</v>
      </c>
      <c r="Y116">
        <v>3.2666693466679691E-5</v>
      </c>
      <c r="Z116">
        <v>1.2974195908032674E-5</v>
      </c>
      <c r="AA116" s="3">
        <v>12.974195908032673</v>
      </c>
      <c r="AB116" s="3">
        <v>12.035432196690794</v>
      </c>
      <c r="AC116">
        <v>24.828800000000001</v>
      </c>
      <c r="AD116" s="16">
        <v>57.7</v>
      </c>
      <c r="AE116" s="17">
        <v>360</v>
      </c>
      <c r="AF116">
        <v>32.666693466679689</v>
      </c>
    </row>
    <row r="117" spans="24:32" x14ac:dyDescent="0.35">
      <c r="X117">
        <v>0.56249999999999989</v>
      </c>
      <c r="Y117">
        <v>5.860677069243904E-5</v>
      </c>
      <c r="Z117">
        <v>7.4848236290231121E-6</v>
      </c>
      <c r="AA117" s="3">
        <v>7.4848236290231123</v>
      </c>
      <c r="AB117" s="3">
        <v>14.999646551148521</v>
      </c>
      <c r="AC117">
        <v>24.828800000000001</v>
      </c>
      <c r="AD117" s="16">
        <v>20.2</v>
      </c>
      <c r="AE117" s="17">
        <v>300</v>
      </c>
      <c r="AF117">
        <v>58.606770692439042</v>
      </c>
    </row>
    <row r="118" spans="24:32" x14ac:dyDescent="0.35">
      <c r="X118">
        <v>0.26156941649899396</v>
      </c>
      <c r="Y118">
        <v>2.2834763267595244E-5</v>
      </c>
      <c r="Z118">
        <v>1.0341389753822119E-5</v>
      </c>
      <c r="AA118" s="3">
        <v>10.341389753822119</v>
      </c>
      <c r="AB118" s="3">
        <v>65.868724546637694</v>
      </c>
      <c r="AC118">
        <v>24.828800000000001</v>
      </c>
      <c r="AD118" s="16">
        <v>31</v>
      </c>
      <c r="AE118" s="17">
        <v>440</v>
      </c>
      <c r="AF118">
        <v>22.834763267595243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161C-8F23-4170-87E4-BE5AA681586B}">
  <dimension ref="A1:U94"/>
  <sheetViews>
    <sheetView workbookViewId="0">
      <selection activeCell="B1" activeCellId="6" sqref="R1:R1048576 Q1:Q1048576 G1:G1048576 F1:F1048576 D1:D1048576 C1:C1048576 B1:B1048576"/>
    </sheetView>
  </sheetViews>
  <sheetFormatPr defaultRowHeight="14.5" x14ac:dyDescent="0.35"/>
  <cols>
    <col min="1" max="1" width="10.08984375" bestFit="1" customWidth="1"/>
    <col min="2" max="2" width="6.81640625" bestFit="1" customWidth="1"/>
    <col min="3" max="3" width="4" bestFit="1" customWidth="1"/>
    <col min="4" max="4" width="9.1796875" bestFit="1" customWidth="1"/>
    <col min="5" max="5" width="8.1796875" bestFit="1" customWidth="1"/>
    <col min="6" max="6" width="7.1796875" bestFit="1" customWidth="1"/>
    <col min="7" max="7" width="8" bestFit="1" customWidth="1"/>
    <col min="8" max="9" width="12.6328125" bestFit="1" customWidth="1"/>
    <col min="10" max="10" width="7.81640625" bestFit="1" customWidth="1"/>
    <col min="11" max="11" width="7.81640625" style="1" customWidth="1"/>
    <col min="12" max="12" width="7.81640625" bestFit="1" customWidth="1"/>
    <col min="13" max="13" width="7.81640625" style="1" customWidth="1"/>
    <col min="14" max="14" width="12.453125" bestFit="1" customWidth="1"/>
    <col min="15" max="15" width="11" bestFit="1" customWidth="1"/>
    <col min="16" max="16" width="10" bestFit="1" customWidth="1"/>
  </cols>
  <sheetData>
    <row r="1" spans="1:21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254</v>
      </c>
      <c r="K1" t="s">
        <v>27</v>
      </c>
      <c r="L1" t="s">
        <v>255</v>
      </c>
      <c r="M1" t="s">
        <v>28</v>
      </c>
      <c r="N1" t="s">
        <v>29</v>
      </c>
      <c r="O1" t="s">
        <v>30</v>
      </c>
      <c r="P1" t="s">
        <v>31</v>
      </c>
      <c r="Q1" t="s">
        <v>19</v>
      </c>
      <c r="R1" t="s">
        <v>20</v>
      </c>
      <c r="S1" t="s">
        <v>256</v>
      </c>
      <c r="T1" t="s">
        <v>257</v>
      </c>
      <c r="U1" t="s">
        <v>258</v>
      </c>
    </row>
    <row r="2" spans="1:21" x14ac:dyDescent="0.35">
      <c r="A2" s="5">
        <v>44723</v>
      </c>
      <c r="B2" t="s">
        <v>32</v>
      </c>
      <c r="C2" t="s">
        <v>34</v>
      </c>
      <c r="D2" t="s">
        <v>35</v>
      </c>
      <c r="E2">
        <v>1</v>
      </c>
      <c r="F2" t="s">
        <v>36</v>
      </c>
      <c r="G2" t="s">
        <v>24</v>
      </c>
      <c r="H2" t="s">
        <v>37</v>
      </c>
      <c r="I2" t="s">
        <v>37</v>
      </c>
      <c r="J2" s="1">
        <v>1.7110000000000003</v>
      </c>
      <c r="K2" s="1">
        <f>-J2</f>
        <v>-1.7110000000000003</v>
      </c>
      <c r="L2" s="1">
        <v>1.177</v>
      </c>
      <c r="M2" s="1">
        <f t="shared" ref="M2:M33" si="0">-L2</f>
        <v>-1.177</v>
      </c>
      <c r="N2">
        <v>19.988138213631565</v>
      </c>
      <c r="O2" s="3">
        <v>6.4322370865922984</v>
      </c>
      <c r="P2" s="3">
        <v>14.9618913210317</v>
      </c>
      <c r="Q2">
        <v>81.5</v>
      </c>
      <c r="R2">
        <v>800</v>
      </c>
      <c r="S2">
        <v>498.5</v>
      </c>
      <c r="T2">
        <v>0.90277777800000003</v>
      </c>
    </row>
    <row r="3" spans="1:21" x14ac:dyDescent="0.35">
      <c r="A3" s="5">
        <v>44723</v>
      </c>
      <c r="B3" t="s">
        <v>32</v>
      </c>
      <c r="C3" t="s">
        <v>34</v>
      </c>
      <c r="D3" t="s">
        <v>35</v>
      </c>
      <c r="E3">
        <v>16</v>
      </c>
      <c r="F3" t="s">
        <v>43</v>
      </c>
      <c r="G3" t="s">
        <v>44</v>
      </c>
      <c r="H3" t="s">
        <v>45</v>
      </c>
      <c r="I3" t="s">
        <v>45</v>
      </c>
      <c r="J3" s="1">
        <v>0.28099999999999997</v>
      </c>
      <c r="K3" s="1">
        <f t="shared" ref="K2:K33" si="1">-J3</f>
        <v>-0.28099999999999997</v>
      </c>
      <c r="L3" s="1">
        <v>1.157</v>
      </c>
      <c r="M3" s="1">
        <f t="shared" si="0"/>
        <v>-1.157</v>
      </c>
      <c r="N3">
        <v>-1.7103511722298208</v>
      </c>
      <c r="O3" s="3">
        <v>83.108465435344044</v>
      </c>
      <c r="P3" s="3">
        <v>-1.2947261567903361</v>
      </c>
      <c r="Q3">
        <v>73</v>
      </c>
      <c r="R3">
        <v>794</v>
      </c>
      <c r="S3">
        <v>623</v>
      </c>
      <c r="T3">
        <v>0.48369451499999999</v>
      </c>
    </row>
    <row r="4" spans="1:21" x14ac:dyDescent="0.35">
      <c r="A4" s="5">
        <v>44723</v>
      </c>
      <c r="B4" t="s">
        <v>32</v>
      </c>
      <c r="C4" t="s">
        <v>34</v>
      </c>
      <c r="D4" t="s">
        <v>35</v>
      </c>
      <c r="E4">
        <v>10</v>
      </c>
      <c r="F4" t="s">
        <v>50</v>
      </c>
      <c r="G4" t="s">
        <v>51</v>
      </c>
      <c r="H4" t="s">
        <v>52</v>
      </c>
      <c r="I4" t="s">
        <v>52</v>
      </c>
      <c r="J4" s="1">
        <v>8.999999999999897E-3</v>
      </c>
      <c r="K4" s="1">
        <f t="shared" si="1"/>
        <v>-8.999999999999897E-3</v>
      </c>
      <c r="L4" s="1">
        <v>6.999999999999984E-2</v>
      </c>
      <c r="M4" s="1">
        <f t="shared" si="0"/>
        <v>-6.999999999999984E-2</v>
      </c>
      <c r="N4">
        <v>15.131552108242794</v>
      </c>
      <c r="O4" s="3">
        <v>16.398717251267517</v>
      </c>
      <c r="P4" s="3">
        <v>7.602091779181178</v>
      </c>
      <c r="Q4">
        <v>77.099999999999994</v>
      </c>
      <c r="R4">
        <v>720</v>
      </c>
      <c r="S4">
        <v>591.4</v>
      </c>
      <c r="T4">
        <v>0.73566449599999995</v>
      </c>
    </row>
    <row r="5" spans="1:21" x14ac:dyDescent="0.35">
      <c r="A5" s="5">
        <v>44723</v>
      </c>
      <c r="B5" t="s">
        <v>32</v>
      </c>
      <c r="C5" t="s">
        <v>34</v>
      </c>
      <c r="D5" t="s">
        <v>35</v>
      </c>
      <c r="E5">
        <v>3</v>
      </c>
      <c r="F5" t="s">
        <v>53</v>
      </c>
      <c r="G5" t="s">
        <v>54</v>
      </c>
      <c r="H5" t="s">
        <v>55</v>
      </c>
      <c r="I5" t="s">
        <v>55</v>
      </c>
      <c r="J5" s="1">
        <v>1.2539999999999998</v>
      </c>
      <c r="K5" s="1">
        <f t="shared" si="1"/>
        <v>-1.2539999999999998</v>
      </c>
      <c r="L5" s="1">
        <v>1.2780000000000002</v>
      </c>
      <c r="M5" s="1">
        <f t="shared" si="0"/>
        <v>-1.2780000000000002</v>
      </c>
      <c r="N5">
        <v>-3.8072459624314927</v>
      </c>
      <c r="O5" s="3">
        <v>-0.6862897293981054</v>
      </c>
      <c r="P5" s="3">
        <v>-0.8003893472607384</v>
      </c>
      <c r="Q5">
        <v>12.1</v>
      </c>
      <c r="R5">
        <v>290</v>
      </c>
      <c r="T5">
        <v>0.34145366799999999</v>
      </c>
    </row>
    <row r="6" spans="1:21" x14ac:dyDescent="0.35">
      <c r="A6" s="5">
        <v>44723</v>
      </c>
      <c r="B6" t="s">
        <v>32</v>
      </c>
      <c r="C6" t="s">
        <v>34</v>
      </c>
      <c r="D6" t="s">
        <v>35</v>
      </c>
      <c r="E6">
        <v>12</v>
      </c>
      <c r="F6" t="s">
        <v>53</v>
      </c>
      <c r="G6" t="s">
        <v>56</v>
      </c>
      <c r="H6" t="s">
        <v>57</v>
      </c>
      <c r="I6" t="s">
        <v>57</v>
      </c>
      <c r="J6" s="1">
        <v>1.1869999999999998</v>
      </c>
      <c r="K6" s="1">
        <f t="shared" si="1"/>
        <v>-1.1869999999999998</v>
      </c>
      <c r="L6" s="1">
        <v>1.532</v>
      </c>
      <c r="M6" s="1">
        <f t="shared" si="0"/>
        <v>-1.532</v>
      </c>
      <c r="N6">
        <v>2.0114919023203095</v>
      </c>
      <c r="O6" s="3">
        <v>0.22600426924917505</v>
      </c>
      <c r="P6" s="3">
        <v>0.14785322377604665</v>
      </c>
      <c r="Q6">
        <v>27</v>
      </c>
      <c r="R6">
        <v>244</v>
      </c>
    </row>
    <row r="7" spans="1:21" x14ac:dyDescent="0.35">
      <c r="A7" s="5">
        <v>44723</v>
      </c>
      <c r="B7" t="s">
        <v>32</v>
      </c>
      <c r="C7" t="s">
        <v>34</v>
      </c>
      <c r="D7" t="s">
        <v>35</v>
      </c>
      <c r="E7">
        <v>9</v>
      </c>
      <c r="F7" t="s">
        <v>58</v>
      </c>
      <c r="G7" t="s">
        <v>59</v>
      </c>
      <c r="H7" t="s">
        <v>60</v>
      </c>
      <c r="I7" t="s">
        <v>60</v>
      </c>
      <c r="J7" s="1">
        <v>0.32700000000000007</v>
      </c>
      <c r="K7" s="1">
        <f t="shared" si="1"/>
        <v>-0.32700000000000007</v>
      </c>
      <c r="L7" s="1">
        <v>0.17700000000000005</v>
      </c>
      <c r="M7" s="1">
        <f t="shared" si="0"/>
        <v>-0.17700000000000005</v>
      </c>
      <c r="N7">
        <v>-4.5840627272491092</v>
      </c>
      <c r="O7" s="3">
        <v>-52.094800961950547</v>
      </c>
      <c r="P7" s="3">
        <v>-3.9071100721462879</v>
      </c>
      <c r="Q7">
        <v>128</v>
      </c>
      <c r="R7">
        <v>930</v>
      </c>
      <c r="T7">
        <v>0.80808080800000004</v>
      </c>
    </row>
    <row r="8" spans="1:21" x14ac:dyDescent="0.35">
      <c r="A8" s="5">
        <v>44723</v>
      </c>
      <c r="B8" t="s">
        <v>32</v>
      </c>
      <c r="C8" t="s">
        <v>34</v>
      </c>
      <c r="D8" t="s">
        <v>35</v>
      </c>
      <c r="E8">
        <v>11</v>
      </c>
      <c r="F8" t="s">
        <v>61</v>
      </c>
      <c r="G8" t="s">
        <v>62</v>
      </c>
      <c r="H8" t="s">
        <v>63</v>
      </c>
      <c r="I8" t="s">
        <v>63</v>
      </c>
      <c r="J8" s="1" t="e">
        <v>#VALUE!</v>
      </c>
      <c r="K8" s="1" t="e">
        <f t="shared" si="1"/>
        <v>#VALUE!</v>
      </c>
      <c r="L8" s="1" t="e">
        <v>#VALUE!</v>
      </c>
      <c r="M8" s="1" t="e">
        <f t="shared" si="0"/>
        <v>#VALUE!</v>
      </c>
      <c r="N8">
        <v>-0.26870139207592292</v>
      </c>
      <c r="O8" s="3" t="e">
        <v>#VALUE!</v>
      </c>
      <c r="P8" s="3">
        <v>-0.11896506525828654</v>
      </c>
      <c r="Q8">
        <v>56.6</v>
      </c>
      <c r="R8">
        <v>445</v>
      </c>
      <c r="S8">
        <v>564.6</v>
      </c>
      <c r="T8">
        <v>1</v>
      </c>
    </row>
    <row r="9" spans="1:21" x14ac:dyDescent="0.35">
      <c r="A9" s="5">
        <v>44723</v>
      </c>
      <c r="B9" t="s">
        <v>32</v>
      </c>
      <c r="C9" t="s">
        <v>34</v>
      </c>
      <c r="D9" t="s">
        <v>35</v>
      </c>
      <c r="E9">
        <v>8</v>
      </c>
      <c r="F9" t="s">
        <v>61</v>
      </c>
      <c r="G9" t="s">
        <v>65</v>
      </c>
      <c r="H9" t="s">
        <v>66</v>
      </c>
      <c r="I9" t="s">
        <v>66</v>
      </c>
      <c r="J9" s="1">
        <v>2.3579999999999997</v>
      </c>
      <c r="K9" s="1">
        <f t="shared" si="1"/>
        <v>-2.3579999999999997</v>
      </c>
      <c r="L9" s="1">
        <v>2.1059999999999999</v>
      </c>
      <c r="M9" s="1">
        <f t="shared" si="0"/>
        <v>-2.1059999999999999</v>
      </c>
      <c r="N9">
        <v>21.834177184765188</v>
      </c>
      <c r="O9" s="3">
        <v>18.515696113043688</v>
      </c>
      <c r="P9" s="3">
        <v>12.065085632890522</v>
      </c>
      <c r="Q9">
        <v>74.8</v>
      </c>
      <c r="R9">
        <v>670</v>
      </c>
    </row>
    <row r="10" spans="1:21" x14ac:dyDescent="0.35">
      <c r="A10" s="5">
        <v>44723</v>
      </c>
      <c r="B10" t="s">
        <v>32</v>
      </c>
      <c r="C10" t="s">
        <v>34</v>
      </c>
      <c r="D10" t="s">
        <v>35</v>
      </c>
      <c r="E10">
        <v>7</v>
      </c>
      <c r="F10" t="s">
        <v>61</v>
      </c>
      <c r="G10" t="s">
        <v>67</v>
      </c>
      <c r="H10" t="s">
        <v>68</v>
      </c>
      <c r="I10" t="s">
        <v>68</v>
      </c>
      <c r="J10" s="1">
        <v>2.2070000000000003</v>
      </c>
      <c r="K10" s="1">
        <f t="shared" si="1"/>
        <v>-2.2070000000000003</v>
      </c>
      <c r="L10" s="1">
        <v>2.081</v>
      </c>
      <c r="M10" s="1">
        <f t="shared" si="0"/>
        <v>-2.081</v>
      </c>
      <c r="N10">
        <v>23.801788621538456</v>
      </c>
      <c r="O10" s="3">
        <v>23.109893115244514</v>
      </c>
      <c r="P10" s="3">
        <v>10.650577428809079</v>
      </c>
      <c r="Q10">
        <v>70.599999999999994</v>
      </c>
      <c r="R10">
        <v>700</v>
      </c>
    </row>
    <row r="11" spans="1:21" x14ac:dyDescent="0.35">
      <c r="A11" s="5">
        <v>44723</v>
      </c>
      <c r="B11" t="s">
        <v>32</v>
      </c>
      <c r="C11" t="s">
        <v>34</v>
      </c>
      <c r="D11" t="s">
        <v>35</v>
      </c>
      <c r="E11">
        <v>6</v>
      </c>
      <c r="F11" t="s">
        <v>69</v>
      </c>
      <c r="G11" t="s">
        <v>70</v>
      </c>
      <c r="H11" t="s">
        <v>71</v>
      </c>
      <c r="I11" t="s">
        <v>71</v>
      </c>
      <c r="J11" s="1">
        <v>0.84900000000000009</v>
      </c>
      <c r="K11" s="1">
        <f t="shared" si="1"/>
        <v>-0.84900000000000009</v>
      </c>
      <c r="L11" s="1">
        <v>1.605</v>
      </c>
      <c r="M11" s="1">
        <f t="shared" si="0"/>
        <v>-1.605</v>
      </c>
      <c r="N11">
        <v>1.2887039953737798</v>
      </c>
      <c r="O11" s="3">
        <v>36.641864576396635</v>
      </c>
      <c r="P11" s="3">
        <v>1.7493404456241777</v>
      </c>
      <c r="Q11">
        <v>136.30000000000001</v>
      </c>
      <c r="R11">
        <v>832</v>
      </c>
      <c r="S11">
        <v>621</v>
      </c>
      <c r="T11">
        <v>0.90104166699999999</v>
      </c>
    </row>
    <row r="12" spans="1:21" x14ac:dyDescent="0.35">
      <c r="A12" s="5">
        <v>44723</v>
      </c>
      <c r="B12" t="s">
        <v>32</v>
      </c>
      <c r="C12" t="s">
        <v>34</v>
      </c>
      <c r="D12" t="s">
        <v>35</v>
      </c>
      <c r="E12">
        <v>15</v>
      </c>
      <c r="F12" t="s">
        <v>72</v>
      </c>
      <c r="G12" t="s">
        <v>73</v>
      </c>
      <c r="H12" t="s">
        <v>74</v>
      </c>
      <c r="I12" t="s">
        <v>74</v>
      </c>
      <c r="J12" s="1">
        <v>2.1310000000000002</v>
      </c>
      <c r="K12" s="1">
        <f t="shared" si="1"/>
        <v>-2.1310000000000002</v>
      </c>
      <c r="L12" s="1">
        <v>2.0960000000000001</v>
      </c>
      <c r="M12" s="1">
        <f t="shared" si="0"/>
        <v>-2.0960000000000001</v>
      </c>
      <c r="N12">
        <v>18.907935782590705</v>
      </c>
      <c r="O12" s="3">
        <v>12.382354402462607</v>
      </c>
      <c r="P12" s="3">
        <v>13.101087410003689</v>
      </c>
      <c r="Q12">
        <v>79.7</v>
      </c>
      <c r="R12">
        <v>858</v>
      </c>
      <c r="T12">
        <v>0.62404968500000002</v>
      </c>
    </row>
    <row r="13" spans="1:21" x14ac:dyDescent="0.35">
      <c r="A13" s="5">
        <v>44723</v>
      </c>
      <c r="B13" t="s">
        <v>32</v>
      </c>
      <c r="C13" t="s">
        <v>34</v>
      </c>
      <c r="D13" t="s">
        <v>35</v>
      </c>
      <c r="E13">
        <v>2</v>
      </c>
      <c r="F13" t="s">
        <v>75</v>
      </c>
      <c r="G13" t="s">
        <v>76</v>
      </c>
      <c r="H13" t="s">
        <v>77</v>
      </c>
      <c r="I13" t="s">
        <v>77</v>
      </c>
      <c r="J13" s="1">
        <v>1.0049999999999999</v>
      </c>
      <c r="K13" s="1">
        <f t="shared" si="1"/>
        <v>-1.0049999999999999</v>
      </c>
      <c r="L13" s="1">
        <v>0.7849999999999997</v>
      </c>
      <c r="M13" s="1">
        <f t="shared" si="0"/>
        <v>-0.7849999999999997</v>
      </c>
      <c r="N13">
        <v>-1.9226115930512511</v>
      </c>
      <c r="O13" s="3">
        <v>-0.68545257787552905</v>
      </c>
      <c r="P13" s="3">
        <v>-0.50683674607762508</v>
      </c>
      <c r="Q13">
        <v>51.9</v>
      </c>
      <c r="R13">
        <v>645</v>
      </c>
      <c r="T13">
        <v>0.12675614800000001</v>
      </c>
    </row>
    <row r="14" spans="1:21" x14ac:dyDescent="0.35">
      <c r="A14" s="5">
        <v>44723</v>
      </c>
      <c r="B14" t="s">
        <v>32</v>
      </c>
      <c r="C14" t="s">
        <v>34</v>
      </c>
      <c r="D14" t="s">
        <v>35</v>
      </c>
      <c r="E14">
        <v>13</v>
      </c>
      <c r="F14" t="s">
        <v>78</v>
      </c>
      <c r="G14" t="s">
        <v>79</v>
      </c>
      <c r="H14" t="s">
        <v>80</v>
      </c>
      <c r="I14" t="s">
        <v>80</v>
      </c>
      <c r="J14" s="1">
        <v>0.45399999999999996</v>
      </c>
      <c r="K14" s="1">
        <f t="shared" si="1"/>
        <v>-0.45399999999999996</v>
      </c>
      <c r="L14" s="1">
        <v>3.8000000000000145E-2</v>
      </c>
      <c r="M14" s="1">
        <f t="shared" si="0"/>
        <v>-3.8000000000000145E-2</v>
      </c>
      <c r="N14">
        <v>2.061760944598257</v>
      </c>
      <c r="O14" s="3">
        <v>-62.344840230428915</v>
      </c>
      <c r="P14" s="3">
        <v>1.2921028341060679</v>
      </c>
      <c r="Q14">
        <v>90</v>
      </c>
      <c r="R14">
        <v>735</v>
      </c>
      <c r="S14">
        <v>655.75</v>
      </c>
      <c r="T14">
        <v>0.84736842099999998</v>
      </c>
    </row>
    <row r="15" spans="1:21" x14ac:dyDescent="0.35">
      <c r="A15" s="5">
        <v>44723</v>
      </c>
      <c r="B15" t="s">
        <v>32</v>
      </c>
      <c r="C15" t="s">
        <v>34</v>
      </c>
      <c r="D15" t="s">
        <v>35</v>
      </c>
      <c r="E15">
        <v>5</v>
      </c>
      <c r="F15" t="s">
        <v>81</v>
      </c>
      <c r="G15" t="s">
        <v>82</v>
      </c>
      <c r="H15" t="s">
        <v>83</v>
      </c>
      <c r="I15" t="s">
        <v>83</v>
      </c>
      <c r="J15" s="1">
        <v>2.1960000000000002</v>
      </c>
      <c r="K15" s="1">
        <f t="shared" si="1"/>
        <v>-2.1960000000000002</v>
      </c>
      <c r="L15" s="1">
        <v>1.5629999999999997</v>
      </c>
      <c r="M15" s="1">
        <f t="shared" si="0"/>
        <v>-1.5629999999999997</v>
      </c>
      <c r="N15">
        <v>0.39407094275716192</v>
      </c>
      <c r="O15" s="3">
        <v>-0.41293132323861992</v>
      </c>
      <c r="P15" s="3">
        <v>3.605546518593522E-2</v>
      </c>
      <c r="Q15">
        <v>20</v>
      </c>
      <c r="R15">
        <v>384</v>
      </c>
      <c r="S15">
        <v>488.8</v>
      </c>
      <c r="T15">
        <v>0.32133852400000001</v>
      </c>
    </row>
    <row r="16" spans="1:21" x14ac:dyDescent="0.35">
      <c r="A16" s="5">
        <v>44723</v>
      </c>
      <c r="B16" t="s">
        <v>32</v>
      </c>
      <c r="C16" t="s">
        <v>34</v>
      </c>
      <c r="D16" t="s">
        <v>35</v>
      </c>
      <c r="E16">
        <v>4</v>
      </c>
      <c r="F16" t="s">
        <v>81</v>
      </c>
      <c r="G16" t="s">
        <v>84</v>
      </c>
      <c r="H16" t="s">
        <v>85</v>
      </c>
      <c r="I16" t="s">
        <v>85</v>
      </c>
      <c r="J16" s="1">
        <v>1.7769999999999999</v>
      </c>
      <c r="K16" s="1">
        <f t="shared" si="1"/>
        <v>-1.7769999999999999</v>
      </c>
      <c r="L16" s="1">
        <v>1.9310000000000003</v>
      </c>
      <c r="M16" s="1">
        <f t="shared" si="0"/>
        <v>-1.9310000000000003</v>
      </c>
      <c r="N16">
        <v>9.4280121932864382</v>
      </c>
      <c r="O16" s="3">
        <v>5.5295664160504536</v>
      </c>
      <c r="P16" s="3">
        <v>0.59903794618320716</v>
      </c>
      <c r="Q16">
        <v>24.6</v>
      </c>
      <c r="R16">
        <v>490</v>
      </c>
    </row>
    <row r="17" spans="1:20" x14ac:dyDescent="0.35">
      <c r="A17" s="5">
        <v>44720</v>
      </c>
      <c r="B17" t="s">
        <v>32</v>
      </c>
      <c r="C17" t="s">
        <v>86</v>
      </c>
      <c r="D17" t="s">
        <v>35</v>
      </c>
      <c r="E17">
        <v>7</v>
      </c>
      <c r="F17" t="s">
        <v>87</v>
      </c>
      <c r="G17" t="s">
        <v>24</v>
      </c>
      <c r="H17" t="s">
        <v>88</v>
      </c>
      <c r="I17" t="s">
        <v>88</v>
      </c>
      <c r="J17" s="1">
        <v>1.895</v>
      </c>
      <c r="K17" s="1">
        <f t="shared" si="1"/>
        <v>-1.895</v>
      </c>
      <c r="L17" s="1">
        <v>2.5979999999999999</v>
      </c>
      <c r="M17" s="1">
        <f t="shared" si="0"/>
        <v>-2.5979999999999999</v>
      </c>
      <c r="N17">
        <v>14.336052453347239</v>
      </c>
      <c r="O17" s="3" t="e">
        <v>#VALUE!</v>
      </c>
      <c r="P17" s="3">
        <v>7.0858686934322055</v>
      </c>
      <c r="Q17">
        <v>63.2</v>
      </c>
      <c r="R17">
        <v>602</v>
      </c>
      <c r="T17">
        <v>0.91666666699999999</v>
      </c>
    </row>
    <row r="18" spans="1:20" x14ac:dyDescent="0.35">
      <c r="A18" s="5">
        <v>44720</v>
      </c>
      <c r="B18" t="s">
        <v>32</v>
      </c>
      <c r="C18" t="s">
        <v>86</v>
      </c>
      <c r="D18" t="s">
        <v>35</v>
      </c>
      <c r="E18">
        <v>12</v>
      </c>
      <c r="F18" t="s">
        <v>87</v>
      </c>
      <c r="G18" t="s">
        <v>91</v>
      </c>
      <c r="H18" t="s">
        <v>94</v>
      </c>
      <c r="I18" t="s">
        <v>94</v>
      </c>
      <c r="J18" s="1">
        <v>1.585</v>
      </c>
      <c r="K18" s="1">
        <f t="shared" si="1"/>
        <v>-1.585</v>
      </c>
      <c r="L18" s="1">
        <v>1.7090000000000001</v>
      </c>
      <c r="M18" s="1">
        <f t="shared" si="0"/>
        <v>-1.7090000000000001</v>
      </c>
      <c r="N18">
        <v>-5.8379130909042516</v>
      </c>
      <c r="O18" s="3">
        <v>-1.6099173597239531</v>
      </c>
      <c r="P18" s="3">
        <v>-3.0067500014696886</v>
      </c>
      <c r="Q18">
        <v>73.400000000000006</v>
      </c>
      <c r="R18">
        <v>670</v>
      </c>
    </row>
    <row r="19" spans="1:20" x14ac:dyDescent="0.35">
      <c r="A19" s="5">
        <v>44720</v>
      </c>
      <c r="B19" t="s">
        <v>32</v>
      </c>
      <c r="C19" t="s">
        <v>86</v>
      </c>
      <c r="D19" t="s">
        <v>35</v>
      </c>
      <c r="E19">
        <v>3</v>
      </c>
      <c r="F19" t="s">
        <v>36</v>
      </c>
      <c r="G19" t="s">
        <v>97</v>
      </c>
      <c r="H19" t="s">
        <v>99</v>
      </c>
      <c r="I19" t="s">
        <v>99</v>
      </c>
      <c r="J19" s="1">
        <v>1.9549999999999996</v>
      </c>
      <c r="K19" s="1">
        <f t="shared" si="1"/>
        <v>-1.9549999999999996</v>
      </c>
      <c r="L19" s="1">
        <v>2.7559999999999993</v>
      </c>
      <c r="M19" s="1">
        <f t="shared" si="0"/>
        <v>-2.7559999999999993</v>
      </c>
      <c r="N19">
        <v>15.364671501731591</v>
      </c>
      <c r="O19" s="3">
        <v>69.44223549847068</v>
      </c>
      <c r="P19" s="3">
        <v>7.3851892459201043</v>
      </c>
      <c r="Q19">
        <v>62.2</v>
      </c>
      <c r="R19">
        <v>560</v>
      </c>
    </row>
    <row r="20" spans="1:20" x14ac:dyDescent="0.35">
      <c r="A20" s="5">
        <v>44720</v>
      </c>
      <c r="B20" t="s">
        <v>32</v>
      </c>
      <c r="C20" t="s">
        <v>86</v>
      </c>
      <c r="D20" t="s">
        <v>35</v>
      </c>
      <c r="E20">
        <v>13</v>
      </c>
      <c r="F20" t="s">
        <v>43</v>
      </c>
      <c r="G20" t="s">
        <v>100</v>
      </c>
      <c r="H20" t="s">
        <v>101</v>
      </c>
      <c r="I20" t="s">
        <v>101</v>
      </c>
      <c r="J20" s="1">
        <v>8.0000000000000016E-2</v>
      </c>
      <c r="K20" s="1">
        <f t="shared" si="1"/>
        <v>-8.0000000000000016E-2</v>
      </c>
      <c r="L20" s="1">
        <v>0.49799999999999989</v>
      </c>
      <c r="M20" s="1">
        <f t="shared" si="0"/>
        <v>-0.49799999999999989</v>
      </c>
      <c r="N20">
        <v>-17.922452893788371</v>
      </c>
      <c r="O20" s="3">
        <v>24.82805058280556</v>
      </c>
      <c r="P20" s="3">
        <v>-11.71474529761463</v>
      </c>
      <c r="Q20">
        <v>83.6</v>
      </c>
      <c r="R20">
        <v>660</v>
      </c>
    </row>
    <row r="21" spans="1:20" x14ac:dyDescent="0.35">
      <c r="A21" s="5">
        <v>44720</v>
      </c>
      <c r="B21" t="s">
        <v>32</v>
      </c>
      <c r="C21" t="s">
        <v>86</v>
      </c>
      <c r="D21" t="s">
        <v>35</v>
      </c>
      <c r="E21">
        <v>9</v>
      </c>
      <c r="F21" t="s">
        <v>43</v>
      </c>
      <c r="G21" t="s">
        <v>76</v>
      </c>
      <c r="H21" t="s">
        <v>102</v>
      </c>
      <c r="I21" t="s">
        <v>102</v>
      </c>
      <c r="J21" s="1">
        <v>-0.58299999999999996</v>
      </c>
      <c r="K21" s="1">
        <f t="shared" si="1"/>
        <v>0.58299999999999996</v>
      </c>
      <c r="L21" s="1">
        <v>-0.89999999999999991</v>
      </c>
      <c r="M21" s="1">
        <f t="shared" si="0"/>
        <v>0.89999999999999991</v>
      </c>
      <c r="N21">
        <v>-29.204342085227747</v>
      </c>
      <c r="O21" s="3">
        <v>-26.681731657872454</v>
      </c>
      <c r="P21" s="3">
        <v>-18.425431677364145</v>
      </c>
      <c r="Q21">
        <v>64.5</v>
      </c>
      <c r="R21">
        <v>700</v>
      </c>
    </row>
    <row r="22" spans="1:20" x14ac:dyDescent="0.35">
      <c r="A22" s="5">
        <v>44720</v>
      </c>
      <c r="B22" t="s">
        <v>32</v>
      </c>
      <c r="C22" t="s">
        <v>86</v>
      </c>
      <c r="D22" t="s">
        <v>35</v>
      </c>
      <c r="E22">
        <v>10</v>
      </c>
      <c r="F22" t="s">
        <v>50</v>
      </c>
      <c r="G22" t="s">
        <v>103</v>
      </c>
      <c r="H22" t="s">
        <v>104</v>
      </c>
      <c r="I22" t="s">
        <v>104</v>
      </c>
      <c r="J22" s="1">
        <v>2.0819999999999999</v>
      </c>
      <c r="K22" s="1">
        <f t="shared" si="1"/>
        <v>-2.0819999999999999</v>
      </c>
      <c r="L22" s="1">
        <v>2.5559999999999992</v>
      </c>
      <c r="M22" s="1">
        <f t="shared" si="0"/>
        <v>-2.5559999999999992</v>
      </c>
      <c r="N22">
        <v>-2.9684923264814156</v>
      </c>
      <c r="O22" s="3">
        <v>3.1557189590101373</v>
      </c>
      <c r="P22" s="3">
        <v>-1.4141012387370333</v>
      </c>
      <c r="Q22">
        <v>74.8</v>
      </c>
      <c r="R22">
        <v>661</v>
      </c>
    </row>
    <row r="23" spans="1:20" x14ac:dyDescent="0.35">
      <c r="A23" s="5">
        <v>44720</v>
      </c>
      <c r="B23" t="s">
        <v>32</v>
      </c>
      <c r="C23" t="s">
        <v>86</v>
      </c>
      <c r="D23" t="s">
        <v>35</v>
      </c>
      <c r="E23">
        <v>2</v>
      </c>
      <c r="F23" t="s">
        <v>58</v>
      </c>
      <c r="G23" t="s">
        <v>105</v>
      </c>
      <c r="H23" t="s">
        <v>106</v>
      </c>
      <c r="I23" t="s">
        <v>106</v>
      </c>
      <c r="J23" s="1">
        <v>-0.15700000000000003</v>
      </c>
      <c r="K23" s="1">
        <f t="shared" si="1"/>
        <v>0.15700000000000003</v>
      </c>
      <c r="L23" s="1">
        <v>-0.53699999999999992</v>
      </c>
      <c r="M23" s="1">
        <f t="shared" si="0"/>
        <v>0.53699999999999992</v>
      </c>
      <c r="N23">
        <v>-0.39495212314703743</v>
      </c>
      <c r="O23" s="3">
        <v>176.52305782658195</v>
      </c>
      <c r="P23" s="3">
        <v>-0.2151315530160236</v>
      </c>
      <c r="Q23">
        <v>57.9</v>
      </c>
      <c r="R23">
        <v>680</v>
      </c>
    </row>
    <row r="24" spans="1:20" x14ac:dyDescent="0.35">
      <c r="A24" s="5">
        <v>44720</v>
      </c>
      <c r="B24" t="s">
        <v>32</v>
      </c>
      <c r="C24" t="s">
        <v>86</v>
      </c>
      <c r="D24" t="s">
        <v>35</v>
      </c>
      <c r="E24">
        <v>6</v>
      </c>
      <c r="F24" t="s">
        <v>58</v>
      </c>
      <c r="G24" t="s">
        <v>107</v>
      </c>
      <c r="H24" t="s">
        <v>108</v>
      </c>
      <c r="I24" t="s">
        <v>108</v>
      </c>
      <c r="J24" s="1">
        <v>-0.47</v>
      </c>
      <c r="K24" s="1">
        <f t="shared" si="1"/>
        <v>0.47</v>
      </c>
      <c r="L24" s="1">
        <v>0.27299999999999991</v>
      </c>
      <c r="M24" s="1">
        <f t="shared" si="0"/>
        <v>-0.27299999999999991</v>
      </c>
      <c r="N24" t="e">
        <v>#VALUE!</v>
      </c>
      <c r="O24" s="3" t="e">
        <v>#VALUE!</v>
      </c>
      <c r="P24" s="3" t="e">
        <v>#VALUE!</v>
      </c>
      <c r="Q24">
        <v>86.4</v>
      </c>
      <c r="R24">
        <v>632</v>
      </c>
    </row>
    <row r="25" spans="1:20" x14ac:dyDescent="0.35">
      <c r="A25" s="5">
        <v>44720</v>
      </c>
      <c r="B25" t="s">
        <v>32</v>
      </c>
      <c r="C25" t="s">
        <v>86</v>
      </c>
      <c r="D25" t="s">
        <v>35</v>
      </c>
      <c r="E25">
        <v>1</v>
      </c>
      <c r="F25" t="s">
        <v>61</v>
      </c>
      <c r="G25" t="s">
        <v>65</v>
      </c>
      <c r="H25" t="s">
        <v>110</v>
      </c>
      <c r="I25" t="s">
        <v>110</v>
      </c>
      <c r="J25" s="1" t="e">
        <v>#VALUE!</v>
      </c>
      <c r="K25" s="1" t="e">
        <f t="shared" si="1"/>
        <v>#VALUE!</v>
      </c>
      <c r="L25" s="1" t="e">
        <v>#VALUE!</v>
      </c>
      <c r="M25" s="1" t="e">
        <f t="shared" si="0"/>
        <v>#VALUE!</v>
      </c>
      <c r="N25">
        <v>0.86546771807908662</v>
      </c>
      <c r="O25" s="3" t="e">
        <v>#VALUE!</v>
      </c>
      <c r="P25" s="3">
        <v>0.15620601497452324</v>
      </c>
      <c r="Q25">
        <v>33.4</v>
      </c>
      <c r="R25">
        <v>340</v>
      </c>
    </row>
    <row r="26" spans="1:20" x14ac:dyDescent="0.35">
      <c r="A26" s="5">
        <v>44720</v>
      </c>
      <c r="B26" t="s">
        <v>32</v>
      </c>
      <c r="C26" t="s">
        <v>86</v>
      </c>
      <c r="D26" t="s">
        <v>35</v>
      </c>
      <c r="E26">
        <v>14</v>
      </c>
      <c r="F26" t="s">
        <v>69</v>
      </c>
      <c r="G26" t="s">
        <v>73</v>
      </c>
      <c r="H26" t="s">
        <v>111</v>
      </c>
      <c r="I26" t="s">
        <v>111</v>
      </c>
      <c r="J26" s="1">
        <v>1.1499999999999999</v>
      </c>
      <c r="K26" s="1">
        <f t="shared" si="1"/>
        <v>-1.1499999999999999</v>
      </c>
      <c r="L26" s="1">
        <v>1.0310000000000001</v>
      </c>
      <c r="M26" s="1">
        <f t="shared" si="0"/>
        <v>-1.0310000000000001</v>
      </c>
      <c r="N26">
        <v>-50.682757252645231</v>
      </c>
      <c r="O26" s="3" t="e">
        <v>#VALUE!</v>
      </c>
      <c r="P26" s="3">
        <v>-54.696003280740868</v>
      </c>
      <c r="Q26">
        <v>99.7</v>
      </c>
      <c r="R26">
        <v>730</v>
      </c>
    </row>
    <row r="27" spans="1:20" x14ac:dyDescent="0.35">
      <c r="A27" s="5">
        <v>44720</v>
      </c>
      <c r="B27" t="s">
        <v>32</v>
      </c>
      <c r="C27" t="s">
        <v>86</v>
      </c>
      <c r="D27" t="s">
        <v>35</v>
      </c>
      <c r="E27">
        <v>4</v>
      </c>
      <c r="F27" t="s">
        <v>72</v>
      </c>
      <c r="G27" t="s">
        <v>112</v>
      </c>
      <c r="H27" t="s">
        <v>113</v>
      </c>
      <c r="I27" t="s">
        <v>113</v>
      </c>
      <c r="J27" s="1">
        <v>2.2610000000000001</v>
      </c>
      <c r="K27" s="1">
        <f t="shared" si="1"/>
        <v>-2.2610000000000001</v>
      </c>
      <c r="L27" s="1">
        <v>2.2279999999999998</v>
      </c>
      <c r="M27" s="1">
        <f t="shared" si="0"/>
        <v>-2.2279999999999998</v>
      </c>
      <c r="N27">
        <v>-3.9069181895527088</v>
      </c>
      <c r="O27" s="3">
        <v>-1.3020775347024713</v>
      </c>
      <c r="P27" s="3">
        <v>-0.82611154150804422</v>
      </c>
      <c r="Q27">
        <v>44.9</v>
      </c>
      <c r="R27">
        <v>565</v>
      </c>
    </row>
    <row r="28" spans="1:20" x14ac:dyDescent="0.35">
      <c r="A28" s="5">
        <v>44720</v>
      </c>
      <c r="B28" t="s">
        <v>32</v>
      </c>
      <c r="C28" t="s">
        <v>86</v>
      </c>
      <c r="D28" t="s">
        <v>35</v>
      </c>
      <c r="E28">
        <v>16</v>
      </c>
      <c r="F28" t="s">
        <v>75</v>
      </c>
      <c r="G28" t="s">
        <v>114</v>
      </c>
      <c r="H28" t="s">
        <v>115</v>
      </c>
      <c r="I28" t="s">
        <v>115</v>
      </c>
      <c r="J28" s="1">
        <v>1.7689999999999999</v>
      </c>
      <c r="K28" s="1">
        <f t="shared" si="1"/>
        <v>-1.7689999999999999</v>
      </c>
      <c r="L28" s="1">
        <v>1.3750000000000002</v>
      </c>
      <c r="M28" s="1">
        <f t="shared" si="0"/>
        <v>-1.3750000000000002</v>
      </c>
      <c r="N28">
        <v>17.777995944513819</v>
      </c>
      <c r="O28" s="3">
        <v>8.6405971758164508</v>
      </c>
      <c r="P28" s="3">
        <v>11.773640771809603</v>
      </c>
      <c r="Q28">
        <v>77.599999999999994</v>
      </c>
    </row>
    <row r="29" spans="1:20" x14ac:dyDescent="0.35">
      <c r="A29" s="5">
        <v>44720</v>
      </c>
      <c r="B29" t="s">
        <v>32</v>
      </c>
      <c r="C29" t="s">
        <v>86</v>
      </c>
      <c r="D29" t="s">
        <v>35</v>
      </c>
      <c r="E29">
        <v>8</v>
      </c>
      <c r="F29" t="s">
        <v>75</v>
      </c>
      <c r="G29" t="s">
        <v>116</v>
      </c>
      <c r="H29" t="s">
        <v>117</v>
      </c>
      <c r="I29" t="s">
        <v>117</v>
      </c>
      <c r="J29" s="1">
        <v>0.90599999999999981</v>
      </c>
      <c r="K29" s="1">
        <f t="shared" si="1"/>
        <v>-0.90599999999999981</v>
      </c>
      <c r="L29" s="1">
        <v>1.1379999999999997</v>
      </c>
      <c r="M29" s="1">
        <f t="shared" si="0"/>
        <v>-1.1379999999999997</v>
      </c>
      <c r="N29">
        <v>8.9709263955137182</v>
      </c>
      <c r="O29" s="3">
        <v>2.2080784066448351</v>
      </c>
      <c r="P29" s="3">
        <v>1.7746568282694062</v>
      </c>
      <c r="Q29">
        <v>39.1</v>
      </c>
      <c r="R29">
        <v>510</v>
      </c>
    </row>
    <row r="30" spans="1:20" x14ac:dyDescent="0.35">
      <c r="A30" s="5">
        <v>44720</v>
      </c>
      <c r="B30" t="s">
        <v>32</v>
      </c>
      <c r="C30" t="s">
        <v>86</v>
      </c>
      <c r="D30" t="s">
        <v>35</v>
      </c>
      <c r="E30">
        <v>15</v>
      </c>
      <c r="F30" t="s">
        <v>78</v>
      </c>
      <c r="G30" t="s">
        <v>54</v>
      </c>
      <c r="H30" t="s">
        <v>118</v>
      </c>
      <c r="I30" t="s">
        <v>118</v>
      </c>
      <c r="J30" s="1">
        <v>0.23000000000000009</v>
      </c>
      <c r="K30" s="1">
        <f t="shared" si="1"/>
        <v>-0.23000000000000009</v>
      </c>
      <c r="L30" s="1">
        <v>0.80400000000000005</v>
      </c>
      <c r="M30" s="1">
        <f t="shared" si="0"/>
        <v>-0.80400000000000005</v>
      </c>
      <c r="N30" t="e">
        <v>#VALUE!</v>
      </c>
      <c r="O30" s="3" t="e">
        <v>#VALUE!</v>
      </c>
      <c r="P30" s="3" t="e">
        <v>#VALUE!</v>
      </c>
      <c r="Q30">
        <v>135</v>
      </c>
      <c r="R30">
        <v>770</v>
      </c>
    </row>
    <row r="31" spans="1:20" x14ac:dyDescent="0.35">
      <c r="A31" s="5">
        <v>44720</v>
      </c>
      <c r="B31" t="s">
        <v>32</v>
      </c>
      <c r="C31" t="s">
        <v>86</v>
      </c>
      <c r="D31" t="s">
        <v>35</v>
      </c>
      <c r="E31">
        <v>11</v>
      </c>
      <c r="F31" t="s">
        <v>78</v>
      </c>
      <c r="G31" t="s">
        <v>120</v>
      </c>
      <c r="H31" t="s">
        <v>121</v>
      </c>
      <c r="I31" t="s">
        <v>121</v>
      </c>
      <c r="J31" s="1">
        <v>0.27300000000000002</v>
      </c>
      <c r="K31" s="1">
        <f t="shared" si="1"/>
        <v>-0.27300000000000002</v>
      </c>
      <c r="L31" s="1">
        <v>0.38099999999999989</v>
      </c>
      <c r="M31" s="1">
        <f t="shared" si="0"/>
        <v>-0.38099999999999989</v>
      </c>
      <c r="N31">
        <v>11.866851833483004</v>
      </c>
      <c r="O31" s="3">
        <v>103.76646622090395</v>
      </c>
      <c r="P31" s="3">
        <v>17.676179034658499</v>
      </c>
      <c r="Q31">
        <v>125.1</v>
      </c>
      <c r="R31">
        <v>751</v>
      </c>
    </row>
    <row r="32" spans="1:20" x14ac:dyDescent="0.35">
      <c r="A32" s="5">
        <v>44720</v>
      </c>
      <c r="B32" t="s">
        <v>32</v>
      </c>
      <c r="C32" t="s">
        <v>86</v>
      </c>
      <c r="D32" t="s">
        <v>35</v>
      </c>
      <c r="E32">
        <v>5</v>
      </c>
      <c r="F32" t="s">
        <v>81</v>
      </c>
      <c r="G32" t="s">
        <v>56</v>
      </c>
      <c r="H32" t="s">
        <v>122</v>
      </c>
      <c r="I32" t="s">
        <v>122</v>
      </c>
      <c r="J32" s="1">
        <v>1.0609999999999999</v>
      </c>
      <c r="K32" s="1">
        <f t="shared" si="1"/>
        <v>-1.0609999999999999</v>
      </c>
      <c r="L32" s="1">
        <v>1.123</v>
      </c>
      <c r="M32" s="1">
        <f t="shared" si="0"/>
        <v>-1.123</v>
      </c>
      <c r="N32">
        <v>0.49110527031542173</v>
      </c>
      <c r="O32" s="3">
        <v>0.18911268655774216</v>
      </c>
      <c r="P32" s="3">
        <v>5.4358083224271825E-2</v>
      </c>
      <c r="Q32">
        <v>19.8</v>
      </c>
      <c r="R32">
        <v>320</v>
      </c>
    </row>
    <row r="33" spans="1:18" x14ac:dyDescent="0.35">
      <c r="A33" s="5">
        <v>44721</v>
      </c>
      <c r="B33" t="s">
        <v>32</v>
      </c>
      <c r="C33" t="s">
        <v>123</v>
      </c>
      <c r="D33" t="s">
        <v>253</v>
      </c>
      <c r="E33">
        <v>6</v>
      </c>
      <c r="F33" t="s">
        <v>36</v>
      </c>
      <c r="G33" t="s">
        <v>125</v>
      </c>
      <c r="H33" t="s">
        <v>126</v>
      </c>
      <c r="I33" t="s">
        <v>126</v>
      </c>
      <c r="J33" s="1">
        <v>0.7</v>
      </c>
      <c r="K33" s="1">
        <f t="shared" si="1"/>
        <v>-0.7</v>
      </c>
      <c r="L33" s="1">
        <v>0.55900000000000027</v>
      </c>
      <c r="M33" s="1">
        <f t="shared" si="0"/>
        <v>-0.55900000000000027</v>
      </c>
      <c r="N33">
        <v>2.8717105294998468</v>
      </c>
      <c r="O33" s="3">
        <v>-1.7491411391654719</v>
      </c>
      <c r="P33" s="3">
        <v>1.0857485504801589</v>
      </c>
      <c r="Q33">
        <v>78.599999999999994</v>
      </c>
      <c r="R33">
        <v>701</v>
      </c>
    </row>
    <row r="34" spans="1:18" x14ac:dyDescent="0.35">
      <c r="A34" s="5">
        <v>44721</v>
      </c>
      <c r="B34" t="s">
        <v>32</v>
      </c>
      <c r="C34" t="s">
        <v>123</v>
      </c>
      <c r="D34" t="s">
        <v>253</v>
      </c>
      <c r="E34">
        <v>12</v>
      </c>
      <c r="F34" t="s">
        <v>43</v>
      </c>
      <c r="G34" t="s">
        <v>129</v>
      </c>
      <c r="H34" t="s">
        <v>131</v>
      </c>
      <c r="I34" t="s">
        <v>131</v>
      </c>
      <c r="J34" s="1">
        <v>-9.4999999999999918E-2</v>
      </c>
      <c r="K34" s="1">
        <f t="shared" ref="K34:K65" si="2">-J34</f>
        <v>9.4999999999999918E-2</v>
      </c>
      <c r="L34" s="1">
        <v>0.64200000000000013</v>
      </c>
      <c r="M34" s="1">
        <f t="shared" ref="M34:M65" si="3">-L34</f>
        <v>-0.64200000000000013</v>
      </c>
      <c r="N34">
        <v>21.351697115383516</v>
      </c>
      <c r="O34" s="3">
        <v>396.82183067539393</v>
      </c>
      <c r="P34" s="3">
        <v>22.417817591695652</v>
      </c>
      <c r="Q34">
        <v>125</v>
      </c>
      <c r="R34">
        <v>776</v>
      </c>
    </row>
    <row r="35" spans="1:18" x14ac:dyDescent="0.35">
      <c r="A35" s="12">
        <v>44721</v>
      </c>
      <c r="B35" s="13" t="s">
        <v>32</v>
      </c>
      <c r="C35" s="13" t="s">
        <v>123</v>
      </c>
      <c r="D35" s="13" t="s">
        <v>253</v>
      </c>
      <c r="E35" s="13">
        <v>3</v>
      </c>
      <c r="F35" s="13" t="s">
        <v>43</v>
      </c>
      <c r="G35" s="13" t="s">
        <v>129</v>
      </c>
      <c r="H35" s="13" t="s">
        <v>131</v>
      </c>
      <c r="I35" s="13" t="s">
        <v>131</v>
      </c>
      <c r="J35" s="1">
        <v>0.25700000000000001</v>
      </c>
      <c r="K35" s="1">
        <f t="shared" si="2"/>
        <v>-0.25700000000000001</v>
      </c>
      <c r="L35" s="1">
        <v>0.10799999999999998</v>
      </c>
      <c r="M35" s="1">
        <f t="shared" si="3"/>
        <v>-0.10799999999999998</v>
      </c>
      <c r="N35">
        <v>34.294464777841135</v>
      </c>
      <c r="O35" s="3" t="e">
        <v>#VALUE!</v>
      </c>
      <c r="P35" s="3">
        <v>29.162118629825478</v>
      </c>
      <c r="Q35">
        <v>107.9</v>
      </c>
      <c r="R35">
        <v>840</v>
      </c>
    </row>
    <row r="36" spans="1:18" x14ac:dyDescent="0.35">
      <c r="A36" s="5">
        <v>44721</v>
      </c>
      <c r="B36" t="s">
        <v>32</v>
      </c>
      <c r="C36" t="s">
        <v>123</v>
      </c>
      <c r="D36" t="s">
        <v>253</v>
      </c>
      <c r="E36">
        <v>13</v>
      </c>
      <c r="F36" t="s">
        <v>50</v>
      </c>
      <c r="G36" t="s">
        <v>120</v>
      </c>
      <c r="H36" t="s">
        <v>137</v>
      </c>
      <c r="I36" t="s">
        <v>137</v>
      </c>
      <c r="J36" s="1">
        <v>0.27599999999999991</v>
      </c>
      <c r="K36" s="1">
        <f t="shared" si="2"/>
        <v>-0.27599999999999991</v>
      </c>
      <c r="L36" s="1">
        <v>1.1599999999999999</v>
      </c>
      <c r="M36" s="1">
        <f t="shared" si="3"/>
        <v>-1.1599999999999999</v>
      </c>
      <c r="N36">
        <v>55.121267071930752</v>
      </c>
      <c r="O36" s="3" t="e">
        <v>#VALUE!</v>
      </c>
      <c r="P36" s="3">
        <v>27.90101094301691</v>
      </c>
      <c r="Q36">
        <v>84.6</v>
      </c>
      <c r="R36">
        <v>716</v>
      </c>
    </row>
    <row r="37" spans="1:18" x14ac:dyDescent="0.35">
      <c r="A37" s="5">
        <v>44721</v>
      </c>
      <c r="B37" t="s">
        <v>32</v>
      </c>
      <c r="C37" t="s">
        <v>123</v>
      </c>
      <c r="D37" t="s">
        <v>253</v>
      </c>
      <c r="E37">
        <v>9</v>
      </c>
      <c r="F37" t="s">
        <v>53</v>
      </c>
      <c r="G37" t="s">
        <v>138</v>
      </c>
      <c r="H37" t="s">
        <v>139</v>
      </c>
      <c r="I37" t="s">
        <v>139</v>
      </c>
      <c r="J37" s="1">
        <v>0.72899999999999998</v>
      </c>
      <c r="K37" s="1">
        <f t="shared" si="2"/>
        <v>-0.72899999999999998</v>
      </c>
      <c r="L37" s="1">
        <v>-0.36099999999999999</v>
      </c>
      <c r="M37" s="1">
        <f t="shared" si="3"/>
        <v>0.36099999999999999</v>
      </c>
      <c r="N37">
        <v>56.556699041886702</v>
      </c>
      <c r="O37" s="3" t="e">
        <v>#VALUE!</v>
      </c>
      <c r="P37" s="3">
        <v>9.3944070510516333</v>
      </c>
      <c r="R37">
        <v>213</v>
      </c>
    </row>
    <row r="38" spans="1:18" x14ac:dyDescent="0.35">
      <c r="A38" s="5">
        <v>44721</v>
      </c>
      <c r="B38" t="s">
        <v>32</v>
      </c>
      <c r="C38" t="s">
        <v>123</v>
      </c>
      <c r="D38" t="s">
        <v>253</v>
      </c>
      <c r="E38">
        <v>16</v>
      </c>
      <c r="F38" t="s">
        <v>58</v>
      </c>
      <c r="G38" t="s">
        <v>140</v>
      </c>
      <c r="H38" t="s">
        <v>141</v>
      </c>
      <c r="I38" t="s">
        <v>141</v>
      </c>
      <c r="J38" s="1">
        <v>0.31999999999999995</v>
      </c>
      <c r="K38" s="1">
        <f t="shared" si="2"/>
        <v>-0.31999999999999995</v>
      </c>
      <c r="L38" s="1">
        <v>0.42300000000000004</v>
      </c>
      <c r="M38" s="1">
        <f t="shared" si="3"/>
        <v>-0.42300000000000004</v>
      </c>
      <c r="N38">
        <v>0.44590436193917515</v>
      </c>
      <c r="O38" s="3">
        <v>170.36093592007683</v>
      </c>
      <c r="P38" s="3">
        <v>0.94087996215237979</v>
      </c>
      <c r="Q38">
        <v>147.1</v>
      </c>
      <c r="R38">
        <v>921</v>
      </c>
    </row>
    <row r="39" spans="1:18" x14ac:dyDescent="0.35">
      <c r="A39" s="5">
        <v>44721</v>
      </c>
      <c r="B39" t="s">
        <v>32</v>
      </c>
      <c r="C39" t="s">
        <v>123</v>
      </c>
      <c r="D39" t="s">
        <v>253</v>
      </c>
      <c r="E39">
        <v>15</v>
      </c>
      <c r="F39" t="s">
        <v>58</v>
      </c>
      <c r="G39" t="s">
        <v>143</v>
      </c>
      <c r="H39" t="s">
        <v>144</v>
      </c>
      <c r="I39" t="s">
        <v>144</v>
      </c>
      <c r="J39" s="1">
        <v>0</v>
      </c>
      <c r="K39" s="1">
        <f t="shared" si="2"/>
        <v>0</v>
      </c>
      <c r="L39" s="1">
        <v>-0.12800000000000011</v>
      </c>
      <c r="M39" s="1">
        <f t="shared" si="3"/>
        <v>0.12800000000000011</v>
      </c>
      <c r="N39">
        <v>1.9267998485155688</v>
      </c>
      <c r="O39" s="3">
        <v>34.926286127826742</v>
      </c>
      <c r="P39" s="3">
        <v>14.018417915576112</v>
      </c>
      <c r="Q39">
        <v>64.8</v>
      </c>
      <c r="R39">
        <v>512</v>
      </c>
    </row>
    <row r="40" spans="1:18" x14ac:dyDescent="0.35">
      <c r="A40" s="5">
        <v>44721</v>
      </c>
      <c r="B40" t="s">
        <v>32</v>
      </c>
      <c r="C40" t="s">
        <v>123</v>
      </c>
      <c r="D40" t="s">
        <v>253</v>
      </c>
      <c r="E40">
        <v>2</v>
      </c>
      <c r="F40" t="s">
        <v>61</v>
      </c>
      <c r="G40" t="s">
        <v>145</v>
      </c>
      <c r="H40" t="s">
        <v>147</v>
      </c>
      <c r="I40" t="s">
        <v>147</v>
      </c>
      <c r="J40" s="1">
        <v>0.7669999999999999</v>
      </c>
      <c r="K40" s="1">
        <f t="shared" si="2"/>
        <v>-0.7669999999999999</v>
      </c>
      <c r="L40" s="1">
        <v>0.49199999999999999</v>
      </c>
      <c r="M40" s="1">
        <f t="shared" si="3"/>
        <v>-0.49199999999999999</v>
      </c>
      <c r="N40">
        <v>-6.1897565851109349</v>
      </c>
      <c r="O40" s="3">
        <v>-16.785415255982954</v>
      </c>
      <c r="P40" s="3">
        <v>-2.0529101434093562</v>
      </c>
      <c r="Q40">
        <v>61</v>
      </c>
      <c r="R40">
        <v>534</v>
      </c>
    </row>
    <row r="41" spans="1:18" x14ac:dyDescent="0.35">
      <c r="A41" s="5">
        <v>44721</v>
      </c>
      <c r="B41" t="s">
        <v>32</v>
      </c>
      <c r="C41" t="s">
        <v>123</v>
      </c>
      <c r="D41" t="s">
        <v>253</v>
      </c>
      <c r="E41">
        <v>11</v>
      </c>
      <c r="F41" t="s">
        <v>148</v>
      </c>
      <c r="G41" t="s">
        <v>149</v>
      </c>
      <c r="H41" t="s">
        <v>150</v>
      </c>
      <c r="I41" t="s">
        <v>150</v>
      </c>
      <c r="J41" s="1">
        <v>2.4249999999999998</v>
      </c>
      <c r="K41" s="1">
        <f t="shared" si="2"/>
        <v>-2.4249999999999998</v>
      </c>
      <c r="L41" s="1">
        <v>-0.46599999999999997</v>
      </c>
      <c r="M41" s="1">
        <f t="shared" si="3"/>
        <v>0.46599999999999997</v>
      </c>
      <c r="N41">
        <v>93.889579760079044</v>
      </c>
      <c r="O41" s="3" t="e">
        <v>#VALUE!</v>
      </c>
      <c r="P41" s="3">
        <v>9.3408639776716011</v>
      </c>
      <c r="Q41">
        <v>34</v>
      </c>
      <c r="R41">
        <v>571</v>
      </c>
    </row>
    <row r="42" spans="1:18" x14ac:dyDescent="0.35">
      <c r="A42" s="5">
        <v>44721</v>
      </c>
      <c r="B42" t="s">
        <v>32</v>
      </c>
      <c r="C42" t="s">
        <v>123</v>
      </c>
      <c r="D42" t="s">
        <v>253</v>
      </c>
      <c r="E42">
        <v>7</v>
      </c>
      <c r="F42" t="s">
        <v>69</v>
      </c>
      <c r="G42" t="s">
        <v>151</v>
      </c>
      <c r="H42" t="s">
        <v>152</v>
      </c>
      <c r="I42" t="s">
        <v>152</v>
      </c>
      <c r="J42" s="1">
        <v>0.59099999999999997</v>
      </c>
      <c r="K42" s="1">
        <f t="shared" si="2"/>
        <v>-0.59099999999999997</v>
      </c>
      <c r="L42" s="1">
        <v>0.44400000000000017</v>
      </c>
      <c r="M42" s="1">
        <f t="shared" si="3"/>
        <v>-0.44400000000000017</v>
      </c>
      <c r="N42">
        <v>-7.256875720546315</v>
      </c>
      <c r="O42" s="3">
        <v>-15.83560717926153</v>
      </c>
      <c r="P42" s="3">
        <v>-8.1417638792574323</v>
      </c>
      <c r="Q42">
        <v>75.3</v>
      </c>
      <c r="R42">
        <v>736</v>
      </c>
    </row>
    <row r="43" spans="1:18" x14ac:dyDescent="0.35">
      <c r="A43" s="5">
        <v>44721</v>
      </c>
      <c r="B43" t="s">
        <v>32</v>
      </c>
      <c r="C43" t="s">
        <v>123</v>
      </c>
      <c r="D43" t="s">
        <v>253</v>
      </c>
      <c r="E43">
        <v>14</v>
      </c>
      <c r="F43" t="s">
        <v>72</v>
      </c>
      <c r="G43" t="s">
        <v>153</v>
      </c>
      <c r="H43" t="s">
        <v>154</v>
      </c>
      <c r="I43" t="s">
        <v>154</v>
      </c>
      <c r="J43" s="1">
        <v>0.57500000000000007</v>
      </c>
      <c r="K43" s="1">
        <f t="shared" si="2"/>
        <v>-0.57500000000000007</v>
      </c>
      <c r="L43" s="1">
        <v>0.31400000000000006</v>
      </c>
      <c r="M43" s="1">
        <f t="shared" si="3"/>
        <v>-0.31400000000000006</v>
      </c>
      <c r="N43">
        <v>52.200022728718743</v>
      </c>
      <c r="O43" s="3">
        <v>11.906515608241175</v>
      </c>
      <c r="P43" s="3">
        <v>23.357924595411252</v>
      </c>
      <c r="Q43">
        <v>71.3</v>
      </c>
      <c r="R43">
        <v>778</v>
      </c>
    </row>
    <row r="44" spans="1:18" x14ac:dyDescent="0.35">
      <c r="A44" s="5">
        <v>44721</v>
      </c>
      <c r="B44" t="s">
        <v>32</v>
      </c>
      <c r="C44" t="s">
        <v>123</v>
      </c>
      <c r="D44" t="s">
        <v>253</v>
      </c>
      <c r="E44">
        <v>4</v>
      </c>
      <c r="F44" t="s">
        <v>72</v>
      </c>
      <c r="G44" t="s">
        <v>155</v>
      </c>
      <c r="H44" t="s">
        <v>156</v>
      </c>
      <c r="I44" t="s">
        <v>156</v>
      </c>
      <c r="J44" s="1">
        <v>0.6359999999999999</v>
      </c>
      <c r="K44" s="1">
        <f t="shared" si="2"/>
        <v>-0.6359999999999999</v>
      </c>
      <c r="L44" s="1">
        <v>0.82399999999999984</v>
      </c>
      <c r="M44" s="1">
        <f t="shared" si="3"/>
        <v>-0.82399999999999984</v>
      </c>
      <c r="N44">
        <v>26.437400706268548</v>
      </c>
      <c r="O44" s="3">
        <v>13.379484926442728</v>
      </c>
      <c r="P44" s="3">
        <v>13.431994559152129</v>
      </c>
      <c r="Q44">
        <v>69.400000000000006</v>
      </c>
      <c r="R44">
        <v>740</v>
      </c>
    </row>
    <row r="45" spans="1:18" x14ac:dyDescent="0.35">
      <c r="A45" s="5">
        <v>44721</v>
      </c>
      <c r="B45" t="s">
        <v>32</v>
      </c>
      <c r="C45" t="s">
        <v>123</v>
      </c>
      <c r="D45" t="s">
        <v>253</v>
      </c>
      <c r="E45">
        <v>5</v>
      </c>
      <c r="F45" t="s">
        <v>75</v>
      </c>
      <c r="G45" t="s">
        <v>65</v>
      </c>
      <c r="H45" t="s">
        <v>157</v>
      </c>
      <c r="I45" t="s">
        <v>157</v>
      </c>
      <c r="J45" s="1">
        <v>0.57200000000000006</v>
      </c>
      <c r="K45" s="1">
        <f t="shared" si="2"/>
        <v>-0.57200000000000006</v>
      </c>
      <c r="L45" s="1">
        <v>1.4000000000000012E-2</v>
      </c>
      <c r="M45" s="1">
        <f t="shared" si="3"/>
        <v>-1.4000000000000012E-2</v>
      </c>
      <c r="N45">
        <v>-8.8535418225398175</v>
      </c>
      <c r="O45" s="3">
        <v>-9.1075972154148914</v>
      </c>
      <c r="P45" s="3">
        <v>-4.5037934050478192</v>
      </c>
      <c r="Q45">
        <v>76.2</v>
      </c>
      <c r="R45">
        <v>770</v>
      </c>
    </row>
    <row r="46" spans="1:18" x14ac:dyDescent="0.35">
      <c r="A46" s="5">
        <v>44721</v>
      </c>
      <c r="B46" t="s">
        <v>32</v>
      </c>
      <c r="C46" t="s">
        <v>123</v>
      </c>
      <c r="D46" t="s">
        <v>253</v>
      </c>
      <c r="E46">
        <v>8</v>
      </c>
      <c r="F46" t="s">
        <v>78</v>
      </c>
      <c r="G46" t="s">
        <v>51</v>
      </c>
      <c r="H46" t="s">
        <v>158</v>
      </c>
      <c r="I46" t="s">
        <v>158</v>
      </c>
      <c r="J46" s="1">
        <v>0.30899999999999983</v>
      </c>
      <c r="K46" s="1">
        <f t="shared" si="2"/>
        <v>-0.30899999999999983</v>
      </c>
      <c r="L46" s="1">
        <v>-0.3889999999999999</v>
      </c>
      <c r="M46" s="1">
        <f t="shared" si="3"/>
        <v>0.3889999999999999</v>
      </c>
      <c r="N46">
        <v>9.1913223711844712</v>
      </c>
      <c r="O46" s="3">
        <v>-4.2300968926684615</v>
      </c>
      <c r="P46" s="3">
        <v>7.99266966991887</v>
      </c>
      <c r="Q46">
        <v>94.8</v>
      </c>
      <c r="R46">
        <v>700</v>
      </c>
    </row>
    <row r="47" spans="1:18" x14ac:dyDescent="0.35">
      <c r="A47" s="12">
        <v>44721</v>
      </c>
      <c r="B47" s="13" t="s">
        <v>32</v>
      </c>
      <c r="C47" s="13" t="s">
        <v>123</v>
      </c>
      <c r="D47" s="13" t="s">
        <v>253</v>
      </c>
      <c r="E47" s="13">
        <v>1</v>
      </c>
      <c r="F47" s="13" t="s">
        <v>81</v>
      </c>
      <c r="G47" s="13" t="s">
        <v>159</v>
      </c>
      <c r="H47" s="13" t="s">
        <v>160</v>
      </c>
      <c r="I47" s="13" t="s">
        <v>160</v>
      </c>
      <c r="J47" s="1">
        <v>0.60599999999999998</v>
      </c>
      <c r="K47" s="1">
        <f t="shared" si="2"/>
        <v>-0.60599999999999998</v>
      </c>
      <c r="L47" s="1">
        <v>0.37099999999999989</v>
      </c>
      <c r="M47" s="1">
        <f t="shared" si="3"/>
        <v>-0.37099999999999989</v>
      </c>
      <c r="N47">
        <v>0.31557004321844317</v>
      </c>
      <c r="O47" s="3">
        <v>-14.062743306916992</v>
      </c>
      <c r="P47" s="3">
        <v>6.2066943283829445E-2</v>
      </c>
      <c r="Q47">
        <v>34.5</v>
      </c>
      <c r="R47">
        <v>430</v>
      </c>
    </row>
    <row r="48" spans="1:18" x14ac:dyDescent="0.35">
      <c r="A48" s="5">
        <v>44721</v>
      </c>
      <c r="B48" t="s">
        <v>32</v>
      </c>
      <c r="C48" t="s">
        <v>123</v>
      </c>
      <c r="D48" t="s">
        <v>253</v>
      </c>
      <c r="E48">
        <v>10</v>
      </c>
      <c r="F48" t="s">
        <v>81</v>
      </c>
      <c r="G48" t="s">
        <v>159</v>
      </c>
      <c r="H48" t="s">
        <v>160</v>
      </c>
      <c r="I48" t="s">
        <v>160</v>
      </c>
      <c r="J48" s="1">
        <v>0.24799999999999997</v>
      </c>
      <c r="K48" s="1">
        <f t="shared" si="2"/>
        <v>-0.24799999999999997</v>
      </c>
      <c r="L48" s="1">
        <v>1.5000000000000013E-2</v>
      </c>
      <c r="M48" s="1">
        <f t="shared" si="3"/>
        <v>-1.5000000000000013E-2</v>
      </c>
      <c r="N48">
        <v>98.177418901140584</v>
      </c>
      <c r="O48" s="3">
        <v>26.577954774705962</v>
      </c>
      <c r="P48" s="3">
        <v>17.955814497805683</v>
      </c>
      <c r="Q48">
        <v>40</v>
      </c>
      <c r="R48">
        <v>540</v>
      </c>
    </row>
    <row r="49" spans="1:18" x14ac:dyDescent="0.35">
      <c r="A49" s="5">
        <v>44722</v>
      </c>
      <c r="B49" t="s">
        <v>32</v>
      </c>
      <c r="C49" t="s">
        <v>162</v>
      </c>
      <c r="D49" t="s">
        <v>253</v>
      </c>
      <c r="E49">
        <v>12</v>
      </c>
      <c r="F49" s="20" t="s">
        <v>36</v>
      </c>
      <c r="G49" t="s">
        <v>138</v>
      </c>
      <c r="H49" t="s">
        <v>164</v>
      </c>
      <c r="I49" t="s">
        <v>164</v>
      </c>
      <c r="J49" s="1">
        <v>7.6000000000000068E-2</v>
      </c>
      <c r="K49" s="1">
        <f t="shared" si="2"/>
        <v>-7.6000000000000068E-2</v>
      </c>
      <c r="L49" s="1">
        <v>0.44999999999999996</v>
      </c>
      <c r="M49" s="1">
        <f t="shared" si="3"/>
        <v>-0.44999999999999996</v>
      </c>
      <c r="N49">
        <v>29.285796131068757</v>
      </c>
      <c r="O49" s="3" t="e">
        <v>#VALUE!</v>
      </c>
      <c r="P49" s="3">
        <v>-4.1189425955327756</v>
      </c>
      <c r="Q49">
        <v>87.4</v>
      </c>
      <c r="R49">
        <v>678</v>
      </c>
    </row>
    <row r="50" spans="1:18" x14ac:dyDescent="0.35">
      <c r="A50" s="5">
        <v>44722</v>
      </c>
      <c r="B50" t="s">
        <v>32</v>
      </c>
      <c r="C50" t="s">
        <v>162</v>
      </c>
      <c r="D50" t="s">
        <v>253</v>
      </c>
      <c r="E50">
        <v>3</v>
      </c>
      <c r="F50" t="s">
        <v>36</v>
      </c>
      <c r="G50" t="s">
        <v>167</v>
      </c>
      <c r="H50" t="s">
        <v>170</v>
      </c>
      <c r="I50" t="s">
        <v>170</v>
      </c>
      <c r="J50" s="1">
        <v>0.79899999999999993</v>
      </c>
      <c r="K50" s="1">
        <f t="shared" si="2"/>
        <v>-0.79899999999999993</v>
      </c>
      <c r="L50" s="1">
        <v>1.1789999999999998</v>
      </c>
      <c r="M50" s="1">
        <f t="shared" si="3"/>
        <v>-1.1789999999999998</v>
      </c>
      <c r="N50">
        <v>39.929969321772262</v>
      </c>
      <c r="O50" s="3">
        <v>22.112050664215353</v>
      </c>
      <c r="P50" s="3">
        <v>-4.0353205066138091</v>
      </c>
      <c r="Q50">
        <v>93.2</v>
      </c>
      <c r="R50">
        <v>740</v>
      </c>
    </row>
    <row r="51" spans="1:18" x14ac:dyDescent="0.35">
      <c r="A51" s="5">
        <v>44722</v>
      </c>
      <c r="B51" t="s">
        <v>32</v>
      </c>
      <c r="C51" t="s">
        <v>162</v>
      </c>
      <c r="D51" t="s">
        <v>253</v>
      </c>
      <c r="E51">
        <v>6</v>
      </c>
      <c r="F51" t="s">
        <v>43</v>
      </c>
      <c r="G51" t="s">
        <v>173</v>
      </c>
      <c r="H51" t="s">
        <v>175</v>
      </c>
      <c r="I51" t="s">
        <v>175</v>
      </c>
      <c r="J51" s="1">
        <v>0.17499999999999996</v>
      </c>
      <c r="K51" s="1">
        <f t="shared" si="2"/>
        <v>-0.17499999999999996</v>
      </c>
      <c r="L51" s="1">
        <v>0.29599999999999999</v>
      </c>
      <c r="M51" s="1">
        <f t="shared" si="3"/>
        <v>-0.29599999999999999</v>
      </c>
      <c r="N51">
        <v>439.06321517872726</v>
      </c>
      <c r="O51" s="3" t="e">
        <v>#VALUE!</v>
      </c>
      <c r="P51" s="3">
        <v>36.424923963544586</v>
      </c>
      <c r="Q51">
        <v>90.2</v>
      </c>
      <c r="R51">
        <v>800</v>
      </c>
    </row>
    <row r="52" spans="1:18" x14ac:dyDescent="0.35">
      <c r="A52" s="5">
        <v>44722</v>
      </c>
      <c r="B52" t="s">
        <v>32</v>
      </c>
      <c r="C52" t="s">
        <v>162</v>
      </c>
      <c r="D52" t="s">
        <v>253</v>
      </c>
      <c r="E52">
        <v>11</v>
      </c>
      <c r="F52" t="s">
        <v>50</v>
      </c>
      <c r="G52" t="s">
        <v>105</v>
      </c>
      <c r="H52" t="s">
        <v>176</v>
      </c>
      <c r="I52" t="s">
        <v>176</v>
      </c>
      <c r="J52" s="1">
        <v>0.501</v>
      </c>
      <c r="K52" s="1">
        <f t="shared" si="2"/>
        <v>-0.501</v>
      </c>
      <c r="L52" s="1">
        <v>1.2390000000000003</v>
      </c>
      <c r="M52" s="1">
        <f t="shared" si="3"/>
        <v>-1.2390000000000003</v>
      </c>
      <c r="N52">
        <v>485.28900337950847</v>
      </c>
      <c r="O52" s="3" t="e">
        <v>#VALUE!</v>
      </c>
      <c r="P52" s="3">
        <v>68.288085475103586</v>
      </c>
      <c r="Q52">
        <v>75.900000000000006</v>
      </c>
      <c r="R52">
        <v>610</v>
      </c>
    </row>
    <row r="53" spans="1:18" x14ac:dyDescent="0.35">
      <c r="A53" s="5">
        <v>44722</v>
      </c>
      <c r="B53" t="s">
        <v>32</v>
      </c>
      <c r="C53" t="s">
        <v>162</v>
      </c>
      <c r="D53" t="s">
        <v>253</v>
      </c>
      <c r="E53">
        <v>9</v>
      </c>
      <c r="F53" t="s">
        <v>53</v>
      </c>
      <c r="G53" t="s">
        <v>177</v>
      </c>
      <c r="H53" t="s">
        <v>178</v>
      </c>
      <c r="I53" t="s">
        <v>178</v>
      </c>
      <c r="J53" s="1">
        <v>0.74499999999999988</v>
      </c>
      <c r="K53" s="1">
        <f t="shared" si="2"/>
        <v>-0.74499999999999988</v>
      </c>
      <c r="L53" s="1">
        <v>0.57500000000000018</v>
      </c>
      <c r="M53" s="1">
        <f t="shared" si="3"/>
        <v>-0.57500000000000018</v>
      </c>
      <c r="N53">
        <v>9.0294499618501121</v>
      </c>
      <c r="O53" s="3">
        <v>2.1447472088966979</v>
      </c>
      <c r="P53" s="3">
        <v>2.1030704862100147</v>
      </c>
      <c r="Q53">
        <v>19</v>
      </c>
      <c r="R53">
        <v>240</v>
      </c>
    </row>
    <row r="54" spans="1:18" x14ac:dyDescent="0.35">
      <c r="A54" s="5">
        <v>44722</v>
      </c>
      <c r="B54" t="s">
        <v>32</v>
      </c>
      <c r="C54" t="s">
        <v>162</v>
      </c>
      <c r="D54" t="s">
        <v>253</v>
      </c>
      <c r="E54">
        <v>13</v>
      </c>
      <c r="F54" t="s">
        <v>58</v>
      </c>
      <c r="G54" t="s">
        <v>179</v>
      </c>
      <c r="H54" t="s">
        <v>180</v>
      </c>
      <c r="I54" t="s">
        <v>180</v>
      </c>
      <c r="J54" s="1">
        <v>0.3</v>
      </c>
      <c r="K54" s="1">
        <f t="shared" si="2"/>
        <v>-0.3</v>
      </c>
      <c r="L54" s="1">
        <v>-0.38400000000000001</v>
      </c>
      <c r="M54" s="1">
        <f t="shared" si="3"/>
        <v>0.38400000000000001</v>
      </c>
      <c r="N54">
        <v>490.01683717639423</v>
      </c>
      <c r="O54" s="3" t="e">
        <v>#VALUE!</v>
      </c>
      <c r="P54" s="3">
        <v>47.989755921506422</v>
      </c>
      <c r="Q54">
        <v>126.2</v>
      </c>
      <c r="R54">
        <v>887</v>
      </c>
    </row>
    <row r="55" spans="1:18" x14ac:dyDescent="0.35">
      <c r="A55" s="5">
        <v>44722</v>
      </c>
      <c r="B55" t="s">
        <v>32</v>
      </c>
      <c r="C55" t="s">
        <v>162</v>
      </c>
      <c r="D55" t="s">
        <v>253</v>
      </c>
      <c r="E55">
        <v>15</v>
      </c>
      <c r="F55" t="s">
        <v>61</v>
      </c>
      <c r="G55" t="s">
        <v>181</v>
      </c>
      <c r="H55" t="s">
        <v>182</v>
      </c>
      <c r="I55" t="s">
        <v>182</v>
      </c>
      <c r="J55" s="1">
        <v>0.61900000000000011</v>
      </c>
      <c r="K55" s="1">
        <f t="shared" si="2"/>
        <v>-0.61900000000000011</v>
      </c>
      <c r="L55" s="1">
        <v>0.61999999999999988</v>
      </c>
      <c r="M55" s="1">
        <f t="shared" si="3"/>
        <v>-0.61999999999999988</v>
      </c>
      <c r="N55">
        <v>11.942274296682895</v>
      </c>
      <c r="O55" s="3">
        <v>38.506774630354961</v>
      </c>
      <c r="P55" s="3">
        <v>20.218476329174347</v>
      </c>
      <c r="Q55">
        <v>49.4</v>
      </c>
      <c r="R55">
        <v>546</v>
      </c>
    </row>
    <row r="56" spans="1:18" x14ac:dyDescent="0.35">
      <c r="A56" s="5">
        <v>44722</v>
      </c>
      <c r="B56" t="s">
        <v>32</v>
      </c>
      <c r="C56" t="s">
        <v>162</v>
      </c>
      <c r="D56" t="s">
        <v>253</v>
      </c>
      <c r="E56">
        <v>14</v>
      </c>
      <c r="F56" t="s">
        <v>61</v>
      </c>
      <c r="G56" t="s">
        <v>183</v>
      </c>
      <c r="H56" t="s">
        <v>184</v>
      </c>
      <c r="I56" t="s">
        <v>184</v>
      </c>
      <c r="J56" s="1">
        <v>0.65400000000000014</v>
      </c>
      <c r="K56" s="1">
        <f t="shared" si="2"/>
        <v>-0.65400000000000014</v>
      </c>
      <c r="L56" s="1">
        <v>0.60600000000000009</v>
      </c>
      <c r="M56" s="1">
        <f t="shared" si="3"/>
        <v>-0.60600000000000009</v>
      </c>
      <c r="N56">
        <v>13.006239180134308</v>
      </c>
      <c r="O56" s="3">
        <v>13.045583908145012</v>
      </c>
      <c r="P56" s="3">
        <v>2.0841441701783863</v>
      </c>
      <c r="Q56">
        <v>45.3</v>
      </c>
      <c r="R56">
        <v>410</v>
      </c>
    </row>
    <row r="57" spans="1:18" x14ac:dyDescent="0.35">
      <c r="A57" s="5">
        <v>44722</v>
      </c>
      <c r="B57" t="s">
        <v>32</v>
      </c>
      <c r="C57" t="s">
        <v>162</v>
      </c>
      <c r="D57" t="s">
        <v>253</v>
      </c>
      <c r="E57">
        <v>4</v>
      </c>
      <c r="F57" t="s">
        <v>69</v>
      </c>
      <c r="G57" t="s">
        <v>100</v>
      </c>
      <c r="H57" t="s">
        <v>186</v>
      </c>
      <c r="I57" t="s">
        <v>186</v>
      </c>
      <c r="J57" s="1">
        <v>0.27400000000000002</v>
      </c>
      <c r="K57" s="1">
        <f t="shared" si="2"/>
        <v>-0.27400000000000002</v>
      </c>
      <c r="L57" s="1">
        <v>1.1719999999999999</v>
      </c>
      <c r="M57" s="1">
        <f t="shared" si="3"/>
        <v>-1.1719999999999999</v>
      </c>
      <c r="N57">
        <v>21.342821050157589</v>
      </c>
      <c r="O57" s="3">
        <v>29.470026327884753</v>
      </c>
      <c r="P57" s="3">
        <v>9.857930339402543</v>
      </c>
      <c r="Q57">
        <v>93.8</v>
      </c>
      <c r="R57">
        <v>803</v>
      </c>
    </row>
    <row r="58" spans="1:18" x14ac:dyDescent="0.35">
      <c r="A58" s="5">
        <v>44722</v>
      </c>
      <c r="B58" t="s">
        <v>32</v>
      </c>
      <c r="C58" t="s">
        <v>162</v>
      </c>
      <c r="D58" t="s">
        <v>253</v>
      </c>
      <c r="E58">
        <v>1</v>
      </c>
      <c r="F58" t="s">
        <v>69</v>
      </c>
      <c r="G58" t="s">
        <v>82</v>
      </c>
      <c r="H58" t="s">
        <v>187</v>
      </c>
      <c r="I58" t="s">
        <v>187</v>
      </c>
      <c r="J58" s="1">
        <v>0.12400000000000005</v>
      </c>
      <c r="K58" s="1">
        <f t="shared" si="2"/>
        <v>-0.12400000000000005</v>
      </c>
      <c r="L58" s="1">
        <v>1.4200000000000002</v>
      </c>
      <c r="M58" s="1">
        <f t="shared" si="3"/>
        <v>-1.4200000000000002</v>
      </c>
      <c r="N58" t="e">
        <v>#VALUE!</v>
      </c>
      <c r="O58" s="3" t="e">
        <v>#VALUE!</v>
      </c>
      <c r="P58" s="3" t="e">
        <v>#VALUE!</v>
      </c>
      <c r="Q58">
        <v>77.3</v>
      </c>
      <c r="R58">
        <v>705</v>
      </c>
    </row>
    <row r="59" spans="1:18" x14ac:dyDescent="0.35">
      <c r="A59" s="5">
        <v>44722</v>
      </c>
      <c r="B59" t="s">
        <v>32</v>
      </c>
      <c r="C59" t="s">
        <v>162</v>
      </c>
      <c r="D59" t="s">
        <v>253</v>
      </c>
      <c r="E59">
        <v>2</v>
      </c>
      <c r="F59" t="s">
        <v>72</v>
      </c>
      <c r="G59" t="s">
        <v>188</v>
      </c>
      <c r="H59" t="s">
        <v>189</v>
      </c>
      <c r="I59" t="s">
        <v>189</v>
      </c>
      <c r="J59" s="1">
        <v>0.70500000000000007</v>
      </c>
      <c r="K59" s="1">
        <f t="shared" si="2"/>
        <v>-0.70500000000000007</v>
      </c>
      <c r="L59" s="1">
        <v>1.3340000000000001</v>
      </c>
      <c r="M59" s="1">
        <f t="shared" si="3"/>
        <v>-1.3340000000000001</v>
      </c>
      <c r="N59">
        <v>8.7935837744327117</v>
      </c>
      <c r="O59" s="3">
        <v>794.19527780866497</v>
      </c>
      <c r="P59" s="3">
        <v>5.9445458991716187</v>
      </c>
      <c r="Q59">
        <v>85.7</v>
      </c>
      <c r="R59">
        <v>734</v>
      </c>
    </row>
    <row r="60" spans="1:18" x14ac:dyDescent="0.35">
      <c r="A60" s="5">
        <v>44722</v>
      </c>
      <c r="B60" t="s">
        <v>32</v>
      </c>
      <c r="C60" t="s">
        <v>162</v>
      </c>
      <c r="D60" t="s">
        <v>253</v>
      </c>
      <c r="E60">
        <v>7</v>
      </c>
      <c r="F60" t="s">
        <v>75</v>
      </c>
      <c r="G60" t="s">
        <v>79</v>
      </c>
      <c r="H60" t="s">
        <v>190</v>
      </c>
      <c r="I60" t="s">
        <v>190</v>
      </c>
      <c r="J60" s="1">
        <v>0.64399999999999991</v>
      </c>
      <c r="K60" s="1">
        <f t="shared" si="2"/>
        <v>-0.64399999999999991</v>
      </c>
      <c r="L60" s="1">
        <v>1.0919999999999996</v>
      </c>
      <c r="M60" s="1">
        <f t="shared" si="3"/>
        <v>-1.0919999999999996</v>
      </c>
      <c r="N60">
        <v>3.6866656251525853E-2</v>
      </c>
      <c r="O60" s="3">
        <v>6.2078819513640049</v>
      </c>
      <c r="P60" s="3">
        <v>-2.5904667926167981</v>
      </c>
      <c r="Q60">
        <v>55</v>
      </c>
      <c r="R60">
        <v>622</v>
      </c>
    </row>
    <row r="61" spans="1:18" x14ac:dyDescent="0.35">
      <c r="A61" s="5">
        <v>44722</v>
      </c>
      <c r="B61" t="s">
        <v>32</v>
      </c>
      <c r="C61" t="s">
        <v>162</v>
      </c>
      <c r="D61" t="s">
        <v>253</v>
      </c>
      <c r="E61">
        <v>5</v>
      </c>
      <c r="F61" t="s">
        <v>78</v>
      </c>
      <c r="G61" t="s">
        <v>65</v>
      </c>
      <c r="H61" t="s">
        <v>191</v>
      </c>
      <c r="I61" t="s">
        <v>191</v>
      </c>
      <c r="J61" s="1">
        <v>0.20900000000000002</v>
      </c>
      <c r="K61" s="1">
        <f t="shared" si="2"/>
        <v>-0.20900000000000002</v>
      </c>
      <c r="L61" s="1">
        <v>0.26300000000000001</v>
      </c>
      <c r="M61" s="1">
        <f t="shared" si="3"/>
        <v>-0.26300000000000001</v>
      </c>
      <c r="N61">
        <v>-0.76622442458556606</v>
      </c>
      <c r="O61" s="3">
        <v>-1.1733577690773154</v>
      </c>
      <c r="P61" s="3">
        <v>-0.46165547475943591</v>
      </c>
      <c r="Q61">
        <v>43.6</v>
      </c>
      <c r="R61">
        <v>371</v>
      </c>
    </row>
    <row r="62" spans="1:18" x14ac:dyDescent="0.35">
      <c r="A62" s="5">
        <v>44722</v>
      </c>
      <c r="B62" t="s">
        <v>32</v>
      </c>
      <c r="C62" t="s">
        <v>162</v>
      </c>
      <c r="D62" t="s">
        <v>253</v>
      </c>
      <c r="E62">
        <v>10</v>
      </c>
      <c r="F62" t="s">
        <v>78</v>
      </c>
      <c r="G62" t="s">
        <v>153</v>
      </c>
      <c r="H62" t="s">
        <v>192</v>
      </c>
      <c r="I62" t="s">
        <v>192</v>
      </c>
      <c r="J62" s="1">
        <v>7.7999999999999958E-2</v>
      </c>
      <c r="K62" s="1">
        <f t="shared" si="2"/>
        <v>-7.7999999999999958E-2</v>
      </c>
      <c r="L62" s="1">
        <v>4.8000000000000043E-2</v>
      </c>
      <c r="M62" s="1">
        <f t="shared" si="3"/>
        <v>-4.8000000000000043E-2</v>
      </c>
      <c r="N62">
        <v>19.790916774954255</v>
      </c>
      <c r="O62" s="3">
        <v>42.696156063691845</v>
      </c>
      <c r="P62" s="3">
        <v>34.412644009521337</v>
      </c>
      <c r="Q62">
        <v>75</v>
      </c>
      <c r="R62">
        <v>640</v>
      </c>
    </row>
    <row r="63" spans="1:18" x14ac:dyDescent="0.35">
      <c r="A63" s="5">
        <v>44722</v>
      </c>
      <c r="B63" t="s">
        <v>32</v>
      </c>
      <c r="C63" t="s">
        <v>162</v>
      </c>
      <c r="D63" t="s">
        <v>253</v>
      </c>
      <c r="E63">
        <v>8</v>
      </c>
      <c r="F63" t="s">
        <v>81</v>
      </c>
      <c r="G63" t="s">
        <v>193</v>
      </c>
      <c r="H63" t="s">
        <v>194</v>
      </c>
      <c r="I63" t="s">
        <v>194</v>
      </c>
      <c r="J63" s="1">
        <v>0.87399999999999989</v>
      </c>
      <c r="K63" s="1">
        <f t="shared" si="2"/>
        <v>-0.87399999999999989</v>
      </c>
      <c r="L63" s="1">
        <v>1.6400000000000001</v>
      </c>
      <c r="M63" s="1">
        <f t="shared" si="3"/>
        <v>-1.6400000000000001</v>
      </c>
      <c r="N63">
        <v>15.7364224082857</v>
      </c>
      <c r="O63" s="3">
        <v>5.0499368930941051</v>
      </c>
      <c r="P63" s="3">
        <v>4.0818182862199457</v>
      </c>
      <c r="Q63">
        <v>22.6</v>
      </c>
      <c r="R63">
        <v>352</v>
      </c>
    </row>
    <row r="64" spans="1:18" x14ac:dyDescent="0.35">
      <c r="A64" s="5">
        <v>44720</v>
      </c>
      <c r="B64" t="s">
        <v>32</v>
      </c>
      <c r="C64" t="s">
        <v>195</v>
      </c>
      <c r="D64" t="s">
        <v>35</v>
      </c>
      <c r="E64">
        <v>2</v>
      </c>
      <c r="F64" t="s">
        <v>87</v>
      </c>
      <c r="G64" t="s">
        <v>56</v>
      </c>
      <c r="H64" t="s">
        <v>196</v>
      </c>
      <c r="I64" t="s">
        <v>196</v>
      </c>
      <c r="J64" s="1">
        <v>0.20299999999999985</v>
      </c>
      <c r="K64" s="1">
        <f t="shared" si="2"/>
        <v>-0.20299999999999985</v>
      </c>
      <c r="L64" s="1">
        <v>0.40800000000000003</v>
      </c>
      <c r="M64" s="1">
        <f t="shared" si="3"/>
        <v>-0.40800000000000003</v>
      </c>
      <c r="N64">
        <v>-3.8378998143468905</v>
      </c>
      <c r="O64" s="3">
        <v>-12.706538332894374</v>
      </c>
      <c r="P64" s="3">
        <v>-5.6022376371299716</v>
      </c>
      <c r="Q64">
        <v>58</v>
      </c>
      <c r="R64">
        <v>684</v>
      </c>
    </row>
    <row r="65" spans="1:18" x14ac:dyDescent="0.35">
      <c r="A65" s="5">
        <v>44720</v>
      </c>
      <c r="B65" t="s">
        <v>32</v>
      </c>
      <c r="C65" t="s">
        <v>195</v>
      </c>
      <c r="D65" t="s">
        <v>35</v>
      </c>
      <c r="E65">
        <v>8</v>
      </c>
      <c r="F65" t="s">
        <v>87</v>
      </c>
      <c r="G65" t="s">
        <v>155</v>
      </c>
      <c r="H65" t="s">
        <v>199</v>
      </c>
      <c r="I65" t="s">
        <v>199</v>
      </c>
      <c r="J65" s="1">
        <v>0.78900000000000003</v>
      </c>
      <c r="K65" s="1">
        <f t="shared" si="2"/>
        <v>-0.78900000000000003</v>
      </c>
      <c r="L65" s="1">
        <v>1.798</v>
      </c>
      <c r="M65" s="1">
        <f t="shared" si="3"/>
        <v>-1.798</v>
      </c>
      <c r="N65">
        <v>47.374942428063385</v>
      </c>
      <c r="O65" s="3">
        <v>43.784312632597597</v>
      </c>
      <c r="P65" s="3">
        <v>58.672558718374404</v>
      </c>
      <c r="Q65">
        <v>30</v>
      </c>
      <c r="R65">
        <v>350</v>
      </c>
    </row>
    <row r="66" spans="1:18" x14ac:dyDescent="0.35">
      <c r="A66" s="5">
        <v>44720</v>
      </c>
      <c r="B66" t="s">
        <v>32</v>
      </c>
      <c r="C66" t="s">
        <v>195</v>
      </c>
      <c r="D66" t="s">
        <v>35</v>
      </c>
      <c r="E66">
        <v>5</v>
      </c>
      <c r="F66" t="s">
        <v>36</v>
      </c>
      <c r="G66" t="s">
        <v>125</v>
      </c>
      <c r="H66" t="s">
        <v>202</v>
      </c>
      <c r="I66" t="s">
        <v>202</v>
      </c>
      <c r="J66" s="1">
        <v>1.62</v>
      </c>
      <c r="K66" s="1">
        <f t="shared" ref="K66:K94" si="4">-J66</f>
        <v>-1.62</v>
      </c>
      <c r="L66" s="1">
        <v>1.8750000000000004</v>
      </c>
      <c r="M66" s="1">
        <f t="shared" ref="M66:M94" si="5">-L66</f>
        <v>-1.8750000000000004</v>
      </c>
      <c r="N66">
        <v>53.973491146852659</v>
      </c>
      <c r="O66" s="3">
        <v>71.344371863117644</v>
      </c>
      <c r="P66" s="3">
        <v>32.873646156887993</v>
      </c>
      <c r="Q66">
        <v>32.1</v>
      </c>
      <c r="R66">
        <v>370</v>
      </c>
    </row>
    <row r="67" spans="1:18" x14ac:dyDescent="0.35">
      <c r="A67" s="5">
        <v>44721</v>
      </c>
      <c r="B67" t="s">
        <v>32</v>
      </c>
      <c r="C67" t="s">
        <v>195</v>
      </c>
      <c r="D67" t="s">
        <v>35</v>
      </c>
      <c r="E67">
        <v>3</v>
      </c>
      <c r="F67" t="s">
        <v>43</v>
      </c>
      <c r="G67" t="s">
        <v>145</v>
      </c>
      <c r="H67" t="s">
        <v>203</v>
      </c>
      <c r="I67" t="s">
        <v>203</v>
      </c>
      <c r="J67" s="1">
        <v>0.18200000000000005</v>
      </c>
      <c r="K67" s="1">
        <f t="shared" si="4"/>
        <v>-0.18200000000000005</v>
      </c>
      <c r="L67" s="1">
        <v>0.60499999999999998</v>
      </c>
      <c r="M67" s="1">
        <f t="shared" si="5"/>
        <v>-0.60499999999999998</v>
      </c>
      <c r="N67">
        <v>19.332128005002208</v>
      </c>
      <c r="O67" s="3">
        <v>-322.50778316987038</v>
      </c>
      <c r="P67" s="3">
        <v>3.0307051477098348</v>
      </c>
      <c r="Q67">
        <v>97</v>
      </c>
      <c r="R67">
        <v>770</v>
      </c>
    </row>
    <row r="68" spans="1:18" x14ac:dyDescent="0.35">
      <c r="A68" s="5">
        <v>44721</v>
      </c>
      <c r="B68" t="s">
        <v>32</v>
      </c>
      <c r="C68" t="s">
        <v>195</v>
      </c>
      <c r="D68" t="s">
        <v>35</v>
      </c>
      <c r="E68">
        <v>1</v>
      </c>
      <c r="F68" t="s">
        <v>50</v>
      </c>
      <c r="G68" t="s">
        <v>205</v>
      </c>
      <c r="H68" t="s">
        <v>206</v>
      </c>
      <c r="I68" t="s">
        <v>206</v>
      </c>
      <c r="J68" s="1">
        <v>1.7910000000000001</v>
      </c>
      <c r="K68" s="1">
        <f t="shared" si="4"/>
        <v>-1.7910000000000001</v>
      </c>
      <c r="L68" s="1">
        <v>1.1309999999999998</v>
      </c>
      <c r="M68" s="1">
        <f t="shared" si="5"/>
        <v>-1.1309999999999998</v>
      </c>
      <c r="N68">
        <v>23.609912266500093</v>
      </c>
      <c r="O68" s="3">
        <v>-57.574855338275299</v>
      </c>
      <c r="P68" s="3">
        <v>8.5455918332337912</v>
      </c>
      <c r="Q68">
        <v>33.200000000000003</v>
      </c>
      <c r="R68">
        <v>460</v>
      </c>
    </row>
    <row r="69" spans="1:18" x14ac:dyDescent="0.35">
      <c r="A69" s="5">
        <v>44720</v>
      </c>
      <c r="B69" t="s">
        <v>32</v>
      </c>
      <c r="C69" t="s">
        <v>195</v>
      </c>
      <c r="D69" t="s">
        <v>35</v>
      </c>
      <c r="E69">
        <v>4</v>
      </c>
      <c r="F69" t="s">
        <v>50</v>
      </c>
      <c r="G69" t="s">
        <v>207</v>
      </c>
      <c r="H69" t="s">
        <v>208</v>
      </c>
      <c r="I69" t="s">
        <v>208</v>
      </c>
      <c r="J69" s="1">
        <v>1.7309999999999999</v>
      </c>
      <c r="K69" s="1">
        <f t="shared" si="4"/>
        <v>-1.7309999999999999</v>
      </c>
      <c r="L69" s="1">
        <v>2.7550000000000003</v>
      </c>
      <c r="M69" s="1">
        <f t="shared" si="5"/>
        <v>-2.7550000000000003</v>
      </c>
      <c r="N69">
        <v>27.782357479054834</v>
      </c>
      <c r="O69" s="3">
        <v>11.04218842593559</v>
      </c>
      <c r="P69" s="3">
        <v>5.2409900688647912</v>
      </c>
      <c r="Q69">
        <v>42.8</v>
      </c>
      <c r="R69">
        <v>570</v>
      </c>
    </row>
    <row r="70" spans="1:18" x14ac:dyDescent="0.35">
      <c r="A70" s="5">
        <v>44721</v>
      </c>
      <c r="B70" t="s">
        <v>32</v>
      </c>
      <c r="C70" t="s">
        <v>195</v>
      </c>
      <c r="D70" t="s">
        <v>35</v>
      </c>
      <c r="E70">
        <v>7</v>
      </c>
      <c r="F70" t="s">
        <v>53</v>
      </c>
      <c r="G70" t="s">
        <v>51</v>
      </c>
      <c r="H70" t="s">
        <v>209</v>
      </c>
      <c r="I70" t="s">
        <v>209</v>
      </c>
      <c r="J70" s="1">
        <v>2.7620000000000005</v>
      </c>
      <c r="K70" s="1">
        <f t="shared" si="4"/>
        <v>-2.7620000000000005</v>
      </c>
      <c r="L70" s="1">
        <v>2.2449999999999997</v>
      </c>
      <c r="M70" s="1">
        <f t="shared" si="5"/>
        <v>-2.2449999999999997</v>
      </c>
      <c r="N70">
        <v>7.8001341189478515</v>
      </c>
      <c r="O70" s="3">
        <v>9.1281981839876298</v>
      </c>
      <c r="P70" s="3">
        <v>3.9213043126001845</v>
      </c>
      <c r="Q70">
        <v>13.9</v>
      </c>
      <c r="R70">
        <v>342</v>
      </c>
    </row>
    <row r="71" spans="1:18" x14ac:dyDescent="0.35">
      <c r="A71" s="5">
        <v>44721</v>
      </c>
      <c r="B71" t="s">
        <v>32</v>
      </c>
      <c r="C71" t="s">
        <v>195</v>
      </c>
      <c r="D71" t="s">
        <v>35</v>
      </c>
      <c r="E71">
        <v>8</v>
      </c>
      <c r="F71" t="s">
        <v>53</v>
      </c>
      <c r="G71" t="s">
        <v>210</v>
      </c>
      <c r="H71" t="s">
        <v>211</v>
      </c>
      <c r="I71" t="s">
        <v>211</v>
      </c>
      <c r="J71" s="1">
        <v>1.833</v>
      </c>
      <c r="K71" s="1">
        <f t="shared" si="4"/>
        <v>-1.833</v>
      </c>
      <c r="L71" s="1">
        <v>1.9110000000000003</v>
      </c>
      <c r="M71" s="1">
        <f t="shared" si="5"/>
        <v>-1.9110000000000003</v>
      </c>
      <c r="N71">
        <v>6.4381572159366112</v>
      </c>
      <c r="O71" s="3">
        <v>11.611304736031181</v>
      </c>
      <c r="P71" s="3">
        <v>2.3344986527207152</v>
      </c>
      <c r="Q71">
        <v>20.3</v>
      </c>
      <c r="R71">
        <v>310</v>
      </c>
    </row>
    <row r="72" spans="1:18" x14ac:dyDescent="0.35">
      <c r="A72" s="5">
        <v>44720</v>
      </c>
      <c r="B72" t="s">
        <v>32</v>
      </c>
      <c r="C72" t="s">
        <v>195</v>
      </c>
      <c r="D72" t="s">
        <v>35</v>
      </c>
      <c r="E72">
        <v>3</v>
      </c>
      <c r="F72" t="s">
        <v>58</v>
      </c>
      <c r="G72" t="s">
        <v>179</v>
      </c>
      <c r="H72" t="s">
        <v>212</v>
      </c>
      <c r="I72" t="s">
        <v>212</v>
      </c>
      <c r="J72" s="1">
        <v>-0.53699999999999981</v>
      </c>
      <c r="K72" s="1">
        <f t="shared" si="4"/>
        <v>0.53699999999999981</v>
      </c>
      <c r="L72" s="1">
        <v>-0.26400000000000001</v>
      </c>
      <c r="M72" s="1">
        <f t="shared" si="5"/>
        <v>0.26400000000000001</v>
      </c>
      <c r="N72">
        <v>26.811620607588633</v>
      </c>
      <c r="O72" s="3">
        <v>22.035143472716157</v>
      </c>
      <c r="P72" s="3">
        <v>17.225015629120591</v>
      </c>
      <c r="Q72">
        <v>55</v>
      </c>
      <c r="R72">
        <v>715</v>
      </c>
    </row>
    <row r="73" spans="1:18" x14ac:dyDescent="0.35">
      <c r="A73" s="5">
        <v>44720</v>
      </c>
      <c r="B73" t="s">
        <v>32</v>
      </c>
      <c r="C73" t="s">
        <v>195</v>
      </c>
      <c r="D73" t="s">
        <v>35</v>
      </c>
      <c r="E73">
        <v>7</v>
      </c>
      <c r="F73" t="s">
        <v>69</v>
      </c>
      <c r="G73" t="s">
        <v>213</v>
      </c>
      <c r="H73" t="s">
        <v>214</v>
      </c>
      <c r="I73" t="s">
        <v>214</v>
      </c>
      <c r="J73" s="1">
        <v>1.6330000000000002</v>
      </c>
      <c r="K73" s="1">
        <f t="shared" si="4"/>
        <v>-1.6330000000000002</v>
      </c>
      <c r="L73" s="1">
        <v>1.3130000000000002</v>
      </c>
      <c r="M73" s="1">
        <f t="shared" si="5"/>
        <v>-1.3130000000000002</v>
      </c>
      <c r="N73">
        <v>-50.986873404573942</v>
      </c>
      <c r="O73" s="3">
        <v>-56.285736326697496</v>
      </c>
      <c r="P73" s="3">
        <v>-45.385951079473386</v>
      </c>
      <c r="Q73">
        <v>80</v>
      </c>
      <c r="R73">
        <v>710</v>
      </c>
    </row>
    <row r="74" spans="1:18" x14ac:dyDescent="0.35">
      <c r="A74" s="5">
        <v>44720</v>
      </c>
      <c r="B74" t="s">
        <v>32</v>
      </c>
      <c r="C74" t="s">
        <v>195</v>
      </c>
      <c r="D74" t="s">
        <v>35</v>
      </c>
      <c r="E74">
        <v>1</v>
      </c>
      <c r="F74" t="s">
        <v>69</v>
      </c>
      <c r="G74" t="s">
        <v>181</v>
      </c>
      <c r="H74" t="s">
        <v>215</v>
      </c>
      <c r="I74" t="s">
        <v>215</v>
      </c>
      <c r="J74" s="1">
        <v>1.3760000000000001</v>
      </c>
      <c r="K74" s="1">
        <f t="shared" si="4"/>
        <v>-1.3760000000000001</v>
      </c>
      <c r="L74" s="1">
        <v>1.456</v>
      </c>
      <c r="M74" s="1">
        <f t="shared" si="5"/>
        <v>-1.456</v>
      </c>
      <c r="N74">
        <v>19.193833833010078</v>
      </c>
      <c r="O74" s="3">
        <v>8.2886170325994897</v>
      </c>
      <c r="P74" s="3">
        <v>-9.3918582549702769</v>
      </c>
      <c r="Q74">
        <v>94</v>
      </c>
      <c r="R74">
        <v>800</v>
      </c>
    </row>
    <row r="75" spans="1:18" x14ac:dyDescent="0.35">
      <c r="A75" s="5">
        <v>44721</v>
      </c>
      <c r="B75" t="s">
        <v>32</v>
      </c>
      <c r="C75" t="s">
        <v>195</v>
      </c>
      <c r="D75" t="s">
        <v>35</v>
      </c>
      <c r="E75">
        <v>6</v>
      </c>
      <c r="F75" t="s">
        <v>72</v>
      </c>
      <c r="G75" t="s">
        <v>65</v>
      </c>
      <c r="H75" t="s">
        <v>216</v>
      </c>
      <c r="I75" t="s">
        <v>216</v>
      </c>
      <c r="J75" s="1">
        <v>2.7839999999999998</v>
      </c>
      <c r="K75" s="1">
        <f t="shared" si="4"/>
        <v>-2.7839999999999998</v>
      </c>
      <c r="L75" s="1">
        <v>3.5260000000000002</v>
      </c>
      <c r="M75" s="1">
        <f t="shared" si="5"/>
        <v>-3.5260000000000002</v>
      </c>
      <c r="N75">
        <v>25.304969811348144</v>
      </c>
      <c r="O75" s="3">
        <v>124.79449181550228</v>
      </c>
      <c r="P75" s="3">
        <v>41.875331420423315</v>
      </c>
      <c r="Q75">
        <v>37.700000000000003</v>
      </c>
      <c r="R75">
        <v>480</v>
      </c>
    </row>
    <row r="76" spans="1:18" x14ac:dyDescent="0.35">
      <c r="A76" s="5">
        <v>44720</v>
      </c>
      <c r="B76" t="s">
        <v>32</v>
      </c>
      <c r="C76" t="s">
        <v>195</v>
      </c>
      <c r="D76" t="s">
        <v>35</v>
      </c>
      <c r="E76">
        <v>6</v>
      </c>
      <c r="F76" t="s">
        <v>72</v>
      </c>
      <c r="G76" t="s">
        <v>217</v>
      </c>
      <c r="H76" t="s">
        <v>218</v>
      </c>
      <c r="I76" t="s">
        <v>218</v>
      </c>
      <c r="J76" s="1">
        <v>2.1379999999999999</v>
      </c>
      <c r="K76" s="1">
        <f t="shared" si="4"/>
        <v>-2.1379999999999999</v>
      </c>
      <c r="L76" s="1">
        <v>2.9699999999999998</v>
      </c>
      <c r="M76" s="1">
        <f t="shared" si="5"/>
        <v>-2.9699999999999998</v>
      </c>
      <c r="N76">
        <v>7.5530785457688134</v>
      </c>
      <c r="O76" s="3">
        <v>3.2889981858588611</v>
      </c>
      <c r="P76" s="3">
        <v>1.7338806996896483</v>
      </c>
      <c r="Q76">
        <v>45.4</v>
      </c>
      <c r="R76">
        <v>650</v>
      </c>
    </row>
    <row r="77" spans="1:18" x14ac:dyDescent="0.35">
      <c r="A77" s="5">
        <v>44721</v>
      </c>
      <c r="B77" t="s">
        <v>32</v>
      </c>
      <c r="C77" t="s">
        <v>195</v>
      </c>
      <c r="D77" t="s">
        <v>35</v>
      </c>
      <c r="E77">
        <v>2</v>
      </c>
      <c r="F77" t="s">
        <v>75</v>
      </c>
      <c r="G77" t="s">
        <v>219</v>
      </c>
      <c r="H77" t="s">
        <v>220</v>
      </c>
      <c r="I77" t="s">
        <v>220</v>
      </c>
      <c r="J77" s="1">
        <v>1.7670000000000003</v>
      </c>
      <c r="K77" s="1">
        <f t="shared" si="4"/>
        <v>-1.7670000000000003</v>
      </c>
      <c r="L77" s="1">
        <v>1.8560000000000003</v>
      </c>
      <c r="M77" s="1">
        <f t="shared" si="5"/>
        <v>-1.8560000000000003</v>
      </c>
      <c r="N77">
        <v>13.928358209845991</v>
      </c>
      <c r="O77" s="3">
        <v>20.174209782167214</v>
      </c>
      <c r="P77" s="3">
        <v>3.2286713294408278</v>
      </c>
      <c r="Q77">
        <v>52</v>
      </c>
      <c r="R77">
        <v>575</v>
      </c>
    </row>
    <row r="78" spans="1:18" x14ac:dyDescent="0.35">
      <c r="A78" s="5">
        <v>44721</v>
      </c>
      <c r="B78" t="s">
        <v>32</v>
      </c>
      <c r="C78" t="s">
        <v>195</v>
      </c>
      <c r="D78" t="s">
        <v>35</v>
      </c>
      <c r="E78">
        <v>4</v>
      </c>
      <c r="F78" t="s">
        <v>78</v>
      </c>
      <c r="G78" t="s">
        <v>73</v>
      </c>
      <c r="H78" t="s">
        <v>221</v>
      </c>
      <c r="I78" t="s">
        <v>221</v>
      </c>
      <c r="J78" s="1">
        <v>0.27299999999999991</v>
      </c>
      <c r="K78" s="1">
        <f t="shared" si="4"/>
        <v>-0.27299999999999991</v>
      </c>
      <c r="L78" s="1">
        <v>7.0000000000001172E-3</v>
      </c>
      <c r="M78" s="1">
        <f t="shared" si="5"/>
        <v>-7.0000000000001172E-3</v>
      </c>
      <c r="N78">
        <v>19.901221193735019</v>
      </c>
      <c r="O78" s="3">
        <v>-1.2304913671447721</v>
      </c>
      <c r="P78" s="3">
        <v>0.28625105005738072</v>
      </c>
      <c r="Q78">
        <v>83</v>
      </c>
      <c r="R78">
        <v>620</v>
      </c>
    </row>
    <row r="79" spans="1:18" x14ac:dyDescent="0.35">
      <c r="A79" s="5">
        <v>44721</v>
      </c>
      <c r="B79" t="s">
        <v>32</v>
      </c>
      <c r="C79" t="s">
        <v>195</v>
      </c>
      <c r="D79" t="s">
        <v>35</v>
      </c>
      <c r="E79">
        <v>5</v>
      </c>
      <c r="F79" t="s">
        <v>81</v>
      </c>
      <c r="G79" t="s">
        <v>222</v>
      </c>
      <c r="H79" t="s">
        <v>223</v>
      </c>
      <c r="I79" t="s">
        <v>223</v>
      </c>
      <c r="J79" s="1">
        <v>1.5799999999999998</v>
      </c>
      <c r="K79" s="1">
        <f t="shared" si="4"/>
        <v>-1.5799999999999998</v>
      </c>
      <c r="L79" s="1">
        <v>0.82200000000000006</v>
      </c>
      <c r="M79" s="1">
        <f t="shared" si="5"/>
        <v>-0.82200000000000006</v>
      </c>
      <c r="N79">
        <v>19.592047116145451</v>
      </c>
      <c r="O79" s="3">
        <v>-7.4791746206972345</v>
      </c>
      <c r="P79" s="3">
        <v>2.3597335867413545</v>
      </c>
      <c r="Q79">
        <v>23.8</v>
      </c>
      <c r="R79">
        <v>350</v>
      </c>
    </row>
    <row r="80" spans="1:18" x14ac:dyDescent="0.35">
      <c r="A80" s="5">
        <v>44722</v>
      </c>
      <c r="B80" t="s">
        <v>32</v>
      </c>
      <c r="C80" t="s">
        <v>224</v>
      </c>
      <c r="D80" t="s">
        <v>253</v>
      </c>
      <c r="E80">
        <v>11</v>
      </c>
      <c r="F80" t="s">
        <v>36</v>
      </c>
      <c r="G80" t="s">
        <v>225</v>
      </c>
      <c r="H80" t="s">
        <v>226</v>
      </c>
      <c r="I80" t="s">
        <v>226</v>
      </c>
      <c r="J80" s="1">
        <v>0.94699999999999995</v>
      </c>
      <c r="K80" s="1">
        <f t="shared" si="4"/>
        <v>-0.94699999999999995</v>
      </c>
      <c r="L80" s="1">
        <v>0.16499999999999981</v>
      </c>
      <c r="M80" s="1">
        <f t="shared" si="5"/>
        <v>-0.16499999999999981</v>
      </c>
      <c r="N80">
        <v>-2.9186025376045084</v>
      </c>
      <c r="O80" s="3">
        <v>46.543890155768864</v>
      </c>
      <c r="P80" s="3">
        <v>-1.7563229941275047</v>
      </c>
      <c r="Q80">
        <v>90</v>
      </c>
      <c r="R80">
        <v>650</v>
      </c>
    </row>
    <row r="81" spans="1:18" x14ac:dyDescent="0.35">
      <c r="A81" s="5">
        <v>44722</v>
      </c>
      <c r="B81" t="s">
        <v>32</v>
      </c>
      <c r="C81" t="s">
        <v>224</v>
      </c>
      <c r="D81" t="s">
        <v>253</v>
      </c>
      <c r="E81">
        <v>4</v>
      </c>
      <c r="F81" t="s">
        <v>43</v>
      </c>
      <c r="G81" t="s">
        <v>73</v>
      </c>
      <c r="H81" t="s">
        <v>231</v>
      </c>
      <c r="I81" t="s">
        <v>231</v>
      </c>
      <c r="J81" s="1">
        <v>0.80099999999999993</v>
      </c>
      <c r="K81" s="1">
        <f t="shared" si="4"/>
        <v>-0.80099999999999993</v>
      </c>
      <c r="L81" s="1" t="e">
        <v>#VALUE!</v>
      </c>
      <c r="M81" s="1" t="e">
        <f t="shared" si="5"/>
        <v>#VALUE!</v>
      </c>
      <c r="N81">
        <v>-3.8791611120876368</v>
      </c>
      <c r="O81" s="3" t="e">
        <v>#VALUE!</v>
      </c>
      <c r="P81" s="3">
        <v>-9.2388385089475165</v>
      </c>
      <c r="Q81">
        <v>107</v>
      </c>
      <c r="R81">
        <v>840</v>
      </c>
    </row>
    <row r="82" spans="1:18" x14ac:dyDescent="0.35">
      <c r="A82" s="5">
        <v>44722</v>
      </c>
      <c r="B82" t="s">
        <v>32</v>
      </c>
      <c r="C82" t="s">
        <v>224</v>
      </c>
      <c r="D82" t="s">
        <v>253</v>
      </c>
      <c r="E82">
        <v>14</v>
      </c>
      <c r="F82" t="s">
        <v>50</v>
      </c>
      <c r="G82" t="s">
        <v>62</v>
      </c>
      <c r="H82" t="s">
        <v>235</v>
      </c>
      <c r="I82" t="s">
        <v>235</v>
      </c>
      <c r="J82" s="1">
        <v>-2.4000000000000021E-2</v>
      </c>
      <c r="K82" s="1">
        <f t="shared" si="4"/>
        <v>2.4000000000000021E-2</v>
      </c>
      <c r="L82" s="1">
        <v>-0.57300000000000018</v>
      </c>
      <c r="M82" s="1">
        <f t="shared" si="5"/>
        <v>0.57300000000000018</v>
      </c>
      <c r="N82">
        <v>7.7339532720802513</v>
      </c>
      <c r="O82" s="3">
        <v>20.986072530044289</v>
      </c>
      <c r="P82" s="3">
        <v>15.895908431824159</v>
      </c>
      <c r="Q82">
        <v>39.299999999999997</v>
      </c>
      <c r="R82">
        <v>410</v>
      </c>
    </row>
    <row r="83" spans="1:18" x14ac:dyDescent="0.35">
      <c r="A83" s="5">
        <v>44722</v>
      </c>
      <c r="B83" t="s">
        <v>32</v>
      </c>
      <c r="C83" t="s">
        <v>224</v>
      </c>
      <c r="D83" t="s">
        <v>253</v>
      </c>
      <c r="E83">
        <v>2</v>
      </c>
      <c r="F83" t="s">
        <v>50</v>
      </c>
      <c r="G83" t="s">
        <v>193</v>
      </c>
      <c r="H83" t="s">
        <v>236</v>
      </c>
      <c r="I83" t="s">
        <v>236</v>
      </c>
      <c r="J83" s="1">
        <v>4.7000000000000042E-2</v>
      </c>
      <c r="K83" s="1">
        <f t="shared" si="4"/>
        <v>-4.7000000000000042E-2</v>
      </c>
      <c r="L83" s="1">
        <v>-0.20999999999999996</v>
      </c>
      <c r="M83" s="1">
        <f t="shared" si="5"/>
        <v>0.20999999999999996</v>
      </c>
      <c r="N83">
        <v>25.841219906614487</v>
      </c>
      <c r="O83" s="3">
        <v>23.399653033442167</v>
      </c>
      <c r="P83" s="3">
        <v>5.5378697560152048</v>
      </c>
      <c r="Q83">
        <v>65</v>
      </c>
      <c r="R83">
        <v>575</v>
      </c>
    </row>
    <row r="84" spans="1:18" x14ac:dyDescent="0.35">
      <c r="A84" s="5">
        <v>44722</v>
      </c>
      <c r="B84" t="s">
        <v>32</v>
      </c>
      <c r="C84" t="s">
        <v>224</v>
      </c>
      <c r="D84" t="s">
        <v>253</v>
      </c>
      <c r="E84">
        <v>8</v>
      </c>
      <c r="F84" t="s">
        <v>53</v>
      </c>
      <c r="G84" t="s">
        <v>114</v>
      </c>
      <c r="H84" t="s">
        <v>237</v>
      </c>
      <c r="I84" t="s">
        <v>237</v>
      </c>
      <c r="J84" s="1">
        <v>0.60299999999999998</v>
      </c>
      <c r="K84" s="1">
        <f t="shared" si="4"/>
        <v>-0.60299999999999998</v>
      </c>
      <c r="L84" s="1">
        <v>0.63800000000000012</v>
      </c>
      <c r="M84" s="1">
        <f t="shared" si="5"/>
        <v>-0.63800000000000012</v>
      </c>
      <c r="N84">
        <v>21.348467339691286</v>
      </c>
      <c r="O84" s="3">
        <v>42.425867226758236</v>
      </c>
      <c r="P84" s="3">
        <v>3.7563942001518775</v>
      </c>
      <c r="Q84">
        <v>65</v>
      </c>
      <c r="R84">
        <v>575</v>
      </c>
    </row>
    <row r="85" spans="1:18" x14ac:dyDescent="0.35">
      <c r="A85" s="5">
        <v>44722</v>
      </c>
      <c r="B85" t="s">
        <v>32</v>
      </c>
      <c r="C85" t="s">
        <v>224</v>
      </c>
      <c r="D85" t="s">
        <v>253</v>
      </c>
      <c r="E85">
        <v>10</v>
      </c>
      <c r="F85" t="s">
        <v>53</v>
      </c>
      <c r="G85" t="s">
        <v>238</v>
      </c>
      <c r="H85" t="s">
        <v>239</v>
      </c>
      <c r="I85" t="s">
        <v>239</v>
      </c>
      <c r="J85" s="1">
        <v>0.51300000000000001</v>
      </c>
      <c r="K85" s="1">
        <f t="shared" si="4"/>
        <v>-0.51300000000000001</v>
      </c>
      <c r="L85" s="1">
        <v>1.67</v>
      </c>
      <c r="M85" s="1">
        <f t="shared" si="5"/>
        <v>-1.67</v>
      </c>
      <c r="N85" t="e">
        <v>#VALUE!</v>
      </c>
      <c r="O85" s="3" t="e">
        <v>#VALUE!</v>
      </c>
      <c r="P85" s="3" t="e">
        <v>#VALUE!</v>
      </c>
      <c r="Q85">
        <v>12.9</v>
      </c>
      <c r="R85">
        <v>270</v>
      </c>
    </row>
    <row r="86" spans="1:18" x14ac:dyDescent="0.35">
      <c r="A86" s="5">
        <v>44722</v>
      </c>
      <c r="B86" t="s">
        <v>32</v>
      </c>
      <c r="C86" t="s">
        <v>224</v>
      </c>
      <c r="D86" t="s">
        <v>253</v>
      </c>
      <c r="E86">
        <v>12</v>
      </c>
      <c r="F86" t="s">
        <v>58</v>
      </c>
      <c r="G86" t="s">
        <v>240</v>
      </c>
      <c r="H86" t="s">
        <v>241</v>
      </c>
      <c r="I86" t="s">
        <v>241</v>
      </c>
      <c r="J86" s="1">
        <v>-5.3000000000000047E-2</v>
      </c>
      <c r="K86" s="1">
        <f t="shared" si="4"/>
        <v>5.3000000000000047E-2</v>
      </c>
      <c r="L86" s="1">
        <v>0.42899999999999994</v>
      </c>
      <c r="M86" s="1">
        <f t="shared" si="5"/>
        <v>-0.42899999999999994</v>
      </c>
      <c r="N86">
        <v>-6.3115788569275528</v>
      </c>
      <c r="O86" s="3">
        <v>-37.915660790255195</v>
      </c>
      <c r="P86" s="3">
        <v>-2.1685799668311478</v>
      </c>
      <c r="Q86">
        <v>85</v>
      </c>
      <c r="R86">
        <v>767</v>
      </c>
    </row>
    <row r="87" spans="1:18" x14ac:dyDescent="0.35">
      <c r="A87" s="5">
        <v>44722</v>
      </c>
      <c r="B87" t="s">
        <v>32</v>
      </c>
      <c r="C87" t="s">
        <v>224</v>
      </c>
      <c r="D87" t="s">
        <v>253</v>
      </c>
      <c r="E87">
        <v>3</v>
      </c>
      <c r="F87" t="s">
        <v>61</v>
      </c>
      <c r="G87" t="s">
        <v>116</v>
      </c>
      <c r="H87" t="s">
        <v>242</v>
      </c>
      <c r="I87" t="s">
        <v>242</v>
      </c>
      <c r="J87" s="1">
        <v>0.47400000000000003</v>
      </c>
      <c r="K87" s="1">
        <f t="shared" si="4"/>
        <v>-0.47400000000000003</v>
      </c>
      <c r="L87" s="1">
        <v>5.8999999999999941E-2</v>
      </c>
      <c r="M87" s="1">
        <f t="shared" si="5"/>
        <v>-5.8999999999999941E-2</v>
      </c>
      <c r="N87">
        <v>36.876433400102911</v>
      </c>
      <c r="O87" s="3">
        <v>4.688843203851067</v>
      </c>
      <c r="P87" s="3">
        <v>2.6662024930691151</v>
      </c>
      <c r="Q87">
        <v>59.2</v>
      </c>
      <c r="R87">
        <v>370</v>
      </c>
    </row>
    <row r="88" spans="1:18" x14ac:dyDescent="0.35">
      <c r="A88" s="5">
        <v>44722</v>
      </c>
      <c r="B88" t="s">
        <v>32</v>
      </c>
      <c r="C88" t="s">
        <v>224</v>
      </c>
      <c r="D88" t="s">
        <v>253</v>
      </c>
      <c r="E88">
        <v>7</v>
      </c>
      <c r="F88" t="s">
        <v>148</v>
      </c>
      <c r="G88" t="s">
        <v>120</v>
      </c>
      <c r="H88" t="s">
        <v>243</v>
      </c>
      <c r="I88" t="s">
        <v>243</v>
      </c>
      <c r="J88" s="1">
        <v>1.0669999999999999</v>
      </c>
      <c r="K88" s="1">
        <f t="shared" si="4"/>
        <v>-1.0669999999999999</v>
      </c>
      <c r="L88" s="1">
        <v>1.238</v>
      </c>
      <c r="M88" s="1">
        <f t="shared" si="5"/>
        <v>-1.238</v>
      </c>
      <c r="N88">
        <v>44.78387951232537</v>
      </c>
      <c r="O88" s="3">
        <v>26.373715202190777</v>
      </c>
      <c r="P88" s="3">
        <v>13.796102232820374</v>
      </c>
      <c r="Q88">
        <v>37.4</v>
      </c>
      <c r="R88">
        <v>677</v>
      </c>
    </row>
    <row r="89" spans="1:18" x14ac:dyDescent="0.35">
      <c r="A89" s="5">
        <v>44722</v>
      </c>
      <c r="B89" t="s">
        <v>32</v>
      </c>
      <c r="C89" t="s">
        <v>224</v>
      </c>
      <c r="D89" t="s">
        <v>253</v>
      </c>
      <c r="E89">
        <v>6</v>
      </c>
      <c r="F89" t="s">
        <v>69</v>
      </c>
      <c r="G89" t="s">
        <v>244</v>
      </c>
      <c r="H89" t="s">
        <v>245</v>
      </c>
      <c r="I89" t="s">
        <v>245</v>
      </c>
      <c r="J89" s="1">
        <v>0.53300000000000003</v>
      </c>
      <c r="K89" s="1">
        <f t="shared" si="4"/>
        <v>-0.53300000000000003</v>
      </c>
      <c r="L89" s="1">
        <v>1.4529999999999998</v>
      </c>
      <c r="M89" s="1">
        <f t="shared" si="5"/>
        <v>-1.4529999999999998</v>
      </c>
      <c r="N89">
        <v>-26.943358764955256</v>
      </c>
      <c r="O89" s="3">
        <v>-11.87703380725862</v>
      </c>
      <c r="P89" s="3">
        <v>-12.693431392772865</v>
      </c>
      <c r="Q89">
        <v>73</v>
      </c>
      <c r="R89">
        <v>800</v>
      </c>
    </row>
    <row r="90" spans="1:18" x14ac:dyDescent="0.35">
      <c r="A90" s="5">
        <v>44722</v>
      </c>
      <c r="B90" t="s">
        <v>32</v>
      </c>
      <c r="C90" t="s">
        <v>224</v>
      </c>
      <c r="D90" t="s">
        <v>253</v>
      </c>
      <c r="E90">
        <v>1</v>
      </c>
      <c r="F90" t="s">
        <v>72</v>
      </c>
      <c r="G90" t="s">
        <v>246</v>
      </c>
      <c r="H90" t="s">
        <v>247</v>
      </c>
      <c r="I90" t="s">
        <v>247</v>
      </c>
      <c r="J90" s="1">
        <v>1.0189999999999999</v>
      </c>
      <c r="K90" s="1">
        <f t="shared" si="4"/>
        <v>-1.0189999999999999</v>
      </c>
      <c r="L90" s="1">
        <v>1.8030000000000002</v>
      </c>
      <c r="M90" s="1">
        <f t="shared" si="5"/>
        <v>-1.8030000000000002</v>
      </c>
      <c r="N90">
        <v>15.675393783672178</v>
      </c>
      <c r="O90" s="3">
        <v>33.794479633927153</v>
      </c>
      <c r="P90" s="3">
        <v>-2.9854425178490569</v>
      </c>
      <c r="Q90">
        <v>55.9</v>
      </c>
      <c r="R90">
        <v>590</v>
      </c>
    </row>
    <row r="91" spans="1:18" x14ac:dyDescent="0.35">
      <c r="A91" s="5">
        <v>44722</v>
      </c>
      <c r="B91" t="s">
        <v>32</v>
      </c>
      <c r="C91" t="s">
        <v>224</v>
      </c>
      <c r="D91" t="s">
        <v>253</v>
      </c>
      <c r="E91">
        <v>15</v>
      </c>
      <c r="F91" t="s">
        <v>75</v>
      </c>
      <c r="G91" t="s">
        <v>248</v>
      </c>
      <c r="H91" t="s">
        <v>249</v>
      </c>
      <c r="I91" t="s">
        <v>249</v>
      </c>
      <c r="J91" s="1">
        <v>0.83099999999999996</v>
      </c>
      <c r="K91" s="1">
        <f t="shared" si="4"/>
        <v>-0.83099999999999996</v>
      </c>
      <c r="L91" s="1">
        <v>1.159</v>
      </c>
      <c r="M91" s="1">
        <f t="shared" si="5"/>
        <v>-1.159</v>
      </c>
      <c r="N91">
        <v>-0.54217684635929331</v>
      </c>
      <c r="O91" s="3">
        <v>12.148703506160681</v>
      </c>
      <c r="P91" s="3">
        <v>0.65839687534665714</v>
      </c>
      <c r="Q91">
        <v>57</v>
      </c>
      <c r="R91">
        <v>720</v>
      </c>
    </row>
    <row r="92" spans="1:18" x14ac:dyDescent="0.35">
      <c r="A92" s="5">
        <v>44722</v>
      </c>
      <c r="B92" t="s">
        <v>32</v>
      </c>
      <c r="C92" t="s">
        <v>224</v>
      </c>
      <c r="D92" t="s">
        <v>253</v>
      </c>
      <c r="E92">
        <v>9</v>
      </c>
      <c r="F92" t="s">
        <v>75</v>
      </c>
      <c r="G92" t="s">
        <v>153</v>
      </c>
      <c r="H92" t="s">
        <v>250</v>
      </c>
      <c r="I92" t="s">
        <v>250</v>
      </c>
      <c r="J92" s="1">
        <v>0.8640000000000001</v>
      </c>
      <c r="K92" s="1">
        <f t="shared" si="4"/>
        <v>-0.8640000000000001</v>
      </c>
      <c r="L92" s="1">
        <v>1.1039999999999999</v>
      </c>
      <c r="M92" s="1">
        <f t="shared" si="5"/>
        <v>-1.1039999999999999</v>
      </c>
      <c r="N92">
        <v>22.550195370885692</v>
      </c>
      <c r="O92" s="3">
        <v>2.5944223980873717</v>
      </c>
      <c r="P92" s="3">
        <v>3.3893310635393803E-2</v>
      </c>
      <c r="Q92">
        <v>80</v>
      </c>
      <c r="R92">
        <v>715</v>
      </c>
    </row>
    <row r="93" spans="1:18" x14ac:dyDescent="0.35">
      <c r="A93" s="5">
        <v>44722</v>
      </c>
      <c r="B93" t="s">
        <v>32</v>
      </c>
      <c r="C93" t="s">
        <v>224</v>
      </c>
      <c r="D93" t="s">
        <v>253</v>
      </c>
      <c r="E93">
        <v>16</v>
      </c>
      <c r="F93" t="s">
        <v>78</v>
      </c>
      <c r="G93" t="s">
        <v>129</v>
      </c>
      <c r="H93" t="s">
        <v>251</v>
      </c>
      <c r="I93" t="s">
        <v>251</v>
      </c>
      <c r="J93" s="1">
        <v>0.21400000000000002</v>
      </c>
      <c r="K93" s="1">
        <f t="shared" si="4"/>
        <v>-0.21400000000000002</v>
      </c>
      <c r="L93" s="1">
        <v>-0.22799999999999998</v>
      </c>
      <c r="M93" s="1">
        <f t="shared" si="5"/>
        <v>0.22799999999999998</v>
      </c>
      <c r="N93">
        <v>40.251734384675309</v>
      </c>
      <c r="O93" s="3">
        <v>67.682659529422736</v>
      </c>
      <c r="P93" s="3">
        <v>43.911875077344263</v>
      </c>
      <c r="Q93">
        <v>60</v>
      </c>
      <c r="R93">
        <v>537</v>
      </c>
    </row>
    <row r="94" spans="1:18" x14ac:dyDescent="0.35">
      <c r="A94" s="5">
        <v>44722</v>
      </c>
      <c r="B94" t="s">
        <v>32</v>
      </c>
      <c r="C94" t="s">
        <v>224</v>
      </c>
      <c r="D94" t="s">
        <v>253</v>
      </c>
      <c r="E94">
        <v>13</v>
      </c>
      <c r="F94" t="s">
        <v>81</v>
      </c>
      <c r="G94" t="s">
        <v>207</v>
      </c>
      <c r="H94" t="s">
        <v>252</v>
      </c>
      <c r="I94" t="s">
        <v>252</v>
      </c>
      <c r="J94" s="1">
        <v>1.222</v>
      </c>
      <c r="K94" s="1">
        <f t="shared" si="4"/>
        <v>-1.222</v>
      </c>
      <c r="L94" s="1">
        <v>1.246</v>
      </c>
      <c r="M94" s="1">
        <f t="shared" si="5"/>
        <v>-1.246</v>
      </c>
      <c r="N94">
        <v>16.943884384300624</v>
      </c>
      <c r="O94" s="3">
        <v>22.442666120384892</v>
      </c>
      <c r="P94" s="3">
        <v>10.335740659816024</v>
      </c>
      <c r="Q94">
        <v>33.9</v>
      </c>
      <c r="R94">
        <v>590</v>
      </c>
    </row>
  </sheetData>
  <sortState xmlns:xlrd2="http://schemas.microsoft.com/office/spreadsheetml/2017/richdata2" ref="A2:T94">
    <sortCondition ref="I1:I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Jean Leonce Manzi</dc:creator>
  <cp:lastModifiedBy>Olivier Jean Leonce Manzi</cp:lastModifiedBy>
  <dcterms:created xsi:type="dcterms:W3CDTF">2024-09-03T15:42:49Z</dcterms:created>
  <dcterms:modified xsi:type="dcterms:W3CDTF">2025-07-18T18:56:49Z</dcterms:modified>
</cp:coreProperties>
</file>