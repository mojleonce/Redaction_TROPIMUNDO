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13_ncr:1_{EDE4C55A-7244-45DD-BA07-831088D490E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5" sheetId="5" r:id="rId1"/>
    <sheet name="Sheet1" sheetId="1" r:id="rId2"/>
    <sheet name="Sheet4" sheetId="4" r:id="rId3"/>
    <sheet name="Sheet2" sheetId="2" r:id="rId4"/>
    <sheet name="Sheet3" sheetId="3" r:id="rId5"/>
    <sheet name="Sheet6" sheetId="6" r:id="rId6"/>
  </sheets>
  <definedNames>
    <definedName name="_xlnm._FilterDatabase" localSheetId="3" hidden="1">Sheet2!$B$1:$B$96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2" i="1"/>
  <c r="G15" i="2"/>
  <c r="G3" i="2"/>
  <c r="G4" i="2"/>
  <c r="G5" i="2"/>
  <c r="G6" i="2"/>
  <c r="G7" i="2"/>
  <c r="G8" i="2"/>
  <c r="G9" i="2"/>
  <c r="G10" i="2"/>
  <c r="G11" i="2"/>
  <c r="G12" i="2"/>
  <c r="G13" i="2"/>
  <c r="G14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2" i="2"/>
  <c r="L15" i="1"/>
  <c r="L70" i="1"/>
  <c r="L53" i="1"/>
  <c r="L7" i="1"/>
  <c r="L23" i="1"/>
  <c r="L2" i="1"/>
  <c r="L79" i="1"/>
  <c r="L11" i="1"/>
  <c r="L62" i="1"/>
  <c r="L89" i="1"/>
  <c r="L69" i="1"/>
  <c r="L39" i="1"/>
  <c r="L38" i="1"/>
  <c r="L29" i="1"/>
  <c r="L31" i="1"/>
  <c r="L28" i="1"/>
  <c r="L26" i="1"/>
  <c r="L25" i="1"/>
  <c r="L86" i="1"/>
  <c r="L40" i="1"/>
  <c r="L83" i="1"/>
  <c r="L87" i="1"/>
  <c r="L85" i="1"/>
  <c r="L33" i="1"/>
  <c r="L17" i="1"/>
  <c r="L13" i="1"/>
  <c r="L9" i="1"/>
  <c r="L21" i="1"/>
  <c r="L6" i="1"/>
  <c r="L37" i="1"/>
  <c r="L43" i="1"/>
  <c r="L41" i="1"/>
  <c r="L27" i="1"/>
  <c r="L71" i="1"/>
  <c r="L74" i="1"/>
  <c r="L42" i="1"/>
  <c r="L16" i="1"/>
  <c r="L56" i="1"/>
  <c r="L63" i="1"/>
  <c r="L57" i="1"/>
  <c r="L55" i="1"/>
  <c r="L65" i="1"/>
  <c r="L88" i="1"/>
  <c r="L10" i="1"/>
  <c r="L64" i="1"/>
  <c r="L46" i="1"/>
  <c r="L72" i="1"/>
  <c r="L52" i="1"/>
  <c r="L47" i="1"/>
  <c r="L12" i="1"/>
  <c r="L68" i="1"/>
  <c r="L80" i="1"/>
  <c r="L73" i="1"/>
  <c r="L8" i="1"/>
  <c r="L49" i="1"/>
  <c r="L81" i="1"/>
  <c r="L66" i="1"/>
  <c r="L67" i="1"/>
  <c r="L24" i="1"/>
  <c r="L50" i="1"/>
  <c r="L34" i="1"/>
  <c r="L82" i="1"/>
  <c r="L84" i="1"/>
  <c r="L92" i="1"/>
  <c r="L91" i="1"/>
  <c r="L90" i="1"/>
  <c r="L45" i="1"/>
  <c r="L35" i="1"/>
  <c r="L51" i="1"/>
  <c r="L76" i="1"/>
  <c r="L36" i="1"/>
  <c r="L32" i="1"/>
  <c r="L30" i="1"/>
  <c r="L59" i="1"/>
  <c r="L54" i="1"/>
  <c r="L58" i="1"/>
  <c r="L78" i="1"/>
  <c r="L19" i="1"/>
  <c r="L14" i="1"/>
  <c r="L4" i="1"/>
  <c r="L20" i="1"/>
  <c r="L18" i="1"/>
  <c r="L3" i="1"/>
  <c r="L60" i="1"/>
  <c r="L22" i="1"/>
  <c r="L77" i="1"/>
  <c r="L44" i="1"/>
  <c r="L75" i="1"/>
  <c r="L5" i="1"/>
  <c r="L48" i="1"/>
  <c r="L61" i="1"/>
  <c r="O15" i="1"/>
  <c r="P15" i="1" s="1"/>
  <c r="O70" i="1"/>
  <c r="P70" i="1" s="1"/>
  <c r="O53" i="1"/>
  <c r="P53" i="1" s="1"/>
  <c r="O7" i="1"/>
  <c r="P7" i="1" s="1"/>
  <c r="O23" i="1"/>
  <c r="P23" i="1" s="1"/>
  <c r="O2" i="1"/>
  <c r="P2" i="1" s="1"/>
  <c r="O79" i="1"/>
  <c r="P79" i="1" s="1"/>
  <c r="O11" i="1"/>
  <c r="P11" i="1" s="1"/>
  <c r="O62" i="1"/>
  <c r="P62" i="1" s="1"/>
  <c r="O89" i="1"/>
  <c r="P89" i="1" s="1"/>
  <c r="O69" i="1"/>
  <c r="P69" i="1" s="1"/>
  <c r="O39" i="1"/>
  <c r="P39" i="1" s="1"/>
  <c r="O38" i="1"/>
  <c r="P38" i="1" s="1"/>
  <c r="O29" i="1"/>
  <c r="P29" i="1" s="1"/>
  <c r="O31" i="1"/>
  <c r="P31" i="1" s="1"/>
  <c r="O28" i="1"/>
  <c r="P28" i="1" s="1"/>
  <c r="O26" i="1"/>
  <c r="P26" i="1" s="1"/>
  <c r="O25" i="1"/>
  <c r="P25" i="1" s="1"/>
  <c r="O86" i="1"/>
  <c r="P86" i="1" s="1"/>
  <c r="O40" i="1"/>
  <c r="P40" i="1" s="1"/>
  <c r="O83" i="1"/>
  <c r="P83" i="1" s="1"/>
  <c r="O87" i="1"/>
  <c r="P87" i="1" s="1"/>
  <c r="O85" i="1"/>
  <c r="P85" i="1" s="1"/>
  <c r="O33" i="1"/>
  <c r="P33" i="1" s="1"/>
  <c r="O17" i="1"/>
  <c r="P17" i="1" s="1"/>
  <c r="O13" i="1"/>
  <c r="P13" i="1" s="1"/>
  <c r="O9" i="1"/>
  <c r="P9" i="1" s="1"/>
  <c r="O21" i="1"/>
  <c r="P21" i="1" s="1"/>
  <c r="O6" i="1"/>
  <c r="P6" i="1" s="1"/>
  <c r="O37" i="1"/>
  <c r="P37" i="1" s="1"/>
  <c r="O43" i="1"/>
  <c r="P43" i="1" s="1"/>
  <c r="O41" i="1"/>
  <c r="P41" i="1" s="1"/>
  <c r="O27" i="1"/>
  <c r="P27" i="1" s="1"/>
  <c r="O71" i="1"/>
  <c r="P71" i="1" s="1"/>
  <c r="O74" i="1"/>
  <c r="P74" i="1" s="1"/>
  <c r="O42" i="1"/>
  <c r="P42" i="1" s="1"/>
  <c r="O16" i="1"/>
  <c r="P16" i="1" s="1"/>
  <c r="O56" i="1"/>
  <c r="P56" i="1" s="1"/>
  <c r="O63" i="1"/>
  <c r="P63" i="1" s="1"/>
  <c r="O57" i="1"/>
  <c r="P57" i="1" s="1"/>
  <c r="O55" i="1"/>
  <c r="P55" i="1" s="1"/>
  <c r="O65" i="1"/>
  <c r="P65" i="1" s="1"/>
  <c r="O88" i="1"/>
  <c r="P88" i="1" s="1"/>
  <c r="O10" i="1"/>
  <c r="P10" i="1" s="1"/>
  <c r="O64" i="1"/>
  <c r="P64" i="1" s="1"/>
  <c r="O46" i="1"/>
  <c r="P46" i="1" s="1"/>
  <c r="O72" i="1"/>
  <c r="P72" i="1" s="1"/>
  <c r="O52" i="1"/>
  <c r="P52" i="1" s="1"/>
  <c r="O47" i="1"/>
  <c r="P47" i="1" s="1"/>
  <c r="O12" i="1"/>
  <c r="P12" i="1" s="1"/>
  <c r="O68" i="1"/>
  <c r="P68" i="1" s="1"/>
  <c r="O80" i="1"/>
  <c r="P80" i="1" s="1"/>
  <c r="O73" i="1"/>
  <c r="P73" i="1" s="1"/>
  <c r="O8" i="1"/>
  <c r="P8" i="1" s="1"/>
  <c r="O49" i="1"/>
  <c r="P49" i="1" s="1"/>
  <c r="O81" i="1"/>
  <c r="P81" i="1" s="1"/>
  <c r="O66" i="1"/>
  <c r="P66" i="1" s="1"/>
  <c r="O67" i="1"/>
  <c r="P67" i="1" s="1"/>
  <c r="O24" i="1"/>
  <c r="P24" i="1" s="1"/>
  <c r="O50" i="1"/>
  <c r="P50" i="1" s="1"/>
  <c r="O34" i="1"/>
  <c r="P34" i="1" s="1"/>
  <c r="O82" i="1"/>
  <c r="P82" i="1" s="1"/>
  <c r="O84" i="1"/>
  <c r="P84" i="1" s="1"/>
  <c r="O92" i="1"/>
  <c r="P92" i="1" s="1"/>
  <c r="O91" i="1"/>
  <c r="P91" i="1" s="1"/>
  <c r="O90" i="1"/>
  <c r="P90" i="1" s="1"/>
  <c r="O45" i="1"/>
  <c r="P45" i="1" s="1"/>
  <c r="O35" i="1"/>
  <c r="P35" i="1" s="1"/>
  <c r="O51" i="1"/>
  <c r="P51" i="1" s="1"/>
  <c r="O76" i="1"/>
  <c r="P76" i="1" s="1"/>
  <c r="O36" i="1"/>
  <c r="P36" i="1" s="1"/>
  <c r="O32" i="1"/>
  <c r="P32" i="1" s="1"/>
  <c r="O30" i="1"/>
  <c r="P30" i="1" s="1"/>
  <c r="O59" i="1"/>
  <c r="P59" i="1" s="1"/>
  <c r="O54" i="1"/>
  <c r="P54" i="1" s="1"/>
  <c r="O58" i="1"/>
  <c r="P58" i="1" s="1"/>
  <c r="O78" i="1"/>
  <c r="P78" i="1" s="1"/>
  <c r="O19" i="1"/>
  <c r="P19" i="1" s="1"/>
  <c r="O14" i="1"/>
  <c r="P14" i="1" s="1"/>
  <c r="O4" i="1"/>
  <c r="P4" i="1" s="1"/>
  <c r="O20" i="1"/>
  <c r="P20" i="1" s="1"/>
  <c r="O18" i="1"/>
  <c r="P18" i="1" s="1"/>
  <c r="O3" i="1"/>
  <c r="P3" i="1" s="1"/>
  <c r="O60" i="1"/>
  <c r="P60" i="1" s="1"/>
  <c r="O22" i="1"/>
  <c r="P22" i="1" s="1"/>
  <c r="O77" i="1"/>
  <c r="P77" i="1" s="1"/>
  <c r="O44" i="1"/>
  <c r="P44" i="1" s="1"/>
  <c r="O75" i="1"/>
  <c r="P75" i="1" s="1"/>
  <c r="O5" i="1"/>
  <c r="P5" i="1" s="1"/>
  <c r="O48" i="1"/>
  <c r="P48" i="1" s="1"/>
  <c r="O61" i="1"/>
  <c r="P61" i="1" s="1"/>
  <c r="S15" i="1"/>
  <c r="S70" i="1"/>
  <c r="S53" i="1"/>
  <c r="S7" i="1"/>
  <c r="S23" i="1"/>
  <c r="S2" i="1"/>
  <c r="S79" i="1"/>
  <c r="S11" i="1"/>
  <c r="S62" i="1"/>
  <c r="S89" i="1"/>
  <c r="S69" i="1"/>
  <c r="S39" i="1"/>
  <c r="S38" i="1"/>
  <c r="S29" i="1"/>
  <c r="S31" i="1"/>
  <c r="S28" i="1"/>
  <c r="S26" i="1"/>
  <c r="S25" i="1"/>
  <c r="S86" i="1"/>
  <c r="S40" i="1"/>
  <c r="S83" i="1"/>
  <c r="S87" i="1"/>
  <c r="S85" i="1"/>
  <c r="S33" i="1"/>
  <c r="S17" i="1"/>
  <c r="S13" i="1"/>
  <c r="S9" i="1"/>
  <c r="S21" i="1"/>
  <c r="S6" i="1"/>
  <c r="S37" i="1"/>
  <c r="S43" i="1"/>
  <c r="S41" i="1"/>
  <c r="S27" i="1"/>
  <c r="S71" i="1"/>
  <c r="S74" i="1"/>
  <c r="S42" i="1"/>
  <c r="S16" i="1"/>
  <c r="S56" i="1"/>
  <c r="S63" i="1"/>
  <c r="S57" i="1"/>
  <c r="S55" i="1"/>
  <c r="S65" i="1"/>
  <c r="S88" i="1"/>
  <c r="S10" i="1"/>
  <c r="S64" i="1"/>
  <c r="S46" i="1"/>
  <c r="S72" i="1"/>
  <c r="S52" i="1"/>
  <c r="S47" i="1"/>
  <c r="S12" i="1"/>
  <c r="S68" i="1"/>
  <c r="S80" i="1"/>
  <c r="S73" i="1"/>
  <c r="S8" i="1"/>
  <c r="S49" i="1"/>
  <c r="S81" i="1"/>
  <c r="S66" i="1"/>
  <c r="S67" i="1"/>
  <c r="S24" i="1"/>
  <c r="S50" i="1"/>
  <c r="S34" i="1"/>
  <c r="S82" i="1"/>
  <c r="S84" i="1"/>
  <c r="S92" i="1"/>
  <c r="S91" i="1"/>
  <c r="S90" i="1"/>
  <c r="S45" i="1"/>
  <c r="S35" i="1"/>
  <c r="S51" i="1"/>
  <c r="S76" i="1"/>
  <c r="S36" i="1"/>
  <c r="S32" i="1"/>
  <c r="S30" i="1"/>
  <c r="S59" i="1"/>
  <c r="S54" i="1"/>
  <c r="S58" i="1"/>
  <c r="S78" i="1"/>
  <c r="S19" i="1"/>
  <c r="S14" i="1"/>
  <c r="S4" i="1"/>
  <c r="S20" i="1"/>
  <c r="S18" i="1"/>
  <c r="S3" i="1"/>
  <c r="S60" i="1"/>
  <c r="S22" i="1"/>
  <c r="S77" i="1"/>
  <c r="S44" i="1"/>
  <c r="S75" i="1"/>
  <c r="S5" i="1"/>
  <c r="S48" i="1"/>
  <c r="S61" i="1"/>
  <c r="I15" i="1"/>
  <c r="I70" i="1"/>
  <c r="I53" i="1"/>
  <c r="I7" i="1"/>
  <c r="I23" i="1"/>
  <c r="I2" i="1"/>
  <c r="I79" i="1"/>
  <c r="I11" i="1"/>
  <c r="I62" i="1"/>
  <c r="I89" i="1"/>
  <c r="I69" i="1"/>
  <c r="I39" i="1"/>
  <c r="I38" i="1"/>
  <c r="I29" i="1"/>
  <c r="I31" i="1"/>
  <c r="I28" i="1"/>
  <c r="I26" i="1"/>
  <c r="I25" i="1"/>
  <c r="I86" i="1"/>
  <c r="I40" i="1"/>
  <c r="I83" i="1"/>
  <c r="I87" i="1"/>
  <c r="I85" i="1"/>
  <c r="I33" i="1"/>
  <c r="I17" i="1"/>
  <c r="I13" i="1"/>
  <c r="I9" i="1"/>
  <c r="I21" i="1"/>
  <c r="I6" i="1"/>
  <c r="I37" i="1"/>
  <c r="I43" i="1"/>
  <c r="I41" i="1"/>
  <c r="I27" i="1"/>
  <c r="I71" i="1"/>
  <c r="I74" i="1"/>
  <c r="I42" i="1"/>
  <c r="I16" i="1"/>
  <c r="I56" i="1"/>
  <c r="I63" i="1"/>
  <c r="I57" i="1"/>
  <c r="I55" i="1"/>
  <c r="I65" i="1"/>
  <c r="I88" i="1"/>
  <c r="I10" i="1"/>
  <c r="I64" i="1"/>
  <c r="I46" i="1"/>
  <c r="I72" i="1"/>
  <c r="I52" i="1"/>
  <c r="I47" i="1"/>
  <c r="I12" i="1"/>
  <c r="I68" i="1"/>
  <c r="I80" i="1"/>
  <c r="I73" i="1"/>
  <c r="I8" i="1"/>
  <c r="I49" i="1"/>
  <c r="I81" i="1"/>
  <c r="I66" i="1"/>
  <c r="I67" i="1"/>
  <c r="I24" i="1"/>
  <c r="I50" i="1"/>
  <c r="I34" i="1"/>
  <c r="I82" i="1"/>
  <c r="I84" i="1"/>
  <c r="I92" i="1"/>
  <c r="I91" i="1"/>
  <c r="I90" i="1"/>
  <c r="I45" i="1"/>
  <c r="I35" i="1"/>
  <c r="I51" i="1"/>
  <c r="I76" i="1"/>
  <c r="I36" i="1"/>
  <c r="I32" i="1"/>
  <c r="I30" i="1"/>
  <c r="I59" i="1"/>
  <c r="I54" i="1"/>
  <c r="I58" i="1"/>
  <c r="I78" i="1"/>
  <c r="I19" i="1"/>
  <c r="I14" i="1"/>
  <c r="I4" i="1"/>
  <c r="I20" i="1"/>
  <c r="I18" i="1"/>
  <c r="I3" i="1"/>
  <c r="I60" i="1"/>
  <c r="I22" i="1"/>
  <c r="I77" i="1"/>
  <c r="I44" i="1"/>
  <c r="I75" i="1"/>
  <c r="I5" i="1"/>
  <c r="I48" i="1"/>
  <c r="I61" i="1"/>
</calcChain>
</file>

<file path=xl/sharedStrings.xml><?xml version="1.0" encoding="utf-8"?>
<sst xmlns="http://schemas.openxmlformats.org/spreadsheetml/2006/main" count="1600" uniqueCount="241">
  <si>
    <t>Individu22</t>
  </si>
  <si>
    <t>Treatment</t>
  </si>
  <si>
    <t>max_PredawnWP</t>
  </si>
  <si>
    <t>min_PredawnWP</t>
  </si>
  <si>
    <t>max_Spflow</t>
  </si>
  <si>
    <t>min_Spflow</t>
  </si>
  <si>
    <t>max_u</t>
  </si>
  <si>
    <t>min_u</t>
  </si>
  <si>
    <t>max_MiddayWP</t>
  </si>
  <si>
    <t>min_MiddayWP</t>
  </si>
  <si>
    <t>K1PafF9</t>
  </si>
  <si>
    <t>Control</t>
  </si>
  <si>
    <t>K5CmeI6</t>
  </si>
  <si>
    <t>K5PfaF3</t>
  </si>
  <si>
    <t>K1MluD7</t>
  </si>
  <si>
    <t>K5BbrA3</t>
  </si>
  <si>
    <t>K6DtoC6</t>
  </si>
  <si>
    <t>HWLN</t>
  </si>
  <si>
    <t>K5AguF10</t>
  </si>
  <si>
    <t>K5PfuC6</t>
  </si>
  <si>
    <t>L4BbrG4</t>
  </si>
  <si>
    <t>K5PafA5</t>
  </si>
  <si>
    <t>K6SguC9</t>
  </si>
  <si>
    <t>K1PfaI6</t>
  </si>
  <si>
    <t>K5FthC5</t>
  </si>
  <si>
    <t>K5FthA4</t>
  </si>
  <si>
    <t>K1FsaB9</t>
  </si>
  <si>
    <t>K6FsaA10</t>
  </si>
  <si>
    <t>M1DtoH3</t>
  </si>
  <si>
    <t>L4DtoG6</t>
  </si>
  <si>
    <t>L4DtoA1</t>
  </si>
  <si>
    <t>K1SguH8</t>
  </si>
  <si>
    <t>K6FthE10</t>
  </si>
  <si>
    <t>L4PfuF9</t>
  </si>
  <si>
    <t>K5SguH9</t>
  </si>
  <si>
    <t>L3MlaI3</t>
  </si>
  <si>
    <t>K1SguG10</t>
  </si>
  <si>
    <t>L4FsaD10</t>
  </si>
  <si>
    <t>M1MlaC6</t>
  </si>
  <si>
    <t>K6CmeI2</t>
  </si>
  <si>
    <t>K1CmeG8</t>
  </si>
  <si>
    <t>L3BbrA10</t>
  </si>
  <si>
    <t>K1DtoD10</t>
  </si>
  <si>
    <t>K1BbrF10</t>
  </si>
  <si>
    <t>K1FthH1</t>
  </si>
  <si>
    <t>L4FthC7</t>
  </si>
  <si>
    <t>K6FthH10</t>
  </si>
  <si>
    <t>M1DtoA2</t>
  </si>
  <si>
    <t>K5PfaJ1</t>
  </si>
  <si>
    <t>L4PfaJ8</t>
  </si>
  <si>
    <t>L3FthC7</t>
  </si>
  <si>
    <t>K6CmeD4</t>
  </si>
  <si>
    <t>L3MluB10</t>
  </si>
  <si>
    <t>K6PafH5</t>
  </si>
  <si>
    <t>L3MluG10</t>
  </si>
  <si>
    <t>K6MluI8</t>
  </si>
  <si>
    <t>L3PafI10</t>
  </si>
  <si>
    <t>K6SguA8</t>
  </si>
  <si>
    <t>L3BbrI7</t>
  </si>
  <si>
    <t>K6PafI4</t>
  </si>
  <si>
    <t>K1HmaA6</t>
  </si>
  <si>
    <t>K6PfaA6</t>
  </si>
  <si>
    <t>M1HmaJ1</t>
  </si>
  <si>
    <t>K1HmaD9</t>
  </si>
  <si>
    <t>M1BbrJ3</t>
  </si>
  <si>
    <t>M1PafJ5</t>
  </si>
  <si>
    <t>K6PfuD10</t>
  </si>
  <si>
    <t>L3PfaG7</t>
  </si>
  <si>
    <t>K6BbrG4</t>
  </si>
  <si>
    <t>K6HmaC8</t>
  </si>
  <si>
    <t>L3PfuA6</t>
  </si>
  <si>
    <t>L4PafA6</t>
  </si>
  <si>
    <t>L4PafB8</t>
  </si>
  <si>
    <t>L3DtoA4</t>
  </si>
  <si>
    <t>L3HmaE8</t>
  </si>
  <si>
    <t>L4FsaI1</t>
  </si>
  <si>
    <t>L3PfuH5</t>
  </si>
  <si>
    <t>M1PfuD4</t>
  </si>
  <si>
    <t>M1SguG6</t>
  </si>
  <si>
    <t>L4SguG1</t>
  </si>
  <si>
    <t>L3SguH3</t>
  </si>
  <si>
    <t>K1HmaA2</t>
  </si>
  <si>
    <t>M1FsaF3</t>
  </si>
  <si>
    <t>L3HmaJ9</t>
  </si>
  <si>
    <t>M1PfaH5</t>
  </si>
  <si>
    <t>M1FsaH4</t>
  </si>
  <si>
    <t>L3FsaA7</t>
  </si>
  <si>
    <t>K1MlaH7</t>
  </si>
  <si>
    <t>K1FsaH9</t>
  </si>
  <si>
    <t>L4MluE8</t>
  </si>
  <si>
    <t>K5MluF9</t>
  </si>
  <si>
    <t>L4MluE5</t>
  </si>
  <si>
    <t>K5PfuB9</t>
  </si>
  <si>
    <t>K6MlaC2</t>
  </si>
  <si>
    <t>L4CmeC8</t>
  </si>
  <si>
    <t>K5CmeB10</t>
  </si>
  <si>
    <t>L4AguH9</t>
  </si>
  <si>
    <t>L4Pfaj8</t>
  </si>
  <si>
    <t>M1CmeF9</t>
  </si>
  <si>
    <t>L3CmeF6</t>
  </si>
  <si>
    <t>K5AguH7</t>
  </si>
  <si>
    <t>M1MluB3</t>
  </si>
  <si>
    <t>K5DtoJ7</t>
  </si>
  <si>
    <t>K1PfuG7</t>
  </si>
  <si>
    <t>M1FthD8</t>
  </si>
  <si>
    <t>M1PfaD5</t>
  </si>
  <si>
    <t>L4AguI4</t>
  </si>
  <si>
    <t>K5HmaA6</t>
  </si>
  <si>
    <t>Percent_WP</t>
  </si>
  <si>
    <t>Percent_MP</t>
  </si>
  <si>
    <t>Percent_F</t>
  </si>
  <si>
    <t>Percent_U</t>
  </si>
  <si>
    <t>DBH</t>
  </si>
  <si>
    <t>Height</t>
  </si>
  <si>
    <t>K1</t>
  </si>
  <si>
    <t>Bbr</t>
  </si>
  <si>
    <t>F10</t>
  </si>
  <si>
    <t>Cme</t>
  </si>
  <si>
    <t>G8</t>
  </si>
  <si>
    <t>Dto</t>
  </si>
  <si>
    <t>D10</t>
  </si>
  <si>
    <t>Fsa</t>
  </si>
  <si>
    <t>B9</t>
  </si>
  <si>
    <t>H9</t>
  </si>
  <si>
    <t>Fth</t>
  </si>
  <si>
    <t>H1</t>
  </si>
  <si>
    <t>Hma</t>
  </si>
  <si>
    <t>A2</t>
  </si>
  <si>
    <t>A6</t>
  </si>
  <si>
    <t>D9</t>
  </si>
  <si>
    <t>Mla</t>
  </si>
  <si>
    <t>H7</t>
  </si>
  <si>
    <t>Mlu</t>
  </si>
  <si>
    <t>D7</t>
  </si>
  <si>
    <t>Paf</t>
  </si>
  <si>
    <t>F9</t>
  </si>
  <si>
    <t>Pfa</t>
  </si>
  <si>
    <t>I6</t>
  </si>
  <si>
    <t>Pfu</t>
  </si>
  <si>
    <t>G7</t>
  </si>
  <si>
    <t>Sgu</t>
  </si>
  <si>
    <t>G10</t>
  </si>
  <si>
    <t>H8</t>
  </si>
  <si>
    <t>K5</t>
  </si>
  <si>
    <t>Agu</t>
  </si>
  <si>
    <t>A3</t>
  </si>
  <si>
    <t>B10</t>
  </si>
  <si>
    <t>J7</t>
  </si>
  <si>
    <t>A4</t>
  </si>
  <si>
    <t>C5</t>
  </si>
  <si>
    <t>A5</t>
  </si>
  <si>
    <t>F3</t>
  </si>
  <si>
    <t>J1</t>
  </si>
  <si>
    <t>C6</t>
  </si>
  <si>
    <t>K6</t>
  </si>
  <si>
    <t>G4</t>
  </si>
  <si>
    <t>D4</t>
  </si>
  <si>
    <t>I2</t>
  </si>
  <si>
    <t>A10</t>
  </si>
  <si>
    <t>E10</t>
  </si>
  <si>
    <t>H10</t>
  </si>
  <si>
    <t>C8</t>
  </si>
  <si>
    <t>C2</t>
  </si>
  <si>
    <t>I8</t>
  </si>
  <si>
    <t>H5</t>
  </si>
  <si>
    <t>I4</t>
  </si>
  <si>
    <t>A8</t>
  </si>
  <si>
    <t>C9</t>
  </si>
  <si>
    <t>L3</t>
  </si>
  <si>
    <t>I7</t>
  </si>
  <si>
    <t>F6</t>
  </si>
  <si>
    <t>A7</t>
  </si>
  <si>
    <t>C7</t>
  </si>
  <si>
    <t>E8</t>
  </si>
  <si>
    <t>J9</t>
  </si>
  <si>
    <t>I3</t>
  </si>
  <si>
    <t>I10</t>
  </si>
  <si>
    <t>H3</t>
  </si>
  <si>
    <t>L4</t>
  </si>
  <si>
    <t>A1</t>
  </si>
  <si>
    <t>G6</t>
  </si>
  <si>
    <t>I1</t>
  </si>
  <si>
    <t>E5</t>
  </si>
  <si>
    <t>B8</t>
  </si>
  <si>
    <t>J8</t>
  </si>
  <si>
    <t>G1</t>
  </si>
  <si>
    <t>M1</t>
  </si>
  <si>
    <t>J3</t>
  </si>
  <si>
    <t>H4</t>
  </si>
  <si>
    <t>D8</t>
  </si>
  <si>
    <t>B3</t>
  </si>
  <si>
    <t>J5</t>
  </si>
  <si>
    <t>D5</t>
  </si>
  <si>
    <t>Plot</t>
  </si>
  <si>
    <t>Species</t>
  </si>
  <si>
    <t>Position</t>
  </si>
  <si>
    <t>Percent_Fs</t>
  </si>
  <si>
    <t>N.x</t>
  </si>
  <si>
    <t>sd.x</t>
  </si>
  <si>
    <t>se.x</t>
  </si>
  <si>
    <t>ci.x</t>
  </si>
  <si>
    <t>N.y</t>
  </si>
  <si>
    <t>sd.y</t>
  </si>
  <si>
    <t>se.y</t>
  </si>
  <si>
    <t>ci.y</t>
  </si>
  <si>
    <t xml:space="preserve">Defoliation </t>
  </si>
  <si>
    <t>gmin</t>
  </si>
  <si>
    <t>Defoliation22</t>
  </si>
  <si>
    <t>RGR</t>
  </si>
  <si>
    <t>RHeight</t>
  </si>
  <si>
    <t>NA</t>
  </si>
  <si>
    <t>Pos</t>
  </si>
  <si>
    <t>Percent</t>
  </si>
  <si>
    <t>Irrigated</t>
  </si>
  <si>
    <t>WD</t>
  </si>
  <si>
    <t>Osmolality</t>
  </si>
  <si>
    <t>Mortality</t>
  </si>
  <si>
    <t>Row Labels</t>
  </si>
  <si>
    <t>(blank)</t>
  </si>
  <si>
    <t>Grand Total</t>
  </si>
  <si>
    <t>Average of Percent_U</t>
  </si>
  <si>
    <t>Average of Percent_MP</t>
  </si>
  <si>
    <t>Average of Percent_F</t>
  </si>
  <si>
    <t>Average of Percent_WP</t>
  </si>
  <si>
    <t>Column Labels</t>
  </si>
  <si>
    <t>Total Average of Percent_U</t>
  </si>
  <si>
    <t>Total Average of Percent_MP</t>
  </si>
  <si>
    <t>Total Average of Percent_F</t>
  </si>
  <si>
    <t>Total Average of Percent_WP</t>
  </si>
  <si>
    <t>Percent_Midday</t>
  </si>
  <si>
    <t>Percent_Predawn</t>
  </si>
  <si>
    <t>PFT</t>
  </si>
  <si>
    <t>Semi-deciduous</t>
  </si>
  <si>
    <t>Evergreen</t>
  </si>
  <si>
    <t>Value</t>
  </si>
  <si>
    <t>data</t>
  </si>
  <si>
    <t>F</t>
  </si>
  <si>
    <t>Midday</t>
  </si>
  <si>
    <t>Predawn</t>
  </si>
  <si>
    <t>U</t>
  </si>
  <si>
    <t>Individu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</si>
</sst>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2" xfId="0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0" xfId="0" applyNumberFormat="1" applyFont="1"/>
    <xf numFmtId="0" fontId="0" fillId="0" borderId="0" xfId="0" applyAlignment="1">
      <alignment horizontal="left" indent="1"/>
    </xf>
    <xf numFmtId="0" fontId="0" fillId="3" borderId="0" xfId="0" applyFill="1"/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2" xfId="0" applyNumberFormat="1" applyBorder="1"/>
    <xf numFmtId="2" fontId="2" fillId="0" borderId="0" xfId="0" applyNumberFormat="1" applyFont="1" applyBorder="1"/>
    <xf numFmtId="0" fontId="0" fillId="0" borderId="0" xfId="0" applyBorder="1"/>
    <xf numFmtId="2" fontId="0" fillId="0" borderId="0" xfId="0" applyNumberFormat="1" applyBorder="1"/>
    <xf numFmtId="0" fontId="0" fillId="0" borderId="4" xfId="0" applyBorder="1"/>
  </cellXfs>
  <cellStyles count="1">
    <cellStyle name="Normal" xfId="0" builtinId="0"/>
  </cellStyles>
  <dxfs count="14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855.561453009257" createdVersion="8" refreshedVersion="8" minRefreshableVersion="3" recordCount="95" xr:uid="{4BABDC4A-E0E6-41C0-94F2-A61CA935D163}">
  <cacheSource type="worksheet">
    <worksheetSource ref="A1:AB1048576" sheet="Sheet1"/>
  </cacheSource>
  <cacheFields count="26">
    <cacheField name="Plot" numFmtId="0">
      <sharedItems containsBlank="1" count="7">
        <s v="K1"/>
        <s v="K5"/>
        <s v="K6"/>
        <s v="L3"/>
        <s v="L4"/>
        <s v="M1"/>
        <m/>
      </sharedItems>
    </cacheField>
    <cacheField name="Species" numFmtId="0">
      <sharedItems containsBlank="1" count="14">
        <s v="Bbr"/>
        <s v="Cme"/>
        <s v="Dto"/>
        <s v="Fsa"/>
        <s v="Fth"/>
        <s v="Hma"/>
        <s v="Mla"/>
        <s v="Mlu"/>
        <s v="Paf"/>
        <s v="Pfa"/>
        <s v="Pfu"/>
        <s v="Sgu"/>
        <s v="Agu"/>
        <m/>
      </sharedItems>
    </cacheField>
    <cacheField name="Pos" numFmtId="0">
      <sharedItems containsBlank="1"/>
    </cacheField>
    <cacheField name="Treatment" numFmtId="0">
      <sharedItems containsBlank="1" count="3">
        <s v="Control"/>
        <s v="Irrigated"/>
        <m/>
      </sharedItems>
    </cacheField>
    <cacheField name="max_PredawnWP" numFmtId="0">
      <sharedItems containsString="0" containsBlank="1" containsNumber="1" minValue="-1.0209999999999999" maxValue="-8.1000000000000003E-2"/>
    </cacheField>
    <cacheField name="min_PredawnWP" numFmtId="0">
      <sharedItems containsString="0" containsBlank="1" containsNumber="1" minValue="-3.871" maxValue="-0.32300000000000001"/>
    </cacheField>
    <cacheField name="Percent_WP" numFmtId="0">
      <sharedItems containsString="0" containsBlank="1" containsNumber="1" minValue="-95.034246575342465" maxValue="-35.851183765501673"/>
    </cacheField>
    <cacheField name="max_Spflow" numFmtId="0">
      <sharedItems containsString="0" containsBlank="1" containsNumber="1" minValue="7.7964613866626051E-2" maxValue="32.655171133375113"/>
    </cacheField>
    <cacheField name="min_Spflow" numFmtId="0">
      <sharedItems containsString="0" containsBlank="1" containsNumber="1" minValue="9.4999427972507731E-4" maxValue="21.490251149939301"/>
    </cacheField>
    <cacheField name="Percent_F" numFmtId="0">
      <sharedItems containsString="0" containsBlank="1" containsNumber="1" minValue="-99.971757133899231" maxValue="-20.867665639299506"/>
    </cacheField>
    <cacheField name="max_u" numFmtId="0">
      <sharedItems containsString="0" containsBlank="1" containsNumber="1" minValue="2.9463376932403511" maxValue="119.4565160954096"/>
    </cacheField>
    <cacheField name="min_u" numFmtId="0">
      <sharedItems containsString="0" containsBlank="1" containsNumber="1" minValue="0" maxValue="56.856229996789303"/>
    </cacheField>
    <cacheField name="Percent" numFmtId="0">
      <sharedItems containsString="0" containsBlank="1" containsNumber="1" minValue="20.86766563929951" maxValue="100"/>
    </cacheField>
    <cacheField name="Percent_U" numFmtId="0">
      <sharedItems containsString="0" containsBlank="1" containsNumber="1" minValue="-100" maxValue="-20.86766563929951"/>
    </cacheField>
    <cacheField name="max_MiddayWP" numFmtId="0">
      <sharedItems containsString="0" containsBlank="1" containsNumber="1" minValue="-1.907" maxValue="-0.109"/>
    </cacheField>
    <cacheField name="min_MiddayWP" numFmtId="0">
      <sharedItems containsString="0" containsBlank="1" containsNumber="1" minValue="-5.3340000000000014" maxValue="-0.8869999999999999"/>
    </cacheField>
    <cacheField name="Percent_MP" numFmtId="0">
      <sharedItems containsString="0" containsBlank="1" containsNumber="1" minValue="-97.22787385554426" maxValue="-25.061425061425062"/>
    </cacheField>
    <cacheField name="RGR" numFmtId="0">
      <sharedItems containsBlank="1" containsMixedTypes="1" containsNumber="1" minValue="-7.4883720506258869E-2" maxValue="7.3426554335497676E-2"/>
    </cacheField>
    <cacheField name="RHeight" numFmtId="0">
      <sharedItems containsBlank="1" containsMixedTypes="1" containsNumber="1" minValue="-7.3085694733124011" maxValue="24.274335600269417"/>
    </cacheField>
    <cacheField name="WD" numFmtId="0">
      <sharedItems containsString="0" containsBlank="1" containsNumber="1" minValue="0.23699999999999999" maxValue="0.68500000000000005"/>
    </cacheField>
    <cacheField name="Osmolality" numFmtId="0">
      <sharedItems containsString="0" containsBlank="1" containsNumber="1" minValue="451.4" maxValue="883.2"/>
    </cacheField>
    <cacheField name="Mortality" numFmtId="0">
      <sharedItems containsString="0" containsBlank="1" containsNumber="1" minValue="20" maxValue="92.307692307692307"/>
    </cacheField>
    <cacheField name="DBH" numFmtId="0">
      <sharedItems containsString="0" containsBlank="1" containsNumber="1" minValue="12.1" maxValue="147.1"/>
    </cacheField>
    <cacheField name="Height" numFmtId="0">
      <sharedItems containsString="0" containsBlank="1" containsNumber="1" containsInteger="1" minValue="213" maxValue="930"/>
    </cacheField>
    <cacheField name="Agu" numFmtId="0">
      <sharedItems containsBlank="1"/>
    </cacheField>
    <cacheField name="-100" numFmtId="0">
      <sharedItems containsString="0" containsBlank="1" containsNumber="1" minValue="-97.777777777777771" maxValue="18.5185185185185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F10"/>
    <x v="0"/>
    <n v="-0.22800000000000001"/>
    <n v="-2.1259999999999999"/>
    <n v="-89.275634995296329"/>
    <n v="8.7426480108922888"/>
    <n v="0.11613426545446789"/>
    <n v="-98.671635123480002"/>
    <n v="32.443398484359129"/>
    <n v="0.43096671021564992"/>
    <n v="98.671635123480002"/>
    <n v="-98.671635123480002"/>
    <n v="-1.1479999999999999"/>
    <n v="-2.4540000000000002"/>
    <n v="-53.219233903830485"/>
    <n v="1.5762233191801176E-2"/>
    <n v="8.8519632642693491"/>
    <n v="0.498"/>
    <n v="498.5"/>
    <n v="20"/>
    <n v="81.5"/>
    <n v="800"/>
    <s v="Bbr"/>
    <n v="-62.793197279191183"/>
  </r>
  <r>
    <x v="0"/>
    <x v="1"/>
    <s v="G8"/>
    <x v="0"/>
    <n v="-8.1000000000000003E-2"/>
    <n v="-0.41799999999999998"/>
    <n v="-80.62200956937798"/>
    <n v="12.17085569352362"/>
    <n v="9.3935656122444051"/>
    <n v="-22.819185036899846"/>
    <n v="44.660746713126102"/>
    <n v="34.469528281796691"/>
    <n v="22.819185036899846"/>
    <n v="-22.819185036899846"/>
    <n v="-0.13400000000000001"/>
    <n v="-1.96"/>
    <n v="-93.163265306122454"/>
    <n v="3.3174055421566567E-2"/>
    <n v="23.35390337783668"/>
    <n v="0.56299999999999994"/>
    <n v="623"/>
    <n v="26.666666666666668"/>
    <n v="73"/>
    <n v="794"/>
    <s v="Bmi"/>
    <n v="-81.316437699416426"/>
  </r>
  <r>
    <x v="0"/>
    <x v="2"/>
    <s v="D10"/>
    <x v="0"/>
    <n v="-0.54800000000000004"/>
    <n v="-2.4510000000000001"/>
    <n v="-77.641778865769069"/>
    <n v="5.3020542886773274"/>
    <n v="0.86403403079045127"/>
    <n v="-83.703787555785354"/>
    <n v="29.315144465882248"/>
    <n v="4.7772582204886067"/>
    <n v="83.703787555785354"/>
    <n v="-83.703787555785354"/>
    <n v="-0.69400000000000006"/>
    <n v="-2.6829999999999998"/>
    <n v="-74.133432724562056"/>
    <n v="-1.3880826345383708E-2"/>
    <n v="20.827665812558859"/>
    <n v="0.5"/>
    <n v="591.4"/>
    <n v="33.333333333333329"/>
    <n v="77.099999999999994"/>
    <n v="720"/>
    <s v="Cgo"/>
    <n v="-20.338756779307467"/>
  </r>
  <r>
    <x v="0"/>
    <x v="3"/>
    <s v="B9"/>
    <x v="0"/>
    <n v="-0.38800000000000001"/>
    <n v="-2.9209999999999998"/>
    <n v="-86.716877781581644"/>
    <n v="0.9788772001612801"/>
    <n v="0.4079600571523036"/>
    <n v="-58.323673583868555"/>
    <n v="12.934074178276861"/>
    <n v="5.390446973443237"/>
    <n v="58.323673583868541"/>
    <n v="-58.323673583868541"/>
    <n v="-0.36799999999999999"/>
    <n v="-4.1229999999999993"/>
    <n v="-91.074460344409417"/>
    <n v="7.3426554335497676E-2"/>
    <n v="22.62647841477833"/>
    <n v="0.64575000000000005"/>
    <m/>
    <n v="36.363636363636367"/>
    <n v="12.1"/>
    <n v="290"/>
    <s v="Cgr"/>
    <n v="-45.454545454545453"/>
  </r>
  <r>
    <x v="0"/>
    <x v="3"/>
    <s v="H9"/>
    <x v="0"/>
    <n v="-0.56900000000000006"/>
    <n v="-1.802"/>
    <n v="-68.423973362930084"/>
    <n v="7.7964613866626051E-2"/>
    <n v="6.9377355907597306E-3"/>
    <n v="-91.101430191614739"/>
    <n v="2.9463376932403511"/>
    <n v="0.26218191642376049"/>
    <n v="91.101430191614739"/>
    <n v="-91.101430191614739"/>
    <n v="-1.319"/>
    <n v="-3.1560000000000001"/>
    <n v="-58.20659062103929"/>
    <n v="1.6422015556633862E-2"/>
    <n v="5.8988277579259005"/>
    <n v="0.64575000000000005"/>
    <m/>
    <m/>
    <n v="27"/>
    <n v="244"/>
    <s v="Cme"/>
    <n v="-36.4766041356404"/>
  </r>
  <r>
    <x v="0"/>
    <x v="4"/>
    <s v="H1"/>
    <x v="0"/>
    <n v="-0.38200000000000001"/>
    <n v="-0.79800000000000004"/>
    <n v="-52.130325814536334"/>
    <n v="3.176365611250187"/>
    <n v="0.1152897605917538"/>
    <n v="-96.370387584369524"/>
    <n v="10.35196726664099"/>
    <n v="0.3757362891720048"/>
    <n v="96.37038758436951"/>
    <n v="-96.37038758436951"/>
    <n v="-0.54600000000000004"/>
    <n v="-0.8869999999999999"/>
    <n v="-38.44419391206312"/>
    <n v="-8.0073224214642878E-3"/>
    <n v="11.271428195052852"/>
    <n v="0.432"/>
    <n v="464"/>
    <n v="20"/>
    <n v="128"/>
    <n v="930"/>
    <s v="Dto"/>
    <n v="-50.263671513671511"/>
  </r>
  <r>
    <x v="0"/>
    <x v="5"/>
    <s v="A2"/>
    <x v="0"/>
    <n v="-0.49099999999999999"/>
    <n v="-1.024"/>
    <n v="-52.05078125"/>
    <n v="2.30722262122611"/>
    <n v="0.52049120876948429"/>
    <n v="-77.440789459108046"/>
    <n v="14.4756298555781"/>
    <n v="3.2655878162400769"/>
    <n v="77.440789459108046"/>
    <n v="-77.440789459108046"/>
    <n v="-0.78300000000000003"/>
    <n v="-1.665"/>
    <n v="-52.972972972972975"/>
    <n v="4.5968748054476261E-2"/>
    <s v="NA"/>
    <n v="0.46899999999999997"/>
    <n v="564.6"/>
    <n v="86.666666666666671"/>
    <n v="56.6"/>
    <n v="445"/>
    <s v="Eex"/>
    <n v="-37.612392783200235"/>
  </r>
  <r>
    <x v="0"/>
    <x v="5"/>
    <s v="A6"/>
    <x v="0"/>
    <n v="-0.36499999999999999"/>
    <n v="-2.7229999999999999"/>
    <n v="-86.595666544252651"/>
    <n v="5.3003811857272582"/>
    <n v="0.18159684848108579"/>
    <n v="-96.573890780344513"/>
    <n v="26.644711644573761"/>
    <n v="0.91287692220535777"/>
    <n v="96.573890780344527"/>
    <n v="-96.573890780344527"/>
    <n v="-0.80399999999999994"/>
    <n v="-2.984"/>
    <n v="-73.056300268096521"/>
    <n v="4.3850573576126081E-2"/>
    <n v="-5.4228336277165878"/>
    <m/>
    <m/>
    <m/>
    <n v="74.8"/>
    <n v="670"/>
    <s v="Fsa"/>
    <n v="-16.355886821988516"/>
  </r>
  <r>
    <x v="0"/>
    <x v="5"/>
    <s v="D9"/>
    <x v="0"/>
    <n v="-0.312"/>
    <n v="-2.5190000000000001"/>
    <n v="-87.614132592298546"/>
    <n v="4.2474109828588897"/>
    <n v="8.6578306871345115E-2"/>
    <n v="-97.961621627369084"/>
    <n v="26.366848568268061"/>
    <n v="0.53745613875991594"/>
    <n v="97.961621627369112"/>
    <n v="-97.961621627369112"/>
    <n v="-0.753"/>
    <n v="-2.8340000000000001"/>
    <n v="-73.429781227946364"/>
    <n v="0"/>
    <n v="0"/>
    <m/>
    <m/>
    <m/>
    <n v="70.599999999999994"/>
    <n v="700"/>
    <s v="Fth"/>
    <n v="-79.495224814063562"/>
  </r>
  <r>
    <x v="0"/>
    <x v="6"/>
    <s v="H7"/>
    <x v="1"/>
    <n v="-0.39200000000000002"/>
    <n v="-2.1230000000000002"/>
    <n v="-81.535562882713151"/>
    <n v="0.34217191202265451"/>
    <n v="1.4280960103427861E-3"/>
    <n v="-99.582637861213968"/>
    <n v="8.211258989802614"/>
    <n v="3.4270686141099932E-2"/>
    <n v="99.582637861213968"/>
    <n v="-99.582637861213968"/>
    <n v="-1.208"/>
    <n v="-2.448"/>
    <n v="-50.653594771241828"/>
    <m/>
    <m/>
    <n v="0.67588499999999996"/>
    <n v="451.4"/>
    <n v="92.307692307692307"/>
    <m/>
    <m/>
    <s v="Hma"/>
    <n v="-97.777777777777771"/>
  </r>
  <r>
    <x v="0"/>
    <x v="7"/>
    <s v="D7"/>
    <x v="0"/>
    <n v="-0.46899999999999997"/>
    <n v="-1.8260000000000001"/>
    <n v="-74.315443592552029"/>
    <n v="9.4588525743775094"/>
    <n v="2.8140336780000141"/>
    <n v="-70.249735304863805"/>
    <n v="19.355963453958449"/>
    <n v="5.7584503618464664"/>
    <n v="70.24973530486379"/>
    <n v="-70.24973530486379"/>
    <n v="-0.88400000000000001"/>
    <n v="-2.7240000000000002"/>
    <n v="-67.547723935389143"/>
    <n v="-4.1067369666072644E-3"/>
    <n v="9.2367923053650234"/>
    <n v="0.47399999999999998"/>
    <n v="621"/>
    <n v="20"/>
    <n v="136.30000000000001"/>
    <n v="832"/>
    <s v="Mki"/>
    <n v="18.518518518518519"/>
  </r>
  <r>
    <x v="0"/>
    <x v="8"/>
    <s v="F9"/>
    <x v="0"/>
    <n v="-0.52699999999999991"/>
    <n v="-2.714"/>
    <n v="-80.582166543846739"/>
    <n v="10.68248351600926"/>
    <n v="4.1528449947050614"/>
    <n v="-61.124723586220206"/>
    <n v="42.82590062906975"/>
    <n v="16.648687246241519"/>
    <n v="61.12472358622022"/>
    <n v="-61.12472358622022"/>
    <n v="-1.593"/>
    <n v="-3.6890000000000001"/>
    <n v="-56.817565735971812"/>
    <n v="2.1258629216131218E-2"/>
    <n v="12.347631639816555"/>
    <m/>
    <n v="883.2"/>
    <n v="20"/>
    <n v="79.7"/>
    <n v="858"/>
    <s v="Mla"/>
    <n v="-86.111111111111114"/>
  </r>
  <r>
    <x v="0"/>
    <x v="9"/>
    <s v="I6"/>
    <x v="0"/>
    <n v="-0.497"/>
    <n v="-1.6759999999999999"/>
    <n v="-70.346062052505971"/>
    <n v="1.5079206971492549"/>
    <n v="8.2224829943133449E-3"/>
    <n v="-99.454713831446313"/>
    <n v="15.88910606476442"/>
    <n v="8.6641097677986695E-2"/>
    <n v="99.454713831446313"/>
    <n v="-99.454713831446313"/>
    <n v="-1.456"/>
    <n v="-2.754"/>
    <n v="-47.131445170660854"/>
    <n v="2.8758319692770054E-2"/>
    <n v="0.71718748709344571"/>
    <n v="0.68500000000000005"/>
    <m/>
    <n v="20"/>
    <n v="51.9"/>
    <n v="645"/>
    <s v="Mpl"/>
    <n v="-79.545454545454547"/>
  </r>
  <r>
    <x v="0"/>
    <x v="10"/>
    <s v="G7"/>
    <x v="0"/>
    <n v="-0.42199999999999999"/>
    <n v="-1.1870000000000001"/>
    <n v="-64.448188711036238"/>
    <n v="2.7458597535010729"/>
    <n v="4.1037012671820278E-2"/>
    <n v="-98.505494950370405"/>
    <n v="12.170742678949569"/>
    <n v="0.18189236391432559"/>
    <n v="98.505494950370405"/>
    <n v="-98.505494950370405"/>
    <n v="-0.84600000000000009"/>
    <n v="-1.5669999999999999"/>
    <n v="-46.011486917677082"/>
    <n v="-9.9604352038653761E-3"/>
    <n v="10.276896370852626"/>
    <n v="0.23699999999999999"/>
    <n v="655.75"/>
    <n v="28.571428571428569"/>
    <n v="90"/>
    <n v="735"/>
    <s v="Nbu"/>
    <n v="-22.573024054982817"/>
  </r>
  <r>
    <x v="0"/>
    <x v="11"/>
    <s v="G10"/>
    <x v="0"/>
    <n v="-0.40799999999999997"/>
    <n v="-2.6230000000000002"/>
    <n v="-84.445291650781556"/>
    <n v="0.4623831868158928"/>
    <n v="4.127029008357961E-3"/>
    <n v="-99.107443971573034"/>
    <n v="14.03792257628843"/>
    <n v="0.1252963242205721"/>
    <n v="99.107443971573034"/>
    <n v="-99.107443971573034"/>
    <n v="-1.2050000000000001"/>
    <n v="-2.7679999999999998"/>
    <n v="-56.466763005780344"/>
    <n v="-9.0216655728648266E-3"/>
    <n v="-4.2054598357765984"/>
    <n v="0.61199999999999999"/>
    <n v="488.8"/>
    <n v="46.666666666666664"/>
    <n v="20"/>
    <n v="384"/>
    <s v="Paf"/>
    <n v="-52.185941043083893"/>
  </r>
  <r>
    <x v="0"/>
    <x v="11"/>
    <s v="H8"/>
    <x v="0"/>
    <n v="-0.13500000000000001"/>
    <n v="-2.319"/>
    <n v="-94.17852522639069"/>
    <n v="0.37938515059734401"/>
    <n v="0.16373148997138931"/>
    <n v="-56.842936600551397"/>
    <n v="16.58607516979513"/>
    <n v="7.1580629765086874"/>
    <n v="56.842936600551383"/>
    <n v="-56.842936600551383"/>
    <n v="-0.63100000000000001"/>
    <n v="-2.6459999999999999"/>
    <n v="-76.152683295540427"/>
    <n v="-2.5070679879673005E-4"/>
    <n v="1.8763328679121161"/>
    <m/>
    <m/>
    <m/>
    <n v="24.6"/>
    <n v="490"/>
    <s v="Pfa"/>
    <n v="-8.6847903776419084"/>
  </r>
  <r>
    <x v="1"/>
    <x v="12"/>
    <s v="F10"/>
    <x v="0"/>
    <n v="-0.11600000000000001"/>
    <n v="-2.3359999999999999"/>
    <n v="-95.034246575342465"/>
    <n v="4.0561526830000094"/>
    <n v="0.4226987220049217"/>
    <n v="-89.578826167552322"/>
    <n v="22.795455503716919"/>
    <n v="2.3755540439406042"/>
    <n v="89.578826167552322"/>
    <n v="-89.578826167552322"/>
    <n v="-0.35799999999999998"/>
    <n v="-3.2749999999999999"/>
    <n v="-89.068702290076331"/>
    <n v="8.7349291855817503E-3"/>
    <s v="NA"/>
    <m/>
    <m/>
    <m/>
    <n v="63.2"/>
    <n v="602"/>
    <s v="Pfu"/>
    <n v="-36.226175028352891"/>
  </r>
  <r>
    <x v="1"/>
    <x v="12"/>
    <s v="H7"/>
    <x v="0"/>
    <n v="-0.29499999999999998"/>
    <n v="-2.5230000000000001"/>
    <n v="-88.307570352754666"/>
    <n v="6.2474222271213096"/>
    <n v="0.14580429937123771"/>
    <n v="-97.666168636109262"/>
    <n v="33.694472609120517"/>
    <n v="0.78637216964922541"/>
    <n v="97.666168636109276"/>
    <n v="-97.666168636109276"/>
    <n v="-0.748"/>
    <n v="-3.6120000000000001"/>
    <n v="-79.291251384274631"/>
    <n v="2.3420874593229002E-2"/>
    <n v="20.224151239279511"/>
    <m/>
    <m/>
    <m/>
    <n v="73.400000000000006"/>
    <n v="670"/>
    <s v="Sgu"/>
    <n v="-24.101372615069934"/>
  </r>
  <r>
    <x v="1"/>
    <x v="0"/>
    <s v="A3"/>
    <x v="0"/>
    <n v="-0.47099999999999997"/>
    <n v="-2.7040000000000002"/>
    <n v="-82.581360946745562"/>
    <n v="5.9788956734108281"/>
    <n v="1.51155178762999"/>
    <n v="-74.718545527527453"/>
    <n v="34.552551700324912"/>
    <n v="8.7353876271951822"/>
    <n v="74.718545527527453"/>
    <n v="-74.718545527527453"/>
    <n v="-0.56699999999999995"/>
    <n v="-3.323"/>
    <n v="-82.937105025579299"/>
    <n v="3.0833337364130416E-2"/>
    <n v="8.8519632642693491"/>
    <m/>
    <m/>
    <m/>
    <n v="62.2"/>
    <n v="560"/>
    <m/>
    <m/>
  </r>
  <r>
    <x v="1"/>
    <x v="1"/>
    <s v="B10"/>
    <x v="0"/>
    <n v="-0.14899999999999999"/>
    <n v="-0.32300000000000001"/>
    <n v="-53.869969040247682"/>
    <n v="8.0605804902875651"/>
    <n v="3.5143641629468338"/>
    <n v="-56.400607038396359"/>
    <n v="34.255350477730524"/>
    <n v="14.93512486516031"/>
    <n v="56.40060703839633"/>
    <n v="-56.40060703839633"/>
    <n v="-0.34799999999999998"/>
    <n v="-3.605"/>
    <n v="-90.346740638002771"/>
    <n v="-3.44360234386289E-3"/>
    <n v="9.3622684935159057"/>
    <m/>
    <m/>
    <m/>
    <n v="83.6"/>
    <n v="660"/>
    <m/>
    <m/>
  </r>
  <r>
    <x v="1"/>
    <x v="1"/>
    <s v="I6"/>
    <x v="0"/>
    <n v="-0.153"/>
    <n v="-0.90100000000000002"/>
    <n v="-83.018867924528294"/>
    <n v="8.3752417978252058"/>
    <n v="0.44706242560602549"/>
    <n v="-94.662095299480015"/>
    <n v="36.874369982071947"/>
    <n v="1.968318728560146"/>
    <n v="94.662095299480015"/>
    <n v="-94.662095299480015"/>
    <n v="-0.20300000000000001"/>
    <n v="-1.923"/>
    <n v="-89.443577743109728"/>
    <n v="2.3499861849242888E-2"/>
    <n v="11.233512163472522"/>
    <m/>
    <m/>
    <m/>
    <n v="64.5"/>
    <n v="700"/>
    <m/>
    <m/>
  </r>
  <r>
    <x v="1"/>
    <x v="2"/>
    <s v="J7"/>
    <x v="0"/>
    <n v="-0.371"/>
    <n v="-3.2450000000000001"/>
    <n v="-88.567026194144844"/>
    <n v="3.5386517738925649"/>
    <n v="0.32328242773058202"/>
    <n v="-90.864248635152734"/>
    <n v="20.634348181997741"/>
    <n v="1.885102745664196"/>
    <n v="90.864248635152734"/>
    <n v="-90.864248635152734"/>
    <n v="-0.96400000000000008"/>
    <n v="-5.3340000000000014"/>
    <n v="-81.927259092613426"/>
    <n v="-8.6588002042198298E-3"/>
    <n v="7.940595633033487"/>
    <m/>
    <m/>
    <m/>
    <n v="74.8"/>
    <n v="661"/>
    <m/>
    <m/>
  </r>
  <r>
    <x v="1"/>
    <x v="4"/>
    <s v="A4"/>
    <x v="0"/>
    <n v="-0.44600000000000001"/>
    <n v="-1.167"/>
    <n v="-61.782347900599831"/>
    <n v="4.0436775529246622"/>
    <n v="0.2890736214261152"/>
    <n v="-92.851219771046345"/>
    <n v="20.62122006098307"/>
    <n v="0"/>
    <n v="100"/>
    <n v="-100"/>
    <n v="-0.43200000000000011"/>
    <n v="-1.1060000000000001"/>
    <n v="-60.940325497287503"/>
    <n v="3.1871140901128393E-2"/>
    <n v="11.544189971327141"/>
    <m/>
    <m/>
    <m/>
    <n v="57.9"/>
    <n v="680"/>
    <m/>
    <m/>
  </r>
  <r>
    <x v="1"/>
    <x v="4"/>
    <s v="C5"/>
    <x v="0"/>
    <n v="-0.501"/>
    <n v="-1.024"/>
    <n v="-51.07421875"/>
    <n v="1.967817987383653"/>
    <n v="0.42044487815894332"/>
    <n v="-78.633954925986146"/>
    <n v="10.8665103006454"/>
    <n v="2.321743488808254"/>
    <n v="78.633954925986146"/>
    <n v="-78.633954925986146"/>
    <n v="-0.51600000000000001"/>
    <n v="-0.99600000000000011"/>
    <n v="-48.192771084337352"/>
    <n v="-2.71788186581967E-3"/>
    <n v="12.107395297731269"/>
    <m/>
    <m/>
    <m/>
    <n v="86.4"/>
    <n v="632"/>
    <m/>
    <m/>
  </r>
  <r>
    <x v="1"/>
    <x v="5"/>
    <s v="A6"/>
    <x v="0"/>
    <n v="-0.80800000000000005"/>
    <n v="-3.0230000000000001"/>
    <n v="-73.271584518690034"/>
    <n v="0.64797611640613428"/>
    <n v="3.6874065060937267E-2"/>
    <n v="-94.309348118345525"/>
    <n v="9.9726279733713348"/>
    <n v="0.56750754141705617"/>
    <n v="94.309348118345525"/>
    <n v="-94.309348118345525"/>
    <n v="-1.3480000000000001"/>
    <n v="-3.3650000000000002"/>
    <n v="-59.940564635958403"/>
    <n v="0"/>
    <n v="0"/>
    <m/>
    <m/>
    <m/>
    <n v="33.4"/>
    <n v="340"/>
    <m/>
    <m/>
  </r>
  <r>
    <x v="1"/>
    <x v="7"/>
    <s v="F9"/>
    <x v="0"/>
    <n v="-0.34399999999999997"/>
    <n v="-1.9650000000000001"/>
    <n v="-82.493638676844782"/>
    <n v="30.202733901519629"/>
    <n v="8.6483896720506284"/>
    <n v="-71.365540284366475"/>
    <n v="77.740690913819378"/>
    <n v="22.260626822372782"/>
    <n v="71.365540284366475"/>
    <n v="-71.365540284366475"/>
    <n v="-1.1639999999999999"/>
    <n v="-2.5030000000000001"/>
    <n v="-53.495805033959257"/>
    <n v="1.5858697825917468E-2"/>
    <n v="14.788150720037246"/>
    <m/>
    <m/>
    <m/>
    <n v="99.7"/>
    <n v="730"/>
    <m/>
    <m/>
  </r>
  <r>
    <x v="1"/>
    <x v="8"/>
    <s v="A5"/>
    <x v="0"/>
    <n v="-0.81400000000000006"/>
    <n v="-3.423"/>
    <n v="-76.219690330119775"/>
    <n v="2.290381449884022"/>
    <n v="1.323505460821198"/>
    <n v="-42.214627136094897"/>
    <n v="30.088528196241761"/>
    <n v="17.386768207459522"/>
    <n v="42.214627136094904"/>
    <n v="-42.214627136094904"/>
    <n v="-1.6479999999999999"/>
    <n v="-4.4870000000000001"/>
    <n v="-63.271673724091826"/>
    <n v="3.5603071853408719E-2"/>
    <n v="7.8755053132131891"/>
    <m/>
    <m/>
    <m/>
    <n v="44.9"/>
    <n v="565"/>
    <m/>
    <m/>
  </r>
  <r>
    <x v="1"/>
    <x v="9"/>
    <s v="F3"/>
    <x v="0"/>
    <n v="-0.48699999999999999"/>
    <n v="-2.375"/>
    <n v="-79.494736842105269"/>
    <n v="7.3373827713223809"/>
    <n v="1.715616989141644"/>
    <n v="-76.618134250171508"/>
    <n v="30.775895371352039"/>
    <n v="7.1959785390372151"/>
    <n v="76.618134250171494"/>
    <n v="-76.618134250171494"/>
    <n v="-0.95600000000000007"/>
    <n v="-2.6760000000000002"/>
    <n v="-64.27503736920778"/>
    <s v="NA"/>
    <s v="NA"/>
    <m/>
    <m/>
    <m/>
    <n v="77.599999999999994"/>
    <m/>
    <m/>
    <m/>
  </r>
  <r>
    <x v="1"/>
    <x v="9"/>
    <s v="J1"/>
    <x v="0"/>
    <n v="-0.34699999999999998"/>
    <n v="-1.615"/>
    <n v="-78.513931888544903"/>
    <n v="1.6553229737226149"/>
    <n v="1.8864970475000509E-2"/>
    <n v="-98.86034503390141"/>
    <n v="23.243587031586429"/>
    <n v="0.26489669390492082"/>
    <n v="98.860345033901424"/>
    <n v="-98.860345033901424"/>
    <n v="-1.518"/>
    <n v="-2.6560000000000001"/>
    <n v="-42.846385542168676"/>
    <n v="2.2248125219784583E-2"/>
    <n v="15.403066832191886"/>
    <m/>
    <m/>
    <m/>
    <n v="39.1"/>
    <n v="510"/>
    <m/>
    <m/>
  </r>
  <r>
    <x v="1"/>
    <x v="10"/>
    <s v="B9"/>
    <x v="0"/>
    <n v="-0.47499999999999998"/>
    <n v="-1.0820000000000001"/>
    <n v="-56.099815157116453"/>
    <n v="15.590823668628911"/>
    <n v="0.73431780400529045"/>
    <n v="-95.290064081201507"/>
    <n v="23.383766775796261"/>
    <n v="1.101360430541297"/>
    <n v="95.290064081201493"/>
    <n v="-95.290064081201493"/>
    <n v="-0.41299999999999998"/>
    <n v="-1.254"/>
    <n v="-67.065390749601278"/>
    <n v="-3.2804876299691635E-3"/>
    <n v="12.507250775390466"/>
    <m/>
    <m/>
    <m/>
    <n v="135"/>
    <n v="770"/>
    <m/>
    <m/>
  </r>
  <r>
    <x v="1"/>
    <x v="10"/>
    <s v="C6"/>
    <x v="0"/>
    <n v="-0.51200000000000001"/>
    <n v="-0.95600000000000007"/>
    <n v="-46.443514644351467"/>
    <n v="12.391754154782459"/>
    <n v="1.82789591323151"/>
    <n v="-85.24909475769374"/>
    <n v="23.10880118243707"/>
    <n v="3.4087573650542429"/>
    <n v="85.24909475769374"/>
    <n v="-85.24909475769374"/>
    <n v="-0.90600000000000003"/>
    <n v="-1.2869999999999999"/>
    <n v="-29.603729603729594"/>
    <n v="2.072168076406801E-2"/>
    <n v="12.154102900210372"/>
    <m/>
    <m/>
    <m/>
    <n v="125.1"/>
    <n v="751"/>
    <m/>
    <m/>
  </r>
  <r>
    <x v="1"/>
    <x v="11"/>
    <s v="H9"/>
    <x v="0"/>
    <n v="-0.26700000000000002"/>
    <n v="-1.9950000000000001"/>
    <n v="-86.616541353383468"/>
    <n v="0.21767524229327589"/>
    <n v="2.7368855650165948E-3"/>
    <n v="-98.742674850762697"/>
    <n v="5.4628213284182099"/>
    <n v="6.8685426420101545E-2"/>
    <n v="98.742674850762697"/>
    <n v="-98.742674850762697"/>
    <n v="-1.2390000000000001"/>
    <n v="-3.387"/>
    <n v="-63.418954827280771"/>
    <n v="1.1013475028988331E-2"/>
    <n v="-1.4626336624352942"/>
    <m/>
    <m/>
    <m/>
    <n v="19.8"/>
    <n v="320"/>
    <m/>
    <m/>
  </r>
  <r>
    <x v="2"/>
    <x v="0"/>
    <s v="G4"/>
    <x v="1"/>
    <n v="-0.23400000000000001"/>
    <n v="-2.4319999999999999"/>
    <n v="-90.37828947368422"/>
    <n v="3.2397922125437031"/>
    <n v="0.33403391643976038"/>
    <n v="-89.689649998340613"/>
    <n v="23.802690999676621"/>
    <n v="2.454140751880137"/>
    <n v="89.689649998340613"/>
    <n v="-89.689649998340613"/>
    <n v="-0.87899999999999989"/>
    <n v="-2.4649999999999999"/>
    <n v="-64.340770791075059"/>
    <n v="-1.8247700352262827E-3"/>
    <n v="2.6126988146007939"/>
    <m/>
    <m/>
    <n v="20"/>
    <n v="78.599999999999994"/>
    <n v="701"/>
    <m/>
    <m/>
  </r>
  <r>
    <x v="2"/>
    <x v="1"/>
    <s v="D4"/>
    <x v="1"/>
    <n v="-0.185"/>
    <n v="-0.55599999999999994"/>
    <n v="-66.72661870503596"/>
    <n v="32.655171133375113"/>
    <n v="21.490251149939301"/>
    <n v="-34.19035820646716"/>
    <n v="86.394984757957758"/>
    <n v="56.856229996789303"/>
    <n v="34.190358206467153"/>
    <n v="-34.190358206467153"/>
    <n v="-0.159"/>
    <n v="-2.7559999999999998"/>
    <n v="-94.230769230769241"/>
    <n v="-1.3182594023193784E-2"/>
    <n v="18.789555854999797"/>
    <m/>
    <m/>
    <n v="28.571428571428569"/>
    <n v="125"/>
    <n v="776"/>
    <m/>
    <m/>
  </r>
  <r>
    <x v="2"/>
    <x v="1"/>
    <s v="I2"/>
    <x v="1"/>
    <n v="-0.158"/>
    <n v="-0.497"/>
    <n v="-68.209255533199183"/>
    <n v="17.791299561479331"/>
    <n v="4.3217659074259309"/>
    <n v="-75.708542861123192"/>
    <n v="40.550800325435837"/>
    <n v="9.8503802805247691"/>
    <n v="75.708542861123192"/>
    <n v="-75.708542861123192"/>
    <n v="-0.224"/>
    <n v="-1.0009999999999999"/>
    <n v="-77.622377622377627"/>
    <m/>
    <m/>
    <m/>
    <m/>
    <m/>
    <n v="107.9"/>
    <n v="840"/>
    <m/>
    <m/>
  </r>
  <r>
    <x v="2"/>
    <x v="2"/>
    <s v="C6"/>
    <x v="1"/>
    <n v="-0.54600000000000004"/>
    <n v="-2.5979999999999999"/>
    <n v="-78.983833718244796"/>
    <n v="15.484538892655941"/>
    <n v="1.760349326559469"/>
    <n v="-88.631567663959473"/>
    <n v="84.975754455931948"/>
    <n v="9.6604111473625629"/>
    <n v="88.631567663959473"/>
    <n v="-88.631567663959473"/>
    <n v="-0.51400000000000001"/>
    <n v="-3.0739999999999998"/>
    <n v="-83.279115159401414"/>
    <n v="-5.984353682404752E-3"/>
    <n v="5.538922953359263"/>
    <m/>
    <m/>
    <n v="20"/>
    <n v="84.6"/>
    <n v="716"/>
    <m/>
    <m/>
  </r>
  <r>
    <x v="2"/>
    <x v="3"/>
    <s v="A10"/>
    <x v="1"/>
    <n v="-0.33400000000000002"/>
    <n v="-2.6120000000000001"/>
    <n v="-87.212863705972438"/>
    <n v="6.1737582683164796"/>
    <n v="0.31377543846752781"/>
    <n v="-94.91759435937405"/>
    <n v="103.2432815377008"/>
    <n v="5.2472423644394377"/>
    <n v="94.91759435937405"/>
    <n v="-94.91759435937405"/>
    <n v="-1.163"/>
    <n v="-3.1819999999999999"/>
    <n v="-63.450659962287872"/>
    <s v="NA"/>
    <s v="NA"/>
    <m/>
    <m/>
    <n v="30.76923076923077"/>
    <m/>
    <n v="213"/>
    <m/>
    <m/>
  </r>
  <r>
    <x v="2"/>
    <x v="4"/>
    <s v="E10"/>
    <x v="1"/>
    <n v="-0.36199999999999999"/>
    <n v="-1.121"/>
    <n v="-67.707404103479035"/>
    <n v="4.0989215117996043"/>
    <n v="0.27979835788985058"/>
    <n v="-93.173854217886515"/>
    <n v="5.3960330721106349"/>
    <n v="0.36834108395332821"/>
    <n v="93.173854217886529"/>
    <n v="-93.173854217886529"/>
    <n v="-0.53899999999999992"/>
    <n v="-1.423"/>
    <n v="-62.122276879831354"/>
    <n v="2.6553910264433728E-2"/>
    <n v="2.5855612671072654"/>
    <m/>
    <m/>
    <n v="20"/>
    <n v="147.1"/>
    <n v="921"/>
    <m/>
    <m/>
  </r>
  <r>
    <x v="2"/>
    <x v="4"/>
    <s v="H10"/>
    <x v="1"/>
    <n v="-0.495"/>
    <n v="-0.84499999999999997"/>
    <n v="-41.42011834319527"/>
    <n v="5.7923858499681211"/>
    <n v="0.67583353531354851"/>
    <n v="-88.332380597240984"/>
    <n v="11.475985834958729"/>
    <n v="5.1642983160038476"/>
    <n v="54.999087744844545"/>
    <n v="-54.999087744844545"/>
    <n v="-0.53800000000000003"/>
    <n v="-1.4039999999999999"/>
    <n v="-61.680911680911677"/>
    <n v="-2.6588215171258471E-2"/>
    <n v="18.52184834971148"/>
    <m/>
    <m/>
    <m/>
    <n v="64.8"/>
    <n v="512"/>
    <m/>
    <m/>
  </r>
  <r>
    <x v="2"/>
    <x v="5"/>
    <s v="C8"/>
    <x v="1"/>
    <n v="-0.24399999999999999"/>
    <n v="-2.0870000000000002"/>
    <n v="-88.308576904647822"/>
    <n v="3.4290989184335139"/>
    <n v="1.410958330849305"/>
    <n v="-58.853379140959241"/>
    <n v="28.719782228700641"/>
    <n v="11.81721990518562"/>
    <n v="58.853379140959241"/>
    <n v="-58.853379140959241"/>
    <n v="-0.84499999999999997"/>
    <n v="-2.3279999999999998"/>
    <n v="-63.702749140893467"/>
    <n v="1.4204493949391642E-2"/>
    <n v="0.86557306903636777"/>
    <m/>
    <m/>
    <m/>
    <n v="61"/>
    <n v="534"/>
    <m/>
    <m/>
  </r>
  <r>
    <x v="2"/>
    <x v="6"/>
    <s v="C2"/>
    <x v="1"/>
    <n v="-0.45600000000000002"/>
    <n v="-2.1139999999999999"/>
    <n v="-78.429517502365186"/>
    <n v="3.3636610262415019"/>
    <n v="9.4999427972507731E-4"/>
    <n v="-99.971757133899231"/>
    <n v="93.916104359680403"/>
    <n v="2.6524599601361269E-2"/>
    <n v="99.971757133899231"/>
    <n v="-99.971757133899231"/>
    <n v="-0.64500000000000002"/>
    <n v="-2.6230000000000002"/>
    <n v="-75.409836065573771"/>
    <n v="1.1005309037868274E-3"/>
    <n v="-3.4801246747494718"/>
    <m/>
    <m/>
    <n v="60"/>
    <n v="34"/>
    <n v="571"/>
    <m/>
    <m/>
  </r>
  <r>
    <x v="2"/>
    <x v="7"/>
    <s v="I8"/>
    <x v="1"/>
    <n v="-0.28499999999999998"/>
    <n v="-1.7210000000000001"/>
    <n v="-83.439860546194083"/>
    <n v="15.20080983568598"/>
    <n v="3.3997789948676278"/>
    <n v="-77.634224547127872"/>
    <n v="37.63530219179399"/>
    <n v="8.4174271792265127"/>
    <n v="77.634224547127843"/>
    <n v="-77.634224547127843"/>
    <n v="-1.268"/>
    <n v="-2.6509999999999998"/>
    <n v="-52.168992832893245"/>
    <n v="2.5562690103455334E-3"/>
    <n v="21.026889887404813"/>
    <m/>
    <m/>
    <n v="33.333333333333329"/>
    <n v="75.3"/>
    <n v="736"/>
    <m/>
    <m/>
  </r>
  <r>
    <x v="2"/>
    <x v="8"/>
    <s v="H5"/>
    <x v="1"/>
    <n v="-0.20899999999999999"/>
    <n v="-2.109"/>
    <n v="-90.090090090090087"/>
    <n v="17.254066061496811"/>
    <n v="3.8861168015815641"/>
    <n v="-77.477095614849873"/>
    <n v="107.10885969508119"/>
    <n v="24.124026057147731"/>
    <n v="77.477095614849873"/>
    <n v="-77.477095614849873"/>
    <n v="-1.75"/>
    <n v="-3.415"/>
    <n v="-48.755490483162518"/>
    <n v="2.9470623543223756E-2"/>
    <n v="10.593628092026655"/>
    <m/>
    <m/>
    <n v="20"/>
    <n v="71.3"/>
    <n v="778"/>
    <m/>
    <m/>
  </r>
  <r>
    <x v="2"/>
    <x v="8"/>
    <s v="I4"/>
    <x v="1"/>
    <n v="-0.309"/>
    <n v="-3.871"/>
    <n v="-92.01756652027899"/>
    <n v="7.1354049331900526"/>
    <n v="2.2181886495902572"/>
    <n v="-68.912925470109755"/>
    <n v="39.011654554745448"/>
    <n v="12.127582126777041"/>
    <n v="68.912925470109741"/>
    <n v="-68.912925470109741"/>
    <n v="-1.3839999999999999"/>
    <n v="-4.0819999999999999"/>
    <n v="-66.095051445369918"/>
    <n v="1.6694029881260057E-2"/>
    <n v="9.5340372091425838"/>
    <m/>
    <m/>
    <n v="20"/>
    <n v="69.400000000000006"/>
    <n v="740"/>
    <m/>
    <m/>
  </r>
  <r>
    <x v="2"/>
    <x v="9"/>
    <s v="A6"/>
    <x v="1"/>
    <n v="-0.33400000000000002"/>
    <n v="-1.7090000000000001"/>
    <n v="-80.456407255705088"/>
    <n v="6.4321250774334233"/>
    <n v="4.1306814247544876"/>
    <n v="-35.780455525551886"/>
    <n v="35.122915814969851"/>
    <n v="22.555776542517531"/>
    <n v="35.780455525551893"/>
    <n v="-35.780455525551893"/>
    <n v="-1.907"/>
    <n v="-2.7559999999999998"/>
    <n v="-30.805515239477501"/>
    <n v="3.3200723417482841E-2"/>
    <n v="11.447018735812323"/>
    <m/>
    <m/>
    <m/>
    <n v="76.2"/>
    <n v="770"/>
    <m/>
    <m/>
  </r>
  <r>
    <x v="2"/>
    <x v="10"/>
    <s v="D10"/>
    <x v="1"/>
    <n v="-0.56900000000000006"/>
    <n v="-0.8869999999999999"/>
    <n v="-35.851183765501673"/>
    <n v="4.6627222632529302"/>
    <n v="0.11867419543494361"/>
    <n v="-97.454830274360987"/>
    <n v="14.894405755783101"/>
    <n v="0.37908790611002552"/>
    <n v="97.454830274360987"/>
    <n v="-97.454830274360987"/>
    <n v="-0.92699999999999994"/>
    <n v="-1.583"/>
    <n v="-41.440303221730893"/>
    <n v="4.2582810257447024E-3"/>
    <n v="13.210894816205807"/>
    <m/>
    <m/>
    <n v="20"/>
    <n v="94.8"/>
    <n v="700"/>
    <m/>
    <m/>
  </r>
  <r>
    <x v="2"/>
    <x v="11"/>
    <s v="A8"/>
    <x v="1"/>
    <n v="-0.247"/>
    <n v="-1.323"/>
    <n v="-81.330309901738488"/>
    <n v="8.4581802003568587"/>
    <n v="1.239452435776331"/>
    <n v="-85.346109843769497"/>
    <n v="119.4565160954096"/>
    <n v="17.505026653081131"/>
    <n v="85.346109843769497"/>
    <n v="-85.346109843769497"/>
    <n v="-0.68099999999999994"/>
    <n v="-2.4039999999999999"/>
    <n v="-71.672212978369373"/>
    <n v="3.9770738923692393E-2"/>
    <n v="19.068331394862227"/>
    <m/>
    <m/>
    <n v="20"/>
    <n v="34.5"/>
    <n v="430"/>
    <m/>
    <m/>
  </r>
  <r>
    <x v="2"/>
    <x v="11"/>
    <s v="C9"/>
    <x v="1"/>
    <n v="-0.29399999999999998"/>
    <n v="-1.1599999999999999"/>
    <n v="-74.655172413793096"/>
    <n v="2.1427926561973059"/>
    <n v="1.016300581320416"/>
    <n v="-52.57121222713225"/>
    <n v="22.865949995905069"/>
    <n v="10.84504289580787"/>
    <n v="52.571212227132278"/>
    <n v="-52.571212227132278"/>
    <n v="-0.69599999999999995"/>
    <n v="-1.282"/>
    <n v="-45.70982839313573"/>
    <n v="3.9770738923692393E-2"/>
    <n v="19.068331394862227"/>
    <m/>
    <m/>
    <n v="20"/>
    <n v="40"/>
    <n v="540"/>
    <m/>
    <m/>
  </r>
  <r>
    <x v="3"/>
    <x v="0"/>
    <s v="A10"/>
    <x v="1"/>
    <n v="-0.20100000000000001"/>
    <n v="-1.361"/>
    <n v="-85.23144746509918"/>
    <n v="11.02289678806526"/>
    <n v="6.3202275961468164"/>
    <n v="-42.662734509227469"/>
    <n v="42.103878822027653"/>
    <n v="24.14121278209916"/>
    <n v="42.662734509227434"/>
    <n v="-42.662734509227434"/>
    <n v="-0.72399999999999998"/>
    <n v="-2.0070000000000001"/>
    <n v="-63.926258096661691"/>
    <n v="1.3974401028587324E-2"/>
    <n v="13.963878549588205"/>
    <m/>
    <m/>
    <m/>
    <n v="87.4"/>
    <n v="678"/>
    <m/>
    <m/>
  </r>
  <r>
    <x v="3"/>
    <x v="0"/>
    <s v="I7"/>
    <x v="1"/>
    <n v="-0.32100000000000001"/>
    <n v="-1.345"/>
    <n v="-76.133828996282531"/>
    <n v="10.262344416951279"/>
    <n v="4.7506977597466706"/>
    <n v="-53.70748079844703"/>
    <n v="49.675494502303778"/>
    <n v="22.996037830945379"/>
    <n v="53.707480798447008"/>
    <n v="-53.707480798447008"/>
    <n v="-0.77900000000000003"/>
    <n v="-2.0640000000000001"/>
    <n v="-62.257751937984509"/>
    <n v="3.5008637196462841E-2"/>
    <n v="20.422821535829076"/>
    <m/>
    <m/>
    <m/>
    <n v="93.2"/>
    <n v="740"/>
    <m/>
    <m/>
  </r>
  <r>
    <x v="3"/>
    <x v="1"/>
    <s v="F6"/>
    <x v="1"/>
    <n v="-0.14599999999999999"/>
    <n v="-0.91300000000000003"/>
    <n v="-84.008762322015329"/>
    <n v="10.16601589876147"/>
    <n v="6.6824453694994093"/>
    <n v="-34.266821574481952"/>
    <n v="43.202898103165161"/>
    <n v="28.398638095148311"/>
    <n v="34.266821574481945"/>
    <n v="-34.266821574481945"/>
    <n v="-0.11799999999999999"/>
    <n v="-2.8759999999999999"/>
    <n v="-95.897079276773297"/>
    <n v="2.5468610825763953E-2"/>
    <n v="7.7905195045690627"/>
    <m/>
    <m/>
    <m/>
    <n v="90.2"/>
    <n v="800"/>
    <m/>
    <m/>
  </r>
  <r>
    <x v="3"/>
    <x v="2"/>
    <s v="A4"/>
    <x v="1"/>
    <n v="-0.24099999999999999"/>
    <n v="-1.073"/>
    <n v="-77.539608574091332"/>
    <n v="1.727508079710359"/>
    <n v="0.29166645742765429"/>
    <n v="-83.116347711869679"/>
    <n v="21.51758423220873"/>
    <n v="3.6329541025716798"/>
    <n v="83.116347711869665"/>
    <n v="-83.116347711869665"/>
    <n v="-0.44500000000000001"/>
    <n v="-2.5409999999999999"/>
    <n v="-82.487209759937045"/>
    <n v="-1.5519024933775737E-4"/>
    <n v="15.398008401425331"/>
    <m/>
    <m/>
    <m/>
    <n v="75.900000000000006"/>
    <n v="610"/>
    <m/>
    <m/>
  </r>
  <r>
    <x v="3"/>
    <x v="3"/>
    <s v="A7"/>
    <x v="1"/>
    <n v="-0.19800000000000001"/>
    <n v="-1.657"/>
    <n v="-88.050694025347013"/>
    <n v="0.60829008377087035"/>
    <n v="3.5297560863956669E-2"/>
    <n v="-94.1972486802444"/>
    <n v="13.62273514953624"/>
    <n v="0.79049344367652485"/>
    <n v="94.1972486802444"/>
    <n v="-94.1972486802444"/>
    <n v="-1.212"/>
    <n v="-2.9609999999999999"/>
    <n v="-59.067882472137789"/>
    <n v="-3.1635481987767652E-2"/>
    <s v="NA"/>
    <m/>
    <m/>
    <m/>
    <n v="19"/>
    <n v="240"/>
    <m/>
    <m/>
  </r>
  <r>
    <x v="3"/>
    <x v="4"/>
    <s v="C7"/>
    <x v="1"/>
    <n v="-0.20499999999999999"/>
    <n v="-0.64500000000000002"/>
    <n v="-68.217054263565899"/>
    <n v="12.511969058955611"/>
    <n v="0.1497974193724432"/>
    <n v="-98.802767025185176"/>
    <n v="20.488909055179601"/>
    <n v="0.2452999753884284"/>
    <n v="98.80276702518519"/>
    <n v="-98.80276702518519"/>
    <n v="-0.57400000000000007"/>
    <n v="-1.2450000000000001"/>
    <n v="-53.895582329317271"/>
    <n v="2.5855207846560761E-2"/>
    <n v="12.9758822515494"/>
    <m/>
    <m/>
    <m/>
    <n v="126.2"/>
    <n v="887"/>
    <m/>
    <m/>
  </r>
  <r>
    <x v="3"/>
    <x v="5"/>
    <s v="E8"/>
    <x v="1"/>
    <n v="-0.104"/>
    <n v="-1.4339999999999999"/>
    <n v="-92.747559274755915"/>
    <n v="2.7113063329273839"/>
    <n v="3.4354065252964062E-2"/>
    <n v="-98.732933094436731"/>
    <n v="29.581417035926691"/>
    <n v="0.3748163454588832"/>
    <n v="98.732933094436731"/>
    <n v="-98.732933094436731"/>
    <n v="-0.92500000000000004"/>
    <n v="-2.0449999999999999"/>
    <n v="-54.76772616136919"/>
    <n v="7.0690259557514073E-3"/>
    <n v="6.4077348836481818"/>
    <m/>
    <m/>
    <m/>
    <n v="49.4"/>
    <n v="546"/>
    <m/>
    <m/>
  </r>
  <r>
    <x v="3"/>
    <x v="5"/>
    <s v="J9"/>
    <x v="1"/>
    <n v="-0.20200000000000001"/>
    <n v="-1.756"/>
    <n v="-88.496583143507976"/>
    <n v="2.5015652215413162"/>
    <n v="3.3204945957181847E-2"/>
    <n v="-98.6726332109493"/>
    <n v="24.22406719529442"/>
    <n v="0.32154222290766221"/>
    <n v="98.6726332109493"/>
    <n v="-98.6726332109493"/>
    <n v="-0.92799999999999994"/>
    <n v="-2.3610000000000002"/>
    <n v="-60.694620923337574"/>
    <n v="5.0871136718230486E-2"/>
    <n v="-2.0614357055983081"/>
    <m/>
    <m/>
    <m/>
    <n v="45.3"/>
    <n v="410"/>
    <m/>
    <m/>
  </r>
  <r>
    <x v="3"/>
    <x v="7"/>
    <s v="B10"/>
    <x v="1"/>
    <n v="-0.14199999999999999"/>
    <n v="-1.173"/>
    <n v="-87.894288150042627"/>
    <n v="21.62371089986884"/>
    <n v="6.9924418412804474"/>
    <n v="-67.66308117205331"/>
    <n v="60.030254564193108"/>
    <n v="19.41193469063289"/>
    <n v="67.66308117205331"/>
    <n v="-67.66308117205331"/>
    <n v="-1.462"/>
    <n v="-3.1749999999999998"/>
    <n v="-53.952755905511808"/>
    <n v="3.7260971551856606E-2"/>
    <n v="16.971718051471029"/>
    <m/>
    <m/>
    <m/>
    <n v="93.8"/>
    <n v="803"/>
    <m/>
    <m/>
  </r>
  <r>
    <x v="3"/>
    <x v="7"/>
    <s v="G10"/>
    <x v="1"/>
    <n v="-0.16700000000000001"/>
    <n v="-1.4630000000000001"/>
    <n v="-88.585099111414905"/>
    <n v="12.771652418781141"/>
    <n v="4.1084743143855231"/>
    <n v="-67.831301857668208"/>
    <n v="66.722953590273818"/>
    <n v="21.463905532103318"/>
    <n v="67.831301857668208"/>
    <n v="-67.831301857668208"/>
    <n v="-0.63100000000000001"/>
    <n v="-2.2429999999999999"/>
    <n v="-71.868033883192155"/>
    <n v="1.9093083086777235E-2"/>
    <n v="8.1909261814104273"/>
    <m/>
    <m/>
    <m/>
    <n v="77.3"/>
    <n v="705"/>
    <m/>
    <m/>
  </r>
  <r>
    <x v="3"/>
    <x v="8"/>
    <s v="I10"/>
    <x v="1"/>
    <n v="-0.17100000000000001"/>
    <n v="-2.2090000000000001"/>
    <n v="-92.258940697148034"/>
    <n v="9.5581895332936515"/>
    <n v="3.7778032971465012"/>
    <n v="-60.475744030944"/>
    <n v="40.978269778104938"/>
    <n v="16.19635623878851"/>
    <n v="60.475744030944"/>
    <n v="-60.475744030944"/>
    <n v="-1.3069999999999999"/>
    <n v="-3.2869999999999999"/>
    <n v="-60.237298448433222"/>
    <n v="9.2279113126538404E-3"/>
    <n v="11.97373641889671"/>
    <m/>
    <m/>
    <m/>
    <n v="85.7"/>
    <n v="734"/>
    <m/>
    <m/>
  </r>
  <r>
    <x v="3"/>
    <x v="9"/>
    <s v="G7"/>
    <x v="1"/>
    <n v="-0.153"/>
    <n v="-0.84499999999999997"/>
    <n v="-81.89349112426035"/>
    <n v="4.4348520354652692"/>
    <n v="2.1540518531779171"/>
    <n v="-51.429002908054599"/>
    <n v="35.700962121793417"/>
    <n v="17.340313273972811"/>
    <n v="51.429002908054599"/>
    <n v="-51.429002908054599"/>
    <n v="-1.0009999999999999"/>
    <n v="-2.1240000000000001"/>
    <n v="-52.871939736346519"/>
    <n v="1.9225946713001842E-2"/>
    <n v="23.374083142237392"/>
    <m/>
    <m/>
    <m/>
    <n v="55"/>
    <n v="622"/>
    <m/>
    <m/>
  </r>
  <r>
    <x v="3"/>
    <x v="10"/>
    <s v="A6"/>
    <x v="1"/>
    <n v="-0.189"/>
    <n v="-1.3120000000000001"/>
    <n v="-85.594512195121951"/>
    <n v="2.865632775981537"/>
    <n v="0.35744529424170851"/>
    <n v="-87.526479413633993"/>
    <n v="40.479973048544693"/>
    <n v="5.0492777715656301"/>
    <n v="87.526479413634007"/>
    <n v="-87.526479413634007"/>
    <n v="-0.72"/>
    <n v="-1.1339999999999999"/>
    <n v="-36.507936507936506"/>
    <n v="5.880315425601591E-3"/>
    <n v="16.891440238922108"/>
    <m/>
    <m/>
    <m/>
    <n v="43.6"/>
    <n v="371"/>
    <m/>
    <m/>
  </r>
  <r>
    <x v="3"/>
    <x v="10"/>
    <s v="H5"/>
    <x v="1"/>
    <n v="-0.503"/>
    <n v="-0.78899999999999992"/>
    <n v="-36.248415716096318"/>
    <n v="1.416651641859602"/>
    <n v="8.3335788330501977E-3"/>
    <n v="-99.411741137566395"/>
    <n v="8.0119447319958255"/>
    <n v="4.7130974939247297E-2"/>
    <n v="99.411741137566395"/>
    <n v="-99.411741137566395"/>
    <n v="-0.91500000000000004"/>
    <n v="-1.2210000000000001"/>
    <n v="-25.061425061425062"/>
    <n v="6.3384862140673888E-3"/>
    <n v="13.483825341791784"/>
    <m/>
    <m/>
    <m/>
    <n v="75"/>
    <n v="640"/>
    <m/>
    <m/>
  </r>
  <r>
    <x v="3"/>
    <x v="11"/>
    <s v="H3"/>
    <x v="1"/>
    <n v="-0.21199999999999999"/>
    <n v="-1.0860000000000001"/>
    <n v="-80.478821362799266"/>
    <n v="1.2192054447291629"/>
    <n v="0.1109242657028284"/>
    <n v="-90.901921724318626"/>
    <n v="16.554392314331871"/>
    <n v="1.506131570821293"/>
    <n v="90.90192172431864"/>
    <n v="-90.90192172431864"/>
    <n v="-0.48299999999999998"/>
    <n v="-2.1230000000000002"/>
    <n v="-77.249175694771537"/>
    <n v="2.0785094597206271E-2"/>
    <n v="22.811701937834123"/>
    <m/>
    <m/>
    <m/>
    <n v="22.6"/>
    <n v="352"/>
    <m/>
    <m/>
  </r>
  <r>
    <x v="4"/>
    <x v="12"/>
    <s v="H9"/>
    <x v="0"/>
    <n v="-0.371"/>
    <n v="-1.76"/>
    <n v="-78.920454545454547"/>
    <n v="8.8329769058476977"/>
    <n v="2.9417048456824961"/>
    <n v="-66.696337180107435"/>
    <n v="38.416859772010163"/>
    <n v="12.794221444461209"/>
    <n v="66.696337180107449"/>
    <n v="-66.696337180107449"/>
    <n v="-0.34"/>
    <n v="-2.875"/>
    <n v="-88.173913043478265"/>
    <n v="3.5829885177280862E-2"/>
    <n v="11.240386978832715"/>
    <m/>
    <m/>
    <m/>
    <n v="58"/>
    <n v="684"/>
    <m/>
    <m/>
  </r>
  <r>
    <x v="4"/>
    <x v="12"/>
    <s v="I4"/>
    <x v="0"/>
    <n v="-0.34499999999999997"/>
    <n v="-1.4630000000000001"/>
    <n v="-76.418318523581689"/>
    <n v="0.94000392349700357"/>
    <n v="2.777741354268955E-2"/>
    <n v="-97.044968340200967"/>
    <n v="23.716678409262439"/>
    <n v="0.70083535564642718"/>
    <n v="97.044968340200981"/>
    <n v="-97.044968340200981"/>
    <n v="-0.44900000000000001"/>
    <n v="-2.2730000000000001"/>
    <n v="-80.246370435547732"/>
    <n v="4.5743953695326058E-2"/>
    <n v="6.1597365572116392"/>
    <m/>
    <m/>
    <m/>
    <n v="30"/>
    <n v="350"/>
    <m/>
    <m/>
  </r>
  <r>
    <x v="4"/>
    <x v="0"/>
    <s v="G4"/>
    <x v="0"/>
    <n v="-0.54800000000000004"/>
    <n v="-2.367"/>
    <n v="-76.84833122095479"/>
    <n v="2.799272207025072"/>
    <n v="0.89329092704369106"/>
    <n v="-68.088457964113587"/>
    <n v="38.083128882939192"/>
    <n v="12.152913682059941"/>
    <n v="68.088457964113587"/>
    <n v="-68.088457964113587"/>
    <n v="-0.77800000000000002"/>
    <n v="-2.8759999999999999"/>
    <n v="-72.948539638386649"/>
    <n v="2.2619415804791307E-2"/>
    <n v="-7.3085694733124011"/>
    <m/>
    <m/>
    <n v="20"/>
    <n v="32.1"/>
    <n v="370"/>
    <m/>
    <m/>
  </r>
  <r>
    <x v="4"/>
    <x v="1"/>
    <s v="C8"/>
    <x v="0"/>
    <n v="-0.26300000000000001"/>
    <n v="-0.64600000000000002"/>
    <n v="-59.287925696594421"/>
    <n v="16.4310594500514"/>
    <n v="8.4671356801181119"/>
    <n v="-48.468717395507781"/>
    <n v="42.005827681874422"/>
    <n v="21.64614177310273"/>
    <n v="48.468717395507781"/>
    <n v="-48.468717395507781"/>
    <n v="-0.109"/>
    <n v="-3.9319999999999999"/>
    <n v="-97.22787385554426"/>
    <n v="1.0459977917073454E-2"/>
    <n v="24.274335600269417"/>
    <m/>
    <m/>
    <m/>
    <n v="97"/>
    <n v="770"/>
    <m/>
    <m/>
  </r>
  <r>
    <x v="4"/>
    <x v="2"/>
    <s v="A1"/>
    <x v="0"/>
    <n v="-0.51200000000000001"/>
    <n v="-2.4750000000000001"/>
    <n v="-79.313131313131308"/>
    <n v="1.7749219558778011"/>
    <n v="0.2450563899103394"/>
    <n v="-86.193399146434885"/>
    <n v="22.65741467297433"/>
    <n v="3.128218807634664"/>
    <n v="86.193399146434885"/>
    <n v="-86.193399146434885"/>
    <n v="-0.38700000000000001"/>
    <n v="-2.726"/>
    <n v="-85.803374908290536"/>
    <n v="-3.0381995721919837E-4"/>
    <n v="5.6780254445246685"/>
    <m/>
    <m/>
    <m/>
    <n v="33.200000000000003"/>
    <n v="460"/>
    <m/>
    <m/>
  </r>
  <r>
    <x v="4"/>
    <x v="2"/>
    <s v="G6"/>
    <x v="0"/>
    <n v="-0.58399999999999996"/>
    <n v="-2.778"/>
    <n v="-78.977681785457165"/>
    <n v="1.7142066332307391"/>
    <n v="0.39477172233073349"/>
    <n v="-76.970587169721"/>
    <n v="19.308110691663"/>
    <n v="4.4465445209103116"/>
    <n v="76.970587169721"/>
    <n v="-76.970587169721"/>
    <n v="-1.2509999999999999"/>
    <n v="-4.0060000000000002"/>
    <n v="-68.771842236645043"/>
    <n v="5.2555943113949413E-2"/>
    <n v="11.192252581245134"/>
    <m/>
    <m/>
    <m/>
    <n v="42.8"/>
    <n v="570"/>
    <m/>
    <m/>
  </r>
  <r>
    <x v="4"/>
    <x v="3"/>
    <s v="D10"/>
    <x v="0"/>
    <n v="-0.52300000000000002"/>
    <n v="-3.5139999999999998"/>
    <n v="-85.116676152532719"/>
    <n v="0.63323939738320612"/>
    <n v="4.9820893235358659E-3"/>
    <n v="-99.213237624802915"/>
    <n v="26.92180253217029"/>
    <n v="0.21181061304797391"/>
    <n v="99.213237624802915"/>
    <n v="-99.213237624802915"/>
    <n v="-1.863"/>
    <n v="-4.1079999999999997"/>
    <n v="-54.649464459591037"/>
    <n v="3.3172988797831003E-2"/>
    <n v="12.197872964961046"/>
    <m/>
    <m/>
    <m/>
    <n v="13.9"/>
    <n v="342"/>
    <m/>
    <m/>
  </r>
  <r>
    <x v="4"/>
    <x v="3"/>
    <s v="I1"/>
    <x v="0"/>
    <n v="-0.42499999999999999"/>
    <n v="-2.258"/>
    <n v="-81.178033658104525"/>
    <n v="1.491219107920412"/>
    <n v="0.37878592974970587"/>
    <n v="-74.598908521367875"/>
    <n v="39.825985851455329"/>
    <n v="10.11623509839526"/>
    <n v="74.598908521367875"/>
    <n v="-74.598908521367875"/>
    <n v="-1.5349999999999999"/>
    <n v="-3.4460000000000002"/>
    <n v="-55.455600696459669"/>
    <n v="3.4438033609287613E-2"/>
    <s v="NA"/>
    <m/>
    <m/>
    <m/>
    <n v="20.3"/>
    <n v="310"/>
    <m/>
    <m/>
  </r>
  <r>
    <x v="4"/>
    <x v="4"/>
    <s v="C7"/>
    <x v="0"/>
    <n v="-0.26300000000000001"/>
    <n v="-1.256"/>
    <n v="-79.060509554140125"/>
    <n v="2.0167536579531822"/>
    <n v="0.21600668724968219"/>
    <n v="-89.289386614084094"/>
    <n v="10.247738008281299"/>
    <n v="1.0975955988685691"/>
    <n v="89.289386614084094"/>
    <n v="-89.289386614084094"/>
    <n v="-0.57499999999999996"/>
    <n v="-1.153"/>
    <n v="-50.130095403295762"/>
    <n v="-1.1051191027452584E-2"/>
    <n v="8.7929010568314698"/>
    <m/>
    <m/>
    <m/>
    <n v="55"/>
    <n v="715"/>
    <m/>
    <m/>
  </r>
  <r>
    <x v="4"/>
    <x v="7"/>
    <s v="E5"/>
    <x v="0"/>
    <n v="-0.45700000000000002"/>
    <n v="-2.1509999999999998"/>
    <n v="-78.75406787540679"/>
    <n v="17.043614472972379"/>
    <n v="2.8518146100663371"/>
    <n v="-83.267548004041501"/>
    <n v="68.766034524054746"/>
    <n v="11.5062437162617"/>
    <n v="83.267548004041515"/>
    <n v="-83.267548004041515"/>
    <n v="-1.478"/>
    <n v="-2.867"/>
    <n v="-48.447854900592958"/>
    <n v="1.3293029408811517E-2"/>
    <n v="17.909104339240393"/>
    <m/>
    <m/>
    <m/>
    <n v="80"/>
    <n v="710"/>
    <m/>
    <m/>
  </r>
  <r>
    <x v="4"/>
    <x v="7"/>
    <s v="E8"/>
    <x v="0"/>
    <n v="-0.748"/>
    <n v="-2.8119999999999998"/>
    <n v="-73.399715504978673"/>
    <n v="11.224375723356751"/>
    <n v="6.1803411788143734"/>
    <n v="-44.938219005323113"/>
    <n v="34.305637610514701"/>
    <n v="18.88929504992911"/>
    <n v="44.938219005323113"/>
    <n v="-44.938219005323113"/>
    <n v="-1.756"/>
    <n v="-3.484"/>
    <n v="-49.598163030998855"/>
    <n v="2.4570514730882637E-2"/>
    <n v="11.658705774359115"/>
    <m/>
    <m/>
    <m/>
    <n v="94"/>
    <n v="800"/>
    <m/>
    <m/>
  </r>
  <r>
    <x v="4"/>
    <x v="8"/>
    <s v="A6"/>
    <x v="0"/>
    <n v="-0.65199999999999991"/>
    <n v="-3.4359999999999999"/>
    <n v="-81.02444703143189"/>
    <n v="2.3395823651445999"/>
    <n v="1.093892900879516"/>
    <n v="-53.244095306219016"/>
    <n v="28.816192869811641"/>
    <n v="13.47327167458524"/>
    <n v="53.244095306219016"/>
    <n v="-53.244095306219016"/>
    <n v="-0.90800000000000003"/>
    <n v="-4.4340000000000002"/>
    <n v="-79.521876409562481"/>
    <n v="3.0186817194269012E-2"/>
    <s v="NA"/>
    <m/>
    <m/>
    <m/>
    <n v="37.700000000000003"/>
    <n v="480"/>
    <m/>
    <m/>
  </r>
  <r>
    <x v="4"/>
    <x v="8"/>
    <s v="B8"/>
    <x v="0"/>
    <n v="-1.0209999999999999"/>
    <n v="-3.1589999999999998"/>
    <n v="-67.679645457423234"/>
    <n v="1.9918809688391439"/>
    <n v="0.46478170043295453"/>
    <n v="-76.666191017236017"/>
    <n v="27.20543409828446"/>
    <n v="6.3480640254254359"/>
    <n v="76.666191017236002"/>
    <n v="-76.666191017236002"/>
    <n v="-1.135"/>
    <n v="-4.1050000000000004"/>
    <n v="-72.350791717417792"/>
    <n v="1.8580174888922503E-2"/>
    <n v="9.7568099850247538"/>
    <m/>
    <m/>
    <m/>
    <n v="45.4"/>
    <n v="650"/>
    <m/>
    <m/>
  </r>
  <r>
    <x v="4"/>
    <x v="9"/>
    <s v="J8"/>
    <x v="0"/>
    <n v="-0.308"/>
    <n v="-2.4209999999999998"/>
    <n v="-87.277984304006623"/>
    <n v="2.3978380204008398"/>
    <n v="0.48890624909196018"/>
    <n v="-79.610538954994496"/>
    <n v="23.374029193905631"/>
    <n v="4.7658385771395997"/>
    <n v="79.610538954994496"/>
    <n v="-79.610538954994496"/>
    <n v="-1.0489999999999999"/>
    <n v="-2.9049999999999998"/>
    <n v="-63.889845094664381"/>
    <n v="3.3982140305449049E-2"/>
    <n v="8.6314440042009295"/>
    <m/>
    <m/>
    <m/>
    <n v="52"/>
    <n v="575"/>
    <m/>
    <m/>
  </r>
  <r>
    <x v="4"/>
    <x v="10"/>
    <s v="F9"/>
    <x v="0"/>
    <n v="-0.46700000000000003"/>
    <n v="-0.97799999999999998"/>
    <n v="-52.249488752556225"/>
    <n v="2.0218075544991549"/>
    <n v="0.1057123003671126"/>
    <n v="-94.771396509431895"/>
    <n v="7.6430325659728942"/>
    <n v="0.39962386752971629"/>
    <n v="94.771396509431881"/>
    <n v="-94.771396509431881"/>
    <n v="-0.82100000000000006"/>
    <n v="-1.387"/>
    <n v="-40.807498197548661"/>
    <n v="1.0816217268271432E-2"/>
    <n v="18.541979140046688"/>
    <m/>
    <m/>
    <m/>
    <n v="83"/>
    <n v="620"/>
    <m/>
    <m/>
  </r>
  <r>
    <x v="4"/>
    <x v="11"/>
    <s v="G1"/>
    <x v="0"/>
    <n v="-0.45400000000000001"/>
    <n v="-2.0339999999999998"/>
    <n v="-77.679449360865291"/>
    <n v="1.2304613008581871"/>
    <n v="0.45580120945143687"/>
    <n v="-62.956883801746741"/>
    <n v="38.797718504419507"/>
    <n v="14.37188394786333"/>
    <n v="62.95688380174672"/>
    <n v="-62.95688380174672"/>
    <n v="-1.0529999999999999"/>
    <n v="-1.875"/>
    <n v="-43.84"/>
    <n v="3.1839279089733427E-2"/>
    <n v="8.8519632642694308"/>
    <m/>
    <m/>
    <m/>
    <n v="23.8"/>
    <n v="350"/>
    <m/>
    <m/>
  </r>
  <r>
    <x v="5"/>
    <x v="0"/>
    <s v="J3"/>
    <x v="1"/>
    <n v="-9.8000000000000004E-2"/>
    <n v="-1.6779999999999999"/>
    <n v="-94.159713945172825"/>
    <n v="6.5874003190726711"/>
    <n v="0.95762008766611939"/>
    <n v="-85.462852699364618"/>
    <n v="32.607287682818821"/>
    <n v="4.7401694411933093"/>
    <n v="85.462852699364618"/>
    <n v="-85.462852699364618"/>
    <n v="-1.0569999999999999"/>
    <n v="-1.8320000000000001"/>
    <n v="-42.303493449781662"/>
    <n v="1.204706686299079E-2"/>
    <n v="1.1361036842256038"/>
    <m/>
    <m/>
    <m/>
    <n v="90"/>
    <n v="650"/>
    <m/>
    <m/>
  </r>
  <r>
    <x v="5"/>
    <x v="1"/>
    <s v="F9"/>
    <x v="1"/>
    <n v="-0.123"/>
    <n v="-0.94399999999999995"/>
    <n v="-86.970338983050837"/>
    <n v="19.66269710705939"/>
    <n v="6.1777964732874437"/>
    <n v="-68.581133912348875"/>
    <n v="48.968682655280219"/>
    <n v="15.385404828349341"/>
    <n v="68.581133912348875"/>
    <n v="-68.581133912348875"/>
    <n v="-0.23100000000000001"/>
    <n v="-1.472"/>
    <n v="-84.307065217391298"/>
    <n v="2.0165599981897955E-2"/>
    <n v="12.787947076898984"/>
    <m/>
    <m/>
    <m/>
    <n v="107"/>
    <n v="840"/>
    <m/>
    <m/>
  </r>
  <r>
    <x v="5"/>
    <x v="2"/>
    <s v="A2"/>
    <x v="1"/>
    <n v="-0.38600000000000001"/>
    <n v="-1.286"/>
    <n v="-69.984447900466563"/>
    <n v="1.956815107127494"/>
    <n v="0.59432397278471971"/>
    <n v="-69.627995480004373"/>
    <n v="32.652644947362113"/>
    <n v="9.9172627993109437"/>
    <n v="69.627995480004373"/>
    <n v="-69.627995480004373"/>
    <n v="-0.98699999999999988"/>
    <n v="-2.3279999999999998"/>
    <n v="-57.603092783505161"/>
    <n v="7.270459159014842E-3"/>
    <n v="-1.1395887521660342"/>
    <m/>
    <m/>
    <m/>
    <n v="39.299999999999997"/>
    <n v="410"/>
    <m/>
    <m/>
  </r>
  <r>
    <x v="5"/>
    <x v="2"/>
    <s v="H3"/>
    <x v="1"/>
    <n v="-0.40600000000000003"/>
    <n v="-1.365"/>
    <n v="-70.256410256410248"/>
    <n v="3.522850408887602"/>
    <n v="9.7789623918070265E-2"/>
    <n v="-97.224133512130905"/>
    <n v="27.522755757189771"/>
    <n v="0.76399495360189207"/>
    <n v="97.224133512130919"/>
    <n v="-97.224133512130919"/>
    <n v="-1.002"/>
    <n v="-2.331"/>
    <n v="-57.014157014157021"/>
    <n v="7.2080243801821205E-3"/>
    <n v="-3.4554590911639607"/>
    <m/>
    <m/>
    <m/>
    <n v="65"/>
    <n v="575"/>
    <m/>
    <m/>
  </r>
  <r>
    <x v="5"/>
    <x v="3"/>
    <s v="F3"/>
    <x v="1"/>
    <n v="-0.224"/>
    <n v="-1.4279999999999999"/>
    <n v="-84.313725490196077"/>
    <n v="1.149765246675428"/>
    <n v="0.1469301659941914"/>
    <n v="-87.22085517725958"/>
    <n v="26.076111450179489"/>
    <n v="3.332304046357629"/>
    <n v="87.220855177259608"/>
    <n v="-87.220855177259608"/>
    <n v="-0.78499999999999992"/>
    <n v="-2.7869999999999999"/>
    <n v="-71.833512737710791"/>
    <n v="8.0747271782325696E-3"/>
    <n v="17.219383337391154"/>
    <m/>
    <m/>
    <m/>
    <n v="65"/>
    <n v="575"/>
    <m/>
    <m/>
  </r>
  <r>
    <x v="5"/>
    <x v="3"/>
    <s v="H4"/>
    <x v="1"/>
    <n v="-0.27900000000000003"/>
    <n v="-1.085"/>
    <n v="-74.285714285714278"/>
    <n v="0.49320280976962871"/>
    <n v="8.0852043483712527E-2"/>
    <n v="-83.606735022154893"/>
    <n v="7.7026378455970361"/>
    <n v="1.2627138323125009"/>
    <n v="83.606735022154908"/>
    <n v="-83.606735022154908"/>
    <n v="-0.23499999999999999"/>
    <n v="-2.198"/>
    <n v="-89.308462238398548"/>
    <n v="-1.7127437005219813E-2"/>
    <n v="0.49401881407737724"/>
    <m/>
    <m/>
    <m/>
    <n v="12.9"/>
    <n v="270"/>
    <m/>
    <m/>
  </r>
  <r>
    <x v="5"/>
    <x v="4"/>
    <s v="D8"/>
    <x v="1"/>
    <n v="-0.32300000000000001"/>
    <n v="-0.86499999999999999"/>
    <n v="-62.658959537572258"/>
    <n v="2.802496342558368"/>
    <n v="0.15629456761015581"/>
    <n v="-94.423023315438968"/>
    <n v="13.954611422900451"/>
    <n v="0.77824542547624798"/>
    <n v="94.423023315438968"/>
    <n v="-94.423023315438968"/>
    <n v="-0.251"/>
    <n v="-1.008"/>
    <n v="-75.099206349206355"/>
    <n v="8.7332741322144504E-3"/>
    <n v="-3.3283370322391583"/>
    <m/>
    <m/>
    <m/>
    <n v="85"/>
    <n v="767"/>
    <m/>
    <m/>
  </r>
  <r>
    <x v="5"/>
    <x v="5"/>
    <s v="J1"/>
    <x v="1"/>
    <n v="-0.21199999999999999"/>
    <n v="-1.395"/>
    <n v="-84.802867383512549"/>
    <n v="9.1891743264082937"/>
    <n v="0.1021739785356631"/>
    <n v="-98.88810490576904"/>
    <n v="65.237142648505269"/>
    <n v="0.72536858872517229"/>
    <n v="98.888104905769055"/>
    <n v="-98.888104905769055"/>
    <n v="-0.81899999999999995"/>
    <n v="-1.5229999999999999"/>
    <n v="-46.224556795797767"/>
    <n v="-7.4883720506258869E-2"/>
    <n v="9.0798782696057145"/>
    <m/>
    <m/>
    <m/>
    <n v="59.2"/>
    <n v="370"/>
    <m/>
    <m/>
  </r>
  <r>
    <x v="5"/>
    <x v="6"/>
    <s v="C6"/>
    <x v="1"/>
    <n v="-0.32800000000000001"/>
    <n v="-2.5760000000000001"/>
    <n v="-87.267080745341616"/>
    <n v="1.572009334517295"/>
    <n v="1.9633512906678599E-2"/>
    <n v="-98.751056213498416"/>
    <n v="35.028884837824528"/>
    <n v="0"/>
    <n v="100"/>
    <n v="-100"/>
    <n v="-0.94299999999999995"/>
    <n v="-2.4119999999999999"/>
    <n v="-60.903814262023218"/>
    <n v="2.5419450526450562E-3"/>
    <n v="5.7192564302052347"/>
    <m/>
    <m/>
    <m/>
    <n v="37.4"/>
    <n v="677"/>
    <m/>
    <m/>
  </r>
  <r>
    <x v="5"/>
    <x v="7"/>
    <s v="B3"/>
    <x v="1"/>
    <n v="-0.151"/>
    <n v="-0.95099999999999996"/>
    <n v="-84.121976866456365"/>
    <n v="6.4357643311306036"/>
    <n v="3.3180825532253269"/>
    <n v="-48.443069346474623"/>
    <n v="38.014217355511882"/>
    <n v="19.598963680461669"/>
    <n v="48.44306934647463"/>
    <n v="-48.44306934647463"/>
    <n v="-0.39200000000000002"/>
    <n v="-2.0819999999999999"/>
    <n v="-81.171950048030737"/>
    <n v="2.7239612434768117E-2"/>
    <n v="4.5314020157360666"/>
    <m/>
    <m/>
    <m/>
    <n v="73"/>
    <n v="800"/>
    <m/>
    <m/>
  </r>
  <r>
    <x v="5"/>
    <x v="8"/>
    <s v="J5"/>
    <x v="1"/>
    <n v="-0.23400000000000001"/>
    <n v="-2.2650000000000001"/>
    <n v="-89.668874172185426"/>
    <n v="3.9875710089229299"/>
    <n v="3.1554580236512511"/>
    <n v="-20.867665639299506"/>
    <n v="29.594356868790651"/>
    <n v="23.41870542931035"/>
    <n v="20.86766563929951"/>
    <n v="-20.86766563929951"/>
    <n v="-0.442"/>
    <n v="-3.4239999999999999"/>
    <n v="-87.091121495327101"/>
    <n v="-4.6514881421519929E-3"/>
    <n v="6.8265645362387666"/>
    <m/>
    <m/>
    <m/>
    <n v="55.9"/>
    <n v="590"/>
    <m/>
    <m/>
  </r>
  <r>
    <x v="5"/>
    <x v="9"/>
    <s v="D5"/>
    <x v="1"/>
    <n v="-0.22500000000000001"/>
    <n v="-1.145"/>
    <n v="-80.349344978165931"/>
    <n v="3.0568804419107898"/>
    <n v="0.53367198961995532"/>
    <n v="-82.541941048686596"/>
    <n v="23.81148619283584"/>
    <n v="4.1570232967291307"/>
    <n v="82.541941048686596"/>
    <n v="-82.541941048686596"/>
    <n v="-0.97599999999999998"/>
    <n v="-2.4350000000000001"/>
    <n v="-59.917864476386043"/>
    <n v="4.4630023372803564E-2"/>
    <n v="2.1674015942546672"/>
    <m/>
    <m/>
    <m/>
    <n v="57"/>
    <n v="720"/>
    <m/>
    <m/>
  </r>
  <r>
    <x v="5"/>
    <x v="9"/>
    <s v="H5"/>
    <x v="1"/>
    <n v="-0.308"/>
    <n v="-1.7090000000000001"/>
    <n v="-81.977764774722061"/>
    <n v="5.170816954169859"/>
    <n v="0.82134616358153889"/>
    <n v="-84.115737012906877"/>
    <n v="16.3153008464684"/>
    <n v="2.5915652935884701"/>
    <n v="84.115737012906891"/>
    <n v="-84.115737012906891"/>
    <n v="-1.2929999999999999"/>
    <n v="-2.3969999999999998"/>
    <n v="-46.057571964956196"/>
    <n v="2.1108853843798934E-2"/>
    <n v="9.2643503842180355"/>
    <m/>
    <m/>
    <m/>
    <n v="80"/>
    <n v="715"/>
    <m/>
    <m/>
  </r>
  <r>
    <x v="5"/>
    <x v="10"/>
    <s v="D4"/>
    <x v="1"/>
    <n v="-0.28199999999999997"/>
    <n v="-0.94100000000000006"/>
    <n v="-70.031880977683315"/>
    <n v="1.714599317561555"/>
    <n v="6.2504100074358859E-2"/>
    <n v="-96.354594368831897"/>
    <n v="14.74338367628234"/>
    <n v="0.53745613875991594"/>
    <n v="96.354594368831897"/>
    <n v="-96.354594368831897"/>
    <n v="-0.82400000000000007"/>
    <n v="-1.1719999999999999"/>
    <n v="-29.692832764505113"/>
    <n v="-1.1484311309869571E-3"/>
    <n v="10.302803984264049"/>
    <m/>
    <m/>
    <m/>
    <n v="60"/>
    <n v="537"/>
    <m/>
    <m/>
  </r>
  <r>
    <x v="5"/>
    <x v="11"/>
    <s v="G6"/>
    <x v="1"/>
    <n v="-0.20100000000000001"/>
    <n v="-1.423"/>
    <n v="-85.874912157413902"/>
    <n v="1.29183938367712"/>
    <n v="0.10549386536398909"/>
    <n v="-91.833824955567692"/>
    <n v="23.084280405542589"/>
    <n v="1.885102745664196"/>
    <n v="91.833824955567707"/>
    <n v="-91.833824955567707"/>
    <n v="-0.64700000000000002"/>
    <n v="-1.893"/>
    <n v="-65.821447437929208"/>
    <n v="-4.3762247429702313E-4"/>
    <n v="11.113878847575744"/>
    <m/>
    <m/>
    <m/>
    <n v="33.9"/>
    <n v="590"/>
    <m/>
    <m/>
  </r>
  <r>
    <x v="6"/>
    <x v="13"/>
    <m/>
    <x v="2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A3633-4B34-4EE5-B78D-5C6023E59C8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0" firstHeaderRow="1" firstDataRow="3" firstDataCol="1"/>
  <pivotFields count="26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5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2">
    <field x="-2"/>
    <field x="3"/>
  </colFields>
  <colItems count="16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  <i i="3">
      <x v="3"/>
      <x/>
    </i>
    <i r="1" i="3">
      <x v="1"/>
    </i>
    <i r="1" i="3">
      <x v="2"/>
    </i>
    <i t="grand">
      <x/>
    </i>
    <i t="grand" i="1">
      <x/>
    </i>
    <i t="grand" i="2">
      <x/>
    </i>
    <i t="grand" i="3">
      <x/>
    </i>
  </colItems>
  <dataFields count="4">
    <dataField name="Average of Percent_U" fld="13" subtotal="average" baseField="1" baseItem="0"/>
    <dataField name="Average of Percent_MP" fld="16" subtotal="average" baseField="1" baseItem="0"/>
    <dataField name="Average of Percent_F" fld="9" subtotal="average" baseField="1" baseItem="0"/>
    <dataField name="Average of Percent_WP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CAB-4A14-40D3-BE3E-6BE21998E9FF}">
  <dimension ref="A3:Q20"/>
  <sheetViews>
    <sheetView workbookViewId="0">
      <selection activeCell="C7" sqref="C7:C18"/>
    </sheetView>
  </sheetViews>
  <sheetFormatPr defaultRowHeight="14.5" x14ac:dyDescent="0.35"/>
  <cols>
    <col min="1" max="1" width="12.36328125" bestFit="1" customWidth="1"/>
    <col min="2" max="2" width="19.08984375" bestFit="1" customWidth="1"/>
    <col min="3" max="3" width="12.453125" bestFit="1" customWidth="1"/>
    <col min="4" max="4" width="6.7265625" bestFit="1" customWidth="1"/>
    <col min="5" max="5" width="20.6328125" bestFit="1" customWidth="1"/>
    <col min="6" max="6" width="12.453125" bestFit="1" customWidth="1"/>
    <col min="7" max="7" width="6.7265625" bestFit="1" customWidth="1"/>
    <col min="8" max="8" width="18.7265625" bestFit="1" customWidth="1"/>
    <col min="9" max="9" width="12.453125" bestFit="1" customWidth="1"/>
    <col min="10" max="10" width="6.7265625" bestFit="1" customWidth="1"/>
    <col min="11" max="11" width="20.7265625" bestFit="1" customWidth="1"/>
    <col min="12" max="12" width="12.453125" bestFit="1" customWidth="1"/>
    <col min="13" max="13" width="6.7265625" bestFit="1" customWidth="1"/>
    <col min="14" max="14" width="23.90625" bestFit="1" customWidth="1"/>
    <col min="15" max="15" width="25.54296875" bestFit="1" customWidth="1"/>
    <col min="16" max="16" width="23.54296875" bestFit="1" customWidth="1"/>
    <col min="17" max="17" width="25.6328125" bestFit="1" customWidth="1"/>
    <col min="18" max="28" width="12.453125" bestFit="1" customWidth="1"/>
    <col min="29" max="29" width="6.7265625" bestFit="1" customWidth="1"/>
    <col min="30" max="30" width="18.7265625" bestFit="1" customWidth="1"/>
    <col min="31" max="36" width="12.453125" bestFit="1" customWidth="1"/>
    <col min="37" max="37" width="11.453125" bestFit="1" customWidth="1"/>
    <col min="38" max="42" width="12.453125" bestFit="1" customWidth="1"/>
    <col min="43" max="43" width="6.7265625" bestFit="1" customWidth="1"/>
    <col min="44" max="44" width="20.7265625" bestFit="1" customWidth="1"/>
    <col min="45" max="56" width="12.453125" bestFit="1" customWidth="1"/>
    <col min="57" max="57" width="6.7265625" bestFit="1" customWidth="1"/>
    <col min="58" max="58" width="23.90625" bestFit="1" customWidth="1"/>
    <col min="59" max="59" width="25.54296875" bestFit="1" customWidth="1"/>
    <col min="60" max="60" width="23.54296875" bestFit="1" customWidth="1"/>
    <col min="61" max="61" width="25.6328125" bestFit="1" customWidth="1"/>
  </cols>
  <sheetData>
    <row r="3" spans="1:17" x14ac:dyDescent="0.35">
      <c r="B3" s="10" t="s">
        <v>224</v>
      </c>
    </row>
    <row r="4" spans="1:17" x14ac:dyDescent="0.35">
      <c r="B4" t="s">
        <v>220</v>
      </c>
      <c r="E4" t="s">
        <v>221</v>
      </c>
      <c r="H4" t="s">
        <v>222</v>
      </c>
      <c r="K4" t="s">
        <v>223</v>
      </c>
      <c r="N4" t="s">
        <v>225</v>
      </c>
      <c r="O4" t="s">
        <v>226</v>
      </c>
      <c r="P4" t="s">
        <v>227</v>
      </c>
      <c r="Q4" t="s">
        <v>228</v>
      </c>
    </row>
    <row r="5" spans="1:17" x14ac:dyDescent="0.35">
      <c r="A5" s="10" t="s">
        <v>217</v>
      </c>
      <c r="B5" t="s">
        <v>11</v>
      </c>
      <c r="C5" t="s">
        <v>213</v>
      </c>
      <c r="D5" t="s">
        <v>218</v>
      </c>
      <c r="E5" t="s">
        <v>11</v>
      </c>
      <c r="F5" t="s">
        <v>213</v>
      </c>
      <c r="G5" t="s">
        <v>218</v>
      </c>
      <c r="H5" t="s">
        <v>11</v>
      </c>
      <c r="I5" t="s">
        <v>213</v>
      </c>
      <c r="J5" t="s">
        <v>218</v>
      </c>
      <c r="K5" t="s">
        <v>11</v>
      </c>
      <c r="L5" t="s">
        <v>213</v>
      </c>
      <c r="M5" t="s">
        <v>218</v>
      </c>
    </row>
    <row r="6" spans="1:17" x14ac:dyDescent="0.35">
      <c r="A6" s="11" t="s">
        <v>144</v>
      </c>
      <c r="B6" s="12">
        <v>-87.7465750809925</v>
      </c>
      <c r="C6" s="12"/>
      <c r="D6" s="12"/>
      <c r="E6" s="12">
        <v>-84.195059288344225</v>
      </c>
      <c r="F6" s="12"/>
      <c r="G6" s="12"/>
      <c r="H6" s="12">
        <v>-87.7465750809925</v>
      </c>
      <c r="I6" s="12"/>
      <c r="J6" s="12"/>
      <c r="K6" s="12">
        <v>-84.670147499283331</v>
      </c>
      <c r="L6" s="12"/>
      <c r="M6" s="12"/>
      <c r="N6" s="12">
        <v>-87.7465750809925</v>
      </c>
      <c r="O6" s="12">
        <v>-84.195059288344225</v>
      </c>
      <c r="P6" s="12">
        <v>-87.7465750809925</v>
      </c>
      <c r="Q6" s="12">
        <v>-84.670147499283331</v>
      </c>
    </row>
    <row r="7" spans="1:17" x14ac:dyDescent="0.35">
      <c r="A7" s="11" t="s">
        <v>115</v>
      </c>
      <c r="B7" s="12">
        <v>-80.492879538373685</v>
      </c>
      <c r="C7" s="12">
        <v>-67.880679501344929</v>
      </c>
      <c r="D7" s="12"/>
      <c r="E7" s="12">
        <v>-69.701626189265482</v>
      </c>
      <c r="F7" s="12">
        <v>-58.207068568875734</v>
      </c>
      <c r="G7" s="12"/>
      <c r="H7" s="12">
        <v>-80.492879538373685</v>
      </c>
      <c r="I7" s="12">
        <v>-67.880679501344929</v>
      </c>
      <c r="J7" s="12"/>
      <c r="K7" s="12">
        <v>-82.901775720998899</v>
      </c>
      <c r="L7" s="12">
        <v>-86.475819970059689</v>
      </c>
      <c r="M7" s="12"/>
      <c r="N7" s="12">
        <v>-73.285908088642955</v>
      </c>
      <c r="O7" s="12">
        <v>-63.133307549042762</v>
      </c>
      <c r="P7" s="12">
        <v>-73.285908088642955</v>
      </c>
      <c r="Q7" s="12">
        <v>-84.944086720462209</v>
      </c>
    </row>
    <row r="8" spans="1:17" x14ac:dyDescent="0.35">
      <c r="A8" s="11" t="s">
        <v>117</v>
      </c>
      <c r="B8" s="12">
        <v>-55.587651192570988</v>
      </c>
      <c r="C8" s="12">
        <v>-53.186714138605296</v>
      </c>
      <c r="D8" s="12"/>
      <c r="E8" s="12">
        <v>-92.54536438569481</v>
      </c>
      <c r="F8" s="12">
        <v>-88.014322836827873</v>
      </c>
      <c r="G8" s="12"/>
      <c r="H8" s="12">
        <v>-55.587651192571002</v>
      </c>
      <c r="I8" s="12">
        <v>-53.186714138605296</v>
      </c>
      <c r="J8" s="12"/>
      <c r="K8" s="12">
        <v>-69.199693057687099</v>
      </c>
      <c r="L8" s="12">
        <v>-76.478743885825338</v>
      </c>
      <c r="M8" s="12"/>
      <c r="N8" s="12">
        <v>-54.387182665588135</v>
      </c>
      <c r="O8" s="12">
        <v>-90.279843611261327</v>
      </c>
      <c r="P8" s="12">
        <v>-54.387182665588149</v>
      </c>
      <c r="Q8" s="12">
        <v>-72.839218471756212</v>
      </c>
    </row>
    <row r="9" spans="1:17" x14ac:dyDescent="0.35">
      <c r="A9" s="11" t="s">
        <v>119</v>
      </c>
      <c r="B9" s="12">
        <v>-84.433005626773493</v>
      </c>
      <c r="C9" s="12">
        <v>-84.650011091991104</v>
      </c>
      <c r="D9" s="12"/>
      <c r="E9" s="12">
        <v>-77.658977240527776</v>
      </c>
      <c r="F9" s="12">
        <v>-70.095893679250153</v>
      </c>
      <c r="G9" s="12"/>
      <c r="H9" s="12">
        <v>-84.433005626773493</v>
      </c>
      <c r="I9" s="12">
        <v>-84.650011091991104</v>
      </c>
      <c r="J9" s="12"/>
      <c r="K9" s="12">
        <v>-81.124904539625589</v>
      </c>
      <c r="L9" s="12">
        <v>-74.191075112303238</v>
      </c>
      <c r="M9" s="12"/>
      <c r="N9" s="12">
        <v>-84.541508359382306</v>
      </c>
      <c r="O9" s="12">
        <v>-73.877435459888972</v>
      </c>
      <c r="P9" s="12">
        <v>-84.541508359382306</v>
      </c>
      <c r="Q9" s="12">
        <v>-77.657989825964421</v>
      </c>
    </row>
    <row r="10" spans="1:17" x14ac:dyDescent="0.35">
      <c r="A10" s="11" t="s">
        <v>121</v>
      </c>
      <c r="B10" s="12">
        <v>-80.809312480413524</v>
      </c>
      <c r="C10" s="12">
        <v>-89.985608309758248</v>
      </c>
      <c r="D10" s="12"/>
      <c r="E10" s="12">
        <v>-64.846529030374853</v>
      </c>
      <c r="F10" s="12">
        <v>-70.915129352633741</v>
      </c>
      <c r="G10" s="12"/>
      <c r="H10" s="12">
        <v>-80.809312480413524</v>
      </c>
      <c r="I10" s="12">
        <v>-89.985608309758234</v>
      </c>
      <c r="J10" s="12"/>
      <c r="K10" s="12">
        <v>-80.358890238787239</v>
      </c>
      <c r="L10" s="12">
        <v>-83.465749376807452</v>
      </c>
      <c r="M10" s="12"/>
      <c r="N10" s="12">
        <v>-85.397460395085886</v>
      </c>
      <c r="O10" s="12">
        <v>-67.880829191504304</v>
      </c>
      <c r="P10" s="12">
        <v>-85.397460395085886</v>
      </c>
      <c r="Q10" s="12">
        <v>-81.912319807797331</v>
      </c>
    </row>
    <row r="11" spans="1:17" x14ac:dyDescent="0.35">
      <c r="A11" s="11" t="s">
        <v>124</v>
      </c>
      <c r="B11" s="12">
        <v>-91.07343228110993</v>
      </c>
      <c r="C11" s="12">
        <v>-85.349683075838811</v>
      </c>
      <c r="D11" s="12"/>
      <c r="E11" s="12">
        <v>-49.426846474245934</v>
      </c>
      <c r="F11" s="12">
        <v>-63.199494309816664</v>
      </c>
      <c r="G11" s="12"/>
      <c r="H11" s="12">
        <v>-89.286237223871524</v>
      </c>
      <c r="I11" s="12">
        <v>-93.683006288937918</v>
      </c>
      <c r="J11" s="12"/>
      <c r="K11" s="12">
        <v>-61.01185050481908</v>
      </c>
      <c r="L11" s="12">
        <v>-60.000884061953116</v>
      </c>
      <c r="M11" s="12"/>
      <c r="N11" s="12">
        <v>-88.211557678474364</v>
      </c>
      <c r="O11" s="12">
        <v>-56.313170392031296</v>
      </c>
      <c r="P11" s="12">
        <v>-91.484621756404721</v>
      </c>
      <c r="Q11" s="12">
        <v>-60.506367283386098</v>
      </c>
    </row>
    <row r="12" spans="1:17" x14ac:dyDescent="0.35">
      <c r="A12" s="11" t="s">
        <v>126</v>
      </c>
      <c r="B12" s="12">
        <v>-91.571412496291799</v>
      </c>
      <c r="C12" s="12">
        <v>-88.78676258802858</v>
      </c>
      <c r="D12" s="12"/>
      <c r="E12" s="12">
        <v>-64.849904776243562</v>
      </c>
      <c r="F12" s="12">
        <v>-56.347413255349494</v>
      </c>
      <c r="G12" s="12"/>
      <c r="H12" s="12">
        <v>-91.571412496291799</v>
      </c>
      <c r="I12" s="12">
        <v>-88.78676258802858</v>
      </c>
      <c r="J12" s="12"/>
      <c r="K12" s="12">
        <v>-74.883041226310311</v>
      </c>
      <c r="L12" s="12">
        <v>-88.588896676606055</v>
      </c>
      <c r="M12" s="12"/>
      <c r="N12" s="12">
        <v>-90.179087542160204</v>
      </c>
      <c r="O12" s="12">
        <v>-60.598659015796528</v>
      </c>
      <c r="P12" s="12">
        <v>-90.179087542160204</v>
      </c>
      <c r="Q12" s="12">
        <v>-81.73596895145819</v>
      </c>
    </row>
    <row r="13" spans="1:17" x14ac:dyDescent="0.35">
      <c r="A13" s="11" t="s">
        <v>130</v>
      </c>
      <c r="B13" s="12"/>
      <c r="C13" s="12">
        <v>-99.851464998371057</v>
      </c>
      <c r="D13" s="12"/>
      <c r="E13" s="12"/>
      <c r="F13" s="12">
        <v>-62.322415032946274</v>
      </c>
      <c r="G13" s="12"/>
      <c r="H13" s="12"/>
      <c r="I13" s="12">
        <v>-99.435150402870534</v>
      </c>
      <c r="J13" s="12"/>
      <c r="K13" s="12"/>
      <c r="L13" s="12">
        <v>-82.410720376806651</v>
      </c>
      <c r="M13" s="12"/>
      <c r="N13" s="12">
        <v>-99.851464998371057</v>
      </c>
      <c r="O13" s="12">
        <v>-62.322415032946274</v>
      </c>
      <c r="P13" s="12">
        <v>-99.435150402870534</v>
      </c>
      <c r="Q13" s="12">
        <v>-82.410720376806651</v>
      </c>
    </row>
    <row r="14" spans="1:17" x14ac:dyDescent="0.35">
      <c r="A14" s="11" t="s">
        <v>132</v>
      </c>
      <c r="B14" s="12">
        <v>-67.455260649648721</v>
      </c>
      <c r="C14" s="12">
        <v>-65.392919230831012</v>
      </c>
      <c r="D14" s="12"/>
      <c r="E14" s="12">
        <v>-54.772386725235052</v>
      </c>
      <c r="F14" s="12">
        <v>-64.790433167406988</v>
      </c>
      <c r="G14" s="12"/>
      <c r="H14" s="12">
        <v>-67.455260649648721</v>
      </c>
      <c r="I14" s="12">
        <v>-65.392919230830998</v>
      </c>
      <c r="J14" s="12"/>
      <c r="K14" s="12">
        <v>-77.240716412445579</v>
      </c>
      <c r="L14" s="12">
        <v>-86.010306168526981</v>
      </c>
      <c r="M14" s="12"/>
      <c r="N14" s="12">
        <v>-66.424089940239853</v>
      </c>
      <c r="O14" s="12">
        <v>-59.78140994632102</v>
      </c>
      <c r="P14" s="12">
        <v>-66.424089940239867</v>
      </c>
      <c r="Q14" s="12">
        <v>-81.625511290486301</v>
      </c>
    </row>
    <row r="15" spans="1:17" x14ac:dyDescent="0.35">
      <c r="A15" s="11" t="s">
        <v>134</v>
      </c>
      <c r="B15" s="12">
        <v>-58.312409261442532</v>
      </c>
      <c r="C15" s="12">
        <v>-56.933357688800783</v>
      </c>
      <c r="D15" s="12"/>
      <c r="E15" s="12">
        <v>-67.990476896760981</v>
      </c>
      <c r="F15" s="12">
        <v>-65.544740468073186</v>
      </c>
      <c r="G15" s="12"/>
      <c r="H15" s="12">
        <v>-58.312409261442539</v>
      </c>
      <c r="I15" s="12">
        <v>-56.933357688800783</v>
      </c>
      <c r="J15" s="12"/>
      <c r="K15" s="12">
        <v>-76.37648734070541</v>
      </c>
      <c r="L15" s="12">
        <v>-91.008867869925638</v>
      </c>
      <c r="M15" s="12"/>
      <c r="N15" s="12">
        <v>-57.622883475121647</v>
      </c>
      <c r="O15" s="12">
        <v>-66.767608682417091</v>
      </c>
      <c r="P15" s="12">
        <v>-57.622883475121661</v>
      </c>
      <c r="Q15" s="12">
        <v>-83.692677605315524</v>
      </c>
    </row>
    <row r="16" spans="1:17" x14ac:dyDescent="0.35">
      <c r="A16" s="11" t="s">
        <v>136</v>
      </c>
      <c r="B16" s="12">
        <v>-88.635933017628417</v>
      </c>
      <c r="C16" s="12">
        <v>-63.466784123799997</v>
      </c>
      <c r="D16" s="12"/>
      <c r="E16" s="12">
        <v>-54.535678294175426</v>
      </c>
      <c r="F16" s="12">
        <v>-47.413222854291561</v>
      </c>
      <c r="G16" s="12"/>
      <c r="H16" s="12">
        <v>-88.635933017628417</v>
      </c>
      <c r="I16" s="12">
        <v>-63.466784123799997</v>
      </c>
      <c r="J16" s="12"/>
      <c r="K16" s="12">
        <v>-78.908178771790688</v>
      </c>
      <c r="L16" s="12">
        <v>-81.169252033213354</v>
      </c>
      <c r="M16" s="12"/>
      <c r="N16" s="12">
        <v>-76.0513585707142</v>
      </c>
      <c r="O16" s="12">
        <v>-50.974450574233501</v>
      </c>
      <c r="P16" s="12">
        <v>-76.0513585707142</v>
      </c>
      <c r="Q16" s="12">
        <v>-80.038715402502021</v>
      </c>
    </row>
    <row r="17" spans="1:17" x14ac:dyDescent="0.35">
      <c r="A17" s="11" t="s">
        <v>138</v>
      </c>
      <c r="B17" s="12">
        <v>-93.45401257467438</v>
      </c>
      <c r="C17" s="12">
        <v>-95.186911298598332</v>
      </c>
      <c r="D17" s="12"/>
      <c r="E17" s="12">
        <v>-45.872026367139149</v>
      </c>
      <c r="F17" s="12">
        <v>-33.175624388899394</v>
      </c>
      <c r="G17" s="12"/>
      <c r="H17" s="12">
        <v>-93.454012574674394</v>
      </c>
      <c r="I17" s="12">
        <v>-95.186911298598318</v>
      </c>
      <c r="J17" s="12"/>
      <c r="K17" s="12">
        <v>-54.810251816265101</v>
      </c>
      <c r="L17" s="12">
        <v>-56.931498163600821</v>
      </c>
      <c r="M17" s="12"/>
      <c r="N17" s="12">
        <v>-94.320461936636349</v>
      </c>
      <c r="O17" s="12">
        <v>-39.523825378019268</v>
      </c>
      <c r="P17" s="12">
        <v>-94.320461936636349</v>
      </c>
      <c r="Q17" s="12">
        <v>-55.870874989932958</v>
      </c>
    </row>
    <row r="18" spans="1:17" x14ac:dyDescent="0.35">
      <c r="A18" s="11" t="s">
        <v>140</v>
      </c>
      <c r="B18" s="12">
        <v>-79.412484806158446</v>
      </c>
      <c r="C18" s="12">
        <v>-80.163267187697031</v>
      </c>
      <c r="D18" s="12"/>
      <c r="E18" s="12">
        <v>-59.969600282150388</v>
      </c>
      <c r="F18" s="12">
        <v>-65.113166126051453</v>
      </c>
      <c r="G18" s="12"/>
      <c r="H18" s="12">
        <v>-79.412484806158474</v>
      </c>
      <c r="I18" s="12">
        <v>-80.163267187697016</v>
      </c>
      <c r="J18" s="12"/>
      <c r="K18" s="12">
        <v>-85.729951897855258</v>
      </c>
      <c r="L18" s="12">
        <v>-80.584803958936192</v>
      </c>
      <c r="M18" s="12"/>
      <c r="N18" s="12">
        <v>-79.787875996927738</v>
      </c>
      <c r="O18" s="12">
        <v>-62.541383204100924</v>
      </c>
      <c r="P18" s="12">
        <v>-79.787875996927752</v>
      </c>
      <c r="Q18" s="12">
        <v>-83.157377928395718</v>
      </c>
    </row>
    <row r="19" spans="1:17" x14ac:dyDescent="0.35">
      <c r="A19" s="11" t="s">
        <v>218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x14ac:dyDescent="0.35">
      <c r="A20" s="11" t="s">
        <v>219</v>
      </c>
      <c r="B20" s="12">
        <v>-79.90307652097745</v>
      </c>
      <c r="C20" s="12">
        <v>-77.095429530559358</v>
      </c>
      <c r="D20" s="12"/>
      <c r="E20" s="12">
        <v>-65.441622927901406</v>
      </c>
      <c r="F20" s="12">
        <v>-62.090069811249869</v>
      </c>
      <c r="G20" s="12"/>
      <c r="H20" s="12">
        <v>-79.750974813978445</v>
      </c>
      <c r="I20" s="12">
        <v>-77.778075255365636</v>
      </c>
      <c r="J20" s="12"/>
      <c r="K20" s="12">
        <v>-75.445995327346751</v>
      </c>
      <c r="L20" s="12">
        <v>-78.869271281732978</v>
      </c>
      <c r="M20" s="12"/>
      <c r="N20" s="12">
        <v>-78.499253025768397</v>
      </c>
      <c r="O20" s="12">
        <v>-63.765846369575627</v>
      </c>
      <c r="P20" s="12">
        <v>-78.764525034672033</v>
      </c>
      <c r="Q20" s="12">
        <v>-77.157633304539857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tabSelected="1" workbookViewId="0">
      <selection activeCell="F9" sqref="F9"/>
    </sheetView>
  </sheetViews>
  <sheetFormatPr defaultRowHeight="14.5" x14ac:dyDescent="0.35"/>
  <cols>
    <col min="2" max="2" width="6.90625" bestFit="1" customWidth="1"/>
    <col min="3" max="3" width="4.08984375" bestFit="1" customWidth="1"/>
    <col min="4" max="4" width="9.7265625" bestFit="1" customWidth="1"/>
    <col min="5" max="5" width="9.7265625" customWidth="1"/>
    <col min="6" max="6" width="11.08984375" customWidth="1"/>
    <col min="7" max="7" width="15.81640625" bestFit="1" customWidth="1"/>
    <col min="8" max="8" width="15.453125" bestFit="1" customWidth="1"/>
    <col min="9" max="9" width="12.453125" bestFit="1" customWidth="1"/>
    <col min="10" max="11" width="11.81640625" bestFit="1" customWidth="1"/>
    <col min="12" max="12" width="12.453125" bestFit="1" customWidth="1"/>
    <col min="13" max="15" width="11.81640625" bestFit="1" customWidth="1"/>
    <col min="16" max="16" width="12.453125" bestFit="1" customWidth="1"/>
    <col min="17" max="17" width="14.6328125" bestFit="1" customWidth="1"/>
    <col min="18" max="18" width="14.26953125" bestFit="1" customWidth="1"/>
    <col min="19" max="19" width="12.453125" bestFit="1" customWidth="1"/>
    <col min="20" max="20" width="5" bestFit="1" customWidth="1"/>
    <col min="21" max="21" width="7.26953125" bestFit="1" customWidth="1"/>
    <col min="22" max="22" width="7.81640625" bestFit="1" customWidth="1"/>
    <col min="23" max="23" width="9.7265625" bestFit="1" customWidth="1"/>
  </cols>
  <sheetData>
    <row r="1" spans="1:28" s="1" customFormat="1" x14ac:dyDescent="0.35">
      <c r="A1" s="1" t="s">
        <v>193</v>
      </c>
      <c r="B1" s="1" t="s">
        <v>194</v>
      </c>
      <c r="C1" s="1" t="s">
        <v>211</v>
      </c>
      <c r="D1" s="1" t="s">
        <v>1</v>
      </c>
      <c r="E1" s="1" t="s">
        <v>240</v>
      </c>
      <c r="F1" t="s">
        <v>231</v>
      </c>
      <c r="G1" s="1" t="s">
        <v>2</v>
      </c>
      <c r="H1" s="1" t="s">
        <v>3</v>
      </c>
      <c r="I1" s="1" t="s">
        <v>108</v>
      </c>
      <c r="J1" s="1" t="s">
        <v>4</v>
      </c>
      <c r="K1" s="1" t="s">
        <v>5</v>
      </c>
      <c r="L1" s="1" t="s">
        <v>110</v>
      </c>
      <c r="M1" s="1" t="s">
        <v>6</v>
      </c>
      <c r="N1" s="1" t="s">
        <v>7</v>
      </c>
      <c r="O1" s="1" t="s">
        <v>212</v>
      </c>
      <c r="P1" s="1" t="s">
        <v>111</v>
      </c>
      <c r="Q1" s="1" t="s">
        <v>8</v>
      </c>
      <c r="R1" s="1" t="s">
        <v>9</v>
      </c>
      <c r="S1" s="1" t="s">
        <v>109</v>
      </c>
      <c r="T1" t="s">
        <v>208</v>
      </c>
      <c r="U1" t="s">
        <v>209</v>
      </c>
      <c r="V1" s="1" t="s">
        <v>214</v>
      </c>
      <c r="W1" s="1" t="s">
        <v>215</v>
      </c>
      <c r="X1" s="7" t="s">
        <v>216</v>
      </c>
      <c r="Y1" t="s">
        <v>112</v>
      </c>
      <c r="Z1" t="s">
        <v>113</v>
      </c>
      <c r="AA1" s="9"/>
      <c r="AB1"/>
    </row>
    <row r="2" spans="1:28" x14ac:dyDescent="0.35">
      <c r="A2" t="s">
        <v>143</v>
      </c>
      <c r="B2" t="s">
        <v>144</v>
      </c>
      <c r="C2" t="s">
        <v>116</v>
      </c>
      <c r="D2" t="s">
        <v>11</v>
      </c>
      <c r="E2" t="str">
        <f>A2&amp;B2&amp;C2</f>
        <v>K5AguF10</v>
      </c>
      <c r="F2" t="s">
        <v>232</v>
      </c>
      <c r="G2">
        <v>-0.11600000000000001</v>
      </c>
      <c r="H2">
        <v>-2.3359999999999999</v>
      </c>
      <c r="I2">
        <f t="shared" ref="I2:I33" si="0">-((H2-G2)/H2)*100</f>
        <v>-95.034246575342465</v>
      </c>
      <c r="J2">
        <v>4.0561526830000094</v>
      </c>
      <c r="K2">
        <v>0.4226987220049217</v>
      </c>
      <c r="L2">
        <f t="shared" ref="L2:L33" si="1">-((J2-K2)/J2)*100</f>
        <v>-89.578826167552322</v>
      </c>
      <c r="M2">
        <v>22.795455503716919</v>
      </c>
      <c r="N2">
        <v>2.3755540439406042</v>
      </c>
      <c r="O2">
        <f t="shared" ref="O2:O33" si="2">((M2-N2)/M2)*100</f>
        <v>89.578826167552322</v>
      </c>
      <c r="P2">
        <f t="shared" ref="P2:P33" si="3">-O2</f>
        <v>-89.578826167552322</v>
      </c>
      <c r="Q2">
        <v>-0.35799999999999998</v>
      </c>
      <c r="R2">
        <v>-3.2749999999999999</v>
      </c>
      <c r="S2">
        <f t="shared" ref="S2:S33" si="4">-((R2-Q2)/R2)*100</f>
        <v>-89.068702290076331</v>
      </c>
      <c r="T2" s="4">
        <v>8.7349291855817503E-3</v>
      </c>
      <c r="U2" s="13" t="s">
        <v>210</v>
      </c>
      <c r="Y2">
        <v>63.2</v>
      </c>
      <c r="Z2">
        <v>602</v>
      </c>
      <c r="AA2" s="9"/>
    </row>
    <row r="3" spans="1:28" x14ac:dyDescent="0.35">
      <c r="A3" t="s">
        <v>143</v>
      </c>
      <c r="B3" t="s">
        <v>144</v>
      </c>
      <c r="C3" t="s">
        <v>131</v>
      </c>
      <c r="D3" t="s">
        <v>11</v>
      </c>
      <c r="E3" t="str">
        <f t="shared" ref="E3:E66" si="5">A3&amp;B3&amp;C3</f>
        <v>K5AguH7</v>
      </c>
      <c r="F3" t="s">
        <v>232</v>
      </c>
      <c r="G3">
        <v>-0.29499999999999998</v>
      </c>
      <c r="H3">
        <v>-2.5230000000000001</v>
      </c>
      <c r="I3">
        <f t="shared" si="0"/>
        <v>-88.307570352754666</v>
      </c>
      <c r="J3">
        <v>6.2474222271213096</v>
      </c>
      <c r="K3">
        <v>0.14580429937123771</v>
      </c>
      <c r="L3">
        <f t="shared" si="1"/>
        <v>-97.666168636109262</v>
      </c>
      <c r="M3">
        <v>33.694472609120517</v>
      </c>
      <c r="N3">
        <v>0.78637216964922541</v>
      </c>
      <c r="O3">
        <f t="shared" si="2"/>
        <v>97.666168636109276</v>
      </c>
      <c r="P3">
        <f t="shared" si="3"/>
        <v>-97.666168636109276</v>
      </c>
      <c r="Q3">
        <v>-0.748</v>
      </c>
      <c r="R3">
        <v>-3.6120000000000001</v>
      </c>
      <c r="S3">
        <f t="shared" si="4"/>
        <v>-79.291251384274631</v>
      </c>
      <c r="T3" s="4">
        <v>2.3420874593229002E-2</v>
      </c>
      <c r="U3" s="4">
        <v>20.224151239279511</v>
      </c>
      <c r="Y3">
        <v>73.400000000000006</v>
      </c>
      <c r="Z3">
        <v>670</v>
      </c>
      <c r="AA3" s="9"/>
    </row>
    <row r="4" spans="1:28" x14ac:dyDescent="0.35">
      <c r="A4" t="s">
        <v>178</v>
      </c>
      <c r="B4" t="s">
        <v>144</v>
      </c>
      <c r="C4" t="s">
        <v>123</v>
      </c>
      <c r="D4" t="s">
        <v>11</v>
      </c>
      <c r="E4" t="str">
        <f t="shared" si="5"/>
        <v>L4AguH9</v>
      </c>
      <c r="F4" t="s">
        <v>232</v>
      </c>
      <c r="G4">
        <v>-0.371</v>
      </c>
      <c r="H4">
        <v>-1.76</v>
      </c>
      <c r="I4">
        <f t="shared" si="0"/>
        <v>-78.920454545454547</v>
      </c>
      <c r="J4">
        <v>8.8329769058476977</v>
      </c>
      <c r="K4">
        <v>2.9417048456824961</v>
      </c>
      <c r="L4">
        <f t="shared" si="1"/>
        <v>-66.696337180107435</v>
      </c>
      <c r="M4">
        <v>38.416859772010163</v>
      </c>
      <c r="N4">
        <v>12.794221444461209</v>
      </c>
      <c r="O4">
        <f t="shared" si="2"/>
        <v>66.696337180107449</v>
      </c>
      <c r="P4">
        <f t="shared" si="3"/>
        <v>-66.696337180107449</v>
      </c>
      <c r="Q4">
        <v>-0.34</v>
      </c>
      <c r="R4">
        <v>-2.875</v>
      </c>
      <c r="S4">
        <f t="shared" si="4"/>
        <v>-88.173913043478265</v>
      </c>
      <c r="T4" s="4">
        <v>3.5829885177280862E-2</v>
      </c>
      <c r="U4" s="4">
        <v>11.240386978832715</v>
      </c>
      <c r="Y4">
        <v>58</v>
      </c>
      <c r="Z4">
        <v>684</v>
      </c>
      <c r="AA4" s="9"/>
    </row>
    <row r="5" spans="1:28" x14ac:dyDescent="0.35">
      <c r="A5" t="s">
        <v>178</v>
      </c>
      <c r="B5" t="s">
        <v>144</v>
      </c>
      <c r="C5" t="s">
        <v>165</v>
      </c>
      <c r="D5" t="s">
        <v>11</v>
      </c>
      <c r="E5" t="str">
        <f t="shared" si="5"/>
        <v>L4AguI4</v>
      </c>
      <c r="F5" t="s">
        <v>232</v>
      </c>
      <c r="G5">
        <v>-0.34499999999999997</v>
      </c>
      <c r="H5">
        <v>-1.4630000000000001</v>
      </c>
      <c r="I5">
        <f t="shared" si="0"/>
        <v>-76.418318523581689</v>
      </c>
      <c r="J5">
        <v>0.94000392349700357</v>
      </c>
      <c r="K5">
        <v>2.777741354268955E-2</v>
      </c>
      <c r="L5">
        <f t="shared" si="1"/>
        <v>-97.044968340200967</v>
      </c>
      <c r="M5">
        <v>23.716678409262439</v>
      </c>
      <c r="N5">
        <v>0.70083535564642718</v>
      </c>
      <c r="O5">
        <f t="shared" si="2"/>
        <v>97.044968340200981</v>
      </c>
      <c r="P5">
        <f t="shared" si="3"/>
        <v>-97.044968340200981</v>
      </c>
      <c r="Q5">
        <v>-0.44900000000000001</v>
      </c>
      <c r="R5">
        <v>-2.2730000000000001</v>
      </c>
      <c r="S5">
        <f t="shared" si="4"/>
        <v>-80.246370435547732</v>
      </c>
      <c r="T5" s="4">
        <v>4.5743953695326058E-2</v>
      </c>
      <c r="U5" s="4">
        <v>6.1597365572116392</v>
      </c>
      <c r="Y5">
        <v>30</v>
      </c>
      <c r="Z5">
        <v>350</v>
      </c>
      <c r="AA5" s="9"/>
    </row>
    <row r="6" spans="1:28" x14ac:dyDescent="0.35">
      <c r="A6" t="s">
        <v>114</v>
      </c>
      <c r="B6" t="s">
        <v>115</v>
      </c>
      <c r="C6" t="s">
        <v>116</v>
      </c>
      <c r="D6" t="s">
        <v>11</v>
      </c>
      <c r="E6" t="str">
        <f t="shared" si="5"/>
        <v>K1BbrF10</v>
      </c>
      <c r="F6" t="s">
        <v>232</v>
      </c>
      <c r="G6">
        <v>-0.22800000000000001</v>
      </c>
      <c r="H6">
        <v>-2.1259999999999999</v>
      </c>
      <c r="I6">
        <f t="shared" si="0"/>
        <v>-89.275634995296329</v>
      </c>
      <c r="J6">
        <v>8.7426480108922888</v>
      </c>
      <c r="K6">
        <v>0.11613426545446789</v>
      </c>
      <c r="L6">
        <f t="shared" si="1"/>
        <v>-98.671635123480002</v>
      </c>
      <c r="M6">
        <v>32.443398484359129</v>
      </c>
      <c r="N6">
        <v>0.43096671021564992</v>
      </c>
      <c r="O6">
        <f t="shared" si="2"/>
        <v>98.671635123480002</v>
      </c>
      <c r="P6">
        <f t="shared" si="3"/>
        <v>-98.671635123480002</v>
      </c>
      <c r="Q6">
        <v>-1.1479999999999999</v>
      </c>
      <c r="R6">
        <v>-2.4540000000000002</v>
      </c>
      <c r="S6">
        <f t="shared" si="4"/>
        <v>-53.219233903830485</v>
      </c>
      <c r="T6" s="4">
        <v>1.5762233191801176E-2</v>
      </c>
      <c r="U6" s="4">
        <v>8.8519632642693491</v>
      </c>
      <c r="V6">
        <v>0.498</v>
      </c>
      <c r="W6">
        <v>498.5</v>
      </c>
      <c r="X6">
        <v>20</v>
      </c>
      <c r="Y6">
        <v>81.5</v>
      </c>
      <c r="Z6">
        <v>800</v>
      </c>
      <c r="AA6" s="9"/>
    </row>
    <row r="7" spans="1:28" x14ac:dyDescent="0.35">
      <c r="A7" t="s">
        <v>143</v>
      </c>
      <c r="B7" t="s">
        <v>115</v>
      </c>
      <c r="C7" t="s">
        <v>145</v>
      </c>
      <c r="D7" t="s">
        <v>11</v>
      </c>
      <c r="E7" t="str">
        <f t="shared" si="5"/>
        <v>K5BbrA3</v>
      </c>
      <c r="F7" t="s">
        <v>232</v>
      </c>
      <c r="G7">
        <v>-0.47099999999999997</v>
      </c>
      <c r="H7">
        <v>-2.7040000000000002</v>
      </c>
      <c r="I7">
        <f t="shared" si="0"/>
        <v>-82.581360946745562</v>
      </c>
      <c r="J7">
        <v>5.9788956734108281</v>
      </c>
      <c r="K7">
        <v>1.51155178762999</v>
      </c>
      <c r="L7">
        <f t="shared" si="1"/>
        <v>-74.718545527527453</v>
      </c>
      <c r="M7">
        <v>34.552551700324912</v>
      </c>
      <c r="N7">
        <v>8.7353876271951822</v>
      </c>
      <c r="O7">
        <f t="shared" si="2"/>
        <v>74.718545527527453</v>
      </c>
      <c r="P7">
        <f t="shared" si="3"/>
        <v>-74.718545527527453</v>
      </c>
      <c r="Q7">
        <v>-0.56699999999999995</v>
      </c>
      <c r="R7">
        <v>-3.323</v>
      </c>
      <c r="S7">
        <f t="shared" si="4"/>
        <v>-82.937105025579299</v>
      </c>
      <c r="T7" s="4">
        <v>3.0833337364130416E-2</v>
      </c>
      <c r="U7" s="4">
        <v>8.8519632642693491</v>
      </c>
      <c r="Y7">
        <v>62.2</v>
      </c>
      <c r="Z7">
        <v>560</v>
      </c>
      <c r="AA7" s="9"/>
    </row>
    <row r="8" spans="1:28" x14ac:dyDescent="0.35">
      <c r="A8" t="s">
        <v>154</v>
      </c>
      <c r="B8" t="s">
        <v>115</v>
      </c>
      <c r="C8" t="s">
        <v>155</v>
      </c>
      <c r="D8" t="s">
        <v>213</v>
      </c>
      <c r="E8" t="str">
        <f t="shared" si="5"/>
        <v>K6BbrG4</v>
      </c>
      <c r="F8" t="s">
        <v>232</v>
      </c>
      <c r="G8">
        <v>-0.23400000000000001</v>
      </c>
      <c r="H8">
        <v>-2.4319999999999999</v>
      </c>
      <c r="I8">
        <f t="shared" si="0"/>
        <v>-90.37828947368422</v>
      </c>
      <c r="J8">
        <v>3.2397922125437031</v>
      </c>
      <c r="K8">
        <v>0.33403391643976038</v>
      </c>
      <c r="L8">
        <f t="shared" si="1"/>
        <v>-89.689649998340613</v>
      </c>
      <c r="M8">
        <v>23.802690999676621</v>
      </c>
      <c r="N8">
        <v>2.454140751880137</v>
      </c>
      <c r="O8">
        <f t="shared" si="2"/>
        <v>89.689649998340613</v>
      </c>
      <c r="P8">
        <f t="shared" si="3"/>
        <v>-89.689649998340613</v>
      </c>
      <c r="Q8">
        <v>-0.87899999999999989</v>
      </c>
      <c r="R8">
        <v>-2.4649999999999999</v>
      </c>
      <c r="S8">
        <f t="shared" si="4"/>
        <v>-64.340770791075059</v>
      </c>
      <c r="T8" s="4">
        <v>-1.8247700352262827E-3</v>
      </c>
      <c r="U8" s="4">
        <v>2.6126988146007939</v>
      </c>
      <c r="X8">
        <v>20</v>
      </c>
      <c r="Y8">
        <v>78.599999999999994</v>
      </c>
      <c r="Z8">
        <v>701</v>
      </c>
      <c r="AA8" s="9"/>
    </row>
    <row r="9" spans="1:28" x14ac:dyDescent="0.35">
      <c r="A9" t="s">
        <v>168</v>
      </c>
      <c r="B9" t="s">
        <v>115</v>
      </c>
      <c r="C9" t="s">
        <v>158</v>
      </c>
      <c r="D9" t="s">
        <v>213</v>
      </c>
      <c r="E9" t="str">
        <f t="shared" si="5"/>
        <v>L3BbrA10</v>
      </c>
      <c r="F9" t="s">
        <v>232</v>
      </c>
      <c r="G9">
        <v>-0.20100000000000001</v>
      </c>
      <c r="H9">
        <v>-1.361</v>
      </c>
      <c r="I9">
        <f t="shared" si="0"/>
        <v>-85.23144746509918</v>
      </c>
      <c r="J9">
        <v>11.02289678806526</v>
      </c>
      <c r="K9">
        <v>6.3202275961468164</v>
      </c>
      <c r="L9">
        <f t="shared" si="1"/>
        <v>-42.662734509227469</v>
      </c>
      <c r="M9">
        <v>42.103878822027653</v>
      </c>
      <c r="N9">
        <v>24.14121278209916</v>
      </c>
      <c r="O9">
        <f t="shared" si="2"/>
        <v>42.662734509227434</v>
      </c>
      <c r="P9">
        <f t="shared" si="3"/>
        <v>-42.662734509227434</v>
      </c>
      <c r="Q9">
        <v>-0.72399999999999998</v>
      </c>
      <c r="R9">
        <v>-2.0070000000000001</v>
      </c>
      <c r="S9">
        <f t="shared" si="4"/>
        <v>-63.926258096661691</v>
      </c>
      <c r="T9" s="4">
        <v>1.3974401028587324E-2</v>
      </c>
      <c r="U9" s="4">
        <v>13.963878549588205</v>
      </c>
      <c r="Y9">
        <v>87.4</v>
      </c>
      <c r="Z9">
        <v>678</v>
      </c>
      <c r="AA9" s="9"/>
    </row>
    <row r="10" spans="1:28" x14ac:dyDescent="0.35">
      <c r="A10" t="s">
        <v>168</v>
      </c>
      <c r="B10" t="s">
        <v>115</v>
      </c>
      <c r="C10" t="s">
        <v>169</v>
      </c>
      <c r="D10" t="s">
        <v>213</v>
      </c>
      <c r="E10" t="str">
        <f t="shared" si="5"/>
        <v>L3BbrI7</v>
      </c>
      <c r="F10" t="s">
        <v>232</v>
      </c>
      <c r="G10">
        <v>-0.32100000000000001</v>
      </c>
      <c r="H10">
        <v>-1.345</v>
      </c>
      <c r="I10">
        <f t="shared" si="0"/>
        <v>-76.133828996282531</v>
      </c>
      <c r="J10">
        <v>10.262344416951279</v>
      </c>
      <c r="K10">
        <v>4.7506977597466706</v>
      </c>
      <c r="L10">
        <f t="shared" si="1"/>
        <v>-53.70748079844703</v>
      </c>
      <c r="M10">
        <v>49.675494502303778</v>
      </c>
      <c r="N10">
        <v>22.996037830945379</v>
      </c>
      <c r="O10">
        <f t="shared" si="2"/>
        <v>53.707480798447008</v>
      </c>
      <c r="P10">
        <f t="shared" si="3"/>
        <v>-53.707480798447008</v>
      </c>
      <c r="Q10">
        <v>-0.77900000000000003</v>
      </c>
      <c r="R10">
        <v>-2.0640000000000001</v>
      </c>
      <c r="S10">
        <f t="shared" si="4"/>
        <v>-62.257751937984509</v>
      </c>
      <c r="T10" s="5">
        <v>3.5008637196462841E-2</v>
      </c>
      <c r="U10" s="5">
        <v>20.422821535829076</v>
      </c>
      <c r="Y10">
        <v>93.2</v>
      </c>
      <c r="Z10">
        <v>740</v>
      </c>
      <c r="AA10" s="9"/>
    </row>
    <row r="11" spans="1:28" x14ac:dyDescent="0.35">
      <c r="A11" t="s">
        <v>178</v>
      </c>
      <c r="B11" t="s">
        <v>115</v>
      </c>
      <c r="C11" t="s">
        <v>155</v>
      </c>
      <c r="D11" t="s">
        <v>11</v>
      </c>
      <c r="E11" t="str">
        <f t="shared" si="5"/>
        <v>L4BbrG4</v>
      </c>
      <c r="F11" t="s">
        <v>232</v>
      </c>
      <c r="G11">
        <v>-0.54800000000000004</v>
      </c>
      <c r="H11">
        <v>-2.367</v>
      </c>
      <c r="I11">
        <f t="shared" si="0"/>
        <v>-76.84833122095479</v>
      </c>
      <c r="J11">
        <v>2.799272207025072</v>
      </c>
      <c r="K11">
        <v>0.89329092704369106</v>
      </c>
      <c r="L11">
        <f t="shared" si="1"/>
        <v>-68.088457964113587</v>
      </c>
      <c r="M11">
        <v>38.083128882939192</v>
      </c>
      <c r="N11">
        <v>12.152913682059941</v>
      </c>
      <c r="O11">
        <f t="shared" si="2"/>
        <v>68.088457964113587</v>
      </c>
      <c r="P11">
        <f t="shared" si="3"/>
        <v>-68.088457964113587</v>
      </c>
      <c r="Q11">
        <v>-0.77800000000000002</v>
      </c>
      <c r="R11">
        <v>-2.8759999999999999</v>
      </c>
      <c r="S11">
        <f t="shared" si="4"/>
        <v>-72.948539638386649</v>
      </c>
      <c r="T11" s="14">
        <v>2.2619415804791307E-2</v>
      </c>
      <c r="U11" s="14">
        <v>-7.3085694733124011</v>
      </c>
      <c r="V11" s="17"/>
      <c r="X11">
        <v>20</v>
      </c>
      <c r="Y11">
        <v>32.1</v>
      </c>
      <c r="Z11">
        <v>370</v>
      </c>
      <c r="AA11" s="9"/>
    </row>
    <row r="12" spans="1:28" s="8" customFormat="1" x14ac:dyDescent="0.35">
      <c r="A12" t="s">
        <v>186</v>
      </c>
      <c r="B12" t="s">
        <v>115</v>
      </c>
      <c r="C12" t="s">
        <v>187</v>
      </c>
      <c r="D12" t="s">
        <v>213</v>
      </c>
      <c r="E12" t="str">
        <f t="shared" si="5"/>
        <v>M1BbrJ3</v>
      </c>
      <c r="F12" t="s">
        <v>232</v>
      </c>
      <c r="G12">
        <v>-9.8000000000000004E-2</v>
      </c>
      <c r="H12">
        <v>-1.6779999999999999</v>
      </c>
      <c r="I12">
        <f t="shared" si="0"/>
        <v>-94.159713945172825</v>
      </c>
      <c r="J12">
        <v>6.5874003190726711</v>
      </c>
      <c r="K12">
        <v>0.95762008766611939</v>
      </c>
      <c r="L12">
        <f t="shared" si="1"/>
        <v>-85.462852699364618</v>
      </c>
      <c r="M12">
        <v>32.607287682818821</v>
      </c>
      <c r="N12">
        <v>4.7401694411933093</v>
      </c>
      <c r="O12">
        <f t="shared" si="2"/>
        <v>85.462852699364618</v>
      </c>
      <c r="P12">
        <f t="shared" si="3"/>
        <v>-85.462852699364618</v>
      </c>
      <c r="Q12">
        <v>-1.0569999999999999</v>
      </c>
      <c r="R12">
        <v>-1.8320000000000001</v>
      </c>
      <c r="S12">
        <f t="shared" si="4"/>
        <v>-42.303493449781662</v>
      </c>
      <c r="T12" s="4">
        <v>1.204706686299079E-2</v>
      </c>
      <c r="U12" s="4">
        <v>1.1361036842256038</v>
      </c>
      <c r="V12"/>
      <c r="W12"/>
      <c r="X12"/>
      <c r="Y12">
        <v>90</v>
      </c>
      <c r="Z12">
        <v>650</v>
      </c>
      <c r="AA12" s="9"/>
      <c r="AB12"/>
    </row>
    <row r="13" spans="1:28" x14ac:dyDescent="0.35">
      <c r="A13" t="s">
        <v>114</v>
      </c>
      <c r="B13" t="s">
        <v>117</v>
      </c>
      <c r="C13" t="s">
        <v>118</v>
      </c>
      <c r="D13" t="s">
        <v>11</v>
      </c>
      <c r="E13" t="str">
        <f t="shared" si="5"/>
        <v>K1CmeG8</v>
      </c>
      <c r="F13" t="s">
        <v>232</v>
      </c>
      <c r="G13">
        <v>-8.1000000000000003E-2</v>
      </c>
      <c r="H13">
        <v>-0.41799999999999998</v>
      </c>
      <c r="I13">
        <f t="shared" si="0"/>
        <v>-80.62200956937798</v>
      </c>
      <c r="J13">
        <v>12.17085569352362</v>
      </c>
      <c r="K13">
        <v>9.3935656122444051</v>
      </c>
      <c r="L13">
        <f t="shared" si="1"/>
        <v>-22.819185036899846</v>
      </c>
      <c r="M13">
        <v>44.660746713126102</v>
      </c>
      <c r="N13">
        <v>34.469528281796691</v>
      </c>
      <c r="O13">
        <f t="shared" si="2"/>
        <v>22.819185036899846</v>
      </c>
      <c r="P13">
        <f t="shared" si="3"/>
        <v>-22.819185036899846</v>
      </c>
      <c r="Q13">
        <v>-0.13400000000000001</v>
      </c>
      <c r="R13">
        <v>-1.96</v>
      </c>
      <c r="S13">
        <f t="shared" si="4"/>
        <v>-93.163265306122454</v>
      </c>
      <c r="T13" s="4">
        <v>3.3174055421566567E-2</v>
      </c>
      <c r="U13" s="4">
        <v>23.35390337783668</v>
      </c>
      <c r="V13">
        <v>0.56299999999999994</v>
      </c>
      <c r="W13">
        <v>623</v>
      </c>
      <c r="X13">
        <v>26.666666666666668</v>
      </c>
      <c r="Y13">
        <v>73</v>
      </c>
      <c r="Z13">
        <v>794</v>
      </c>
      <c r="AA13" s="9"/>
    </row>
    <row r="14" spans="1:28" x14ac:dyDescent="0.35">
      <c r="A14" t="s">
        <v>143</v>
      </c>
      <c r="B14" t="s">
        <v>117</v>
      </c>
      <c r="C14" t="s">
        <v>146</v>
      </c>
      <c r="D14" t="s">
        <v>11</v>
      </c>
      <c r="E14" t="str">
        <f t="shared" si="5"/>
        <v>K5CmeB10</v>
      </c>
      <c r="F14" t="s">
        <v>232</v>
      </c>
      <c r="G14">
        <v>-0.14899999999999999</v>
      </c>
      <c r="H14">
        <v>-0.32300000000000001</v>
      </c>
      <c r="I14">
        <f t="shared" si="0"/>
        <v>-53.869969040247682</v>
      </c>
      <c r="J14">
        <v>8.0605804902875651</v>
      </c>
      <c r="K14">
        <v>3.5143641629468338</v>
      </c>
      <c r="L14">
        <f t="shared" si="1"/>
        <v>-56.400607038396359</v>
      </c>
      <c r="M14">
        <v>34.255350477730524</v>
      </c>
      <c r="N14">
        <v>14.93512486516031</v>
      </c>
      <c r="O14">
        <f t="shared" si="2"/>
        <v>56.40060703839633</v>
      </c>
      <c r="P14">
        <f t="shared" si="3"/>
        <v>-56.40060703839633</v>
      </c>
      <c r="Q14">
        <v>-0.34799999999999998</v>
      </c>
      <c r="R14">
        <v>-3.605</v>
      </c>
      <c r="S14">
        <f t="shared" si="4"/>
        <v>-90.346740638002771</v>
      </c>
      <c r="T14" s="4">
        <v>-3.44360234386289E-3</v>
      </c>
      <c r="U14" s="4">
        <v>9.3622684935159057</v>
      </c>
      <c r="Y14">
        <v>83.6</v>
      </c>
      <c r="Z14">
        <v>660</v>
      </c>
      <c r="AA14" s="9"/>
    </row>
    <row r="15" spans="1:28" x14ac:dyDescent="0.35">
      <c r="A15" t="s">
        <v>143</v>
      </c>
      <c r="B15" t="s">
        <v>117</v>
      </c>
      <c r="C15" t="s">
        <v>137</v>
      </c>
      <c r="D15" t="s">
        <v>11</v>
      </c>
      <c r="E15" t="str">
        <f t="shared" si="5"/>
        <v>K5CmeI6</v>
      </c>
      <c r="F15" t="s">
        <v>232</v>
      </c>
      <c r="G15">
        <v>-0.153</v>
      </c>
      <c r="H15">
        <v>-0.90100000000000002</v>
      </c>
      <c r="I15">
        <f t="shared" si="0"/>
        <v>-83.018867924528294</v>
      </c>
      <c r="J15">
        <v>8.3752417978252058</v>
      </c>
      <c r="K15">
        <v>0.44706242560602549</v>
      </c>
      <c r="L15">
        <f t="shared" si="1"/>
        <v>-94.662095299480015</v>
      </c>
      <c r="M15">
        <v>36.874369982071947</v>
      </c>
      <c r="N15">
        <v>1.968318728560146</v>
      </c>
      <c r="O15">
        <f t="shared" si="2"/>
        <v>94.662095299480015</v>
      </c>
      <c r="P15">
        <f t="shared" si="3"/>
        <v>-94.662095299480015</v>
      </c>
      <c r="Q15">
        <v>-0.20300000000000001</v>
      </c>
      <c r="R15">
        <v>-1.923</v>
      </c>
      <c r="S15">
        <f t="shared" si="4"/>
        <v>-89.443577743109728</v>
      </c>
      <c r="T15" s="4">
        <v>2.3499861849242888E-2</v>
      </c>
      <c r="U15" s="4">
        <v>11.233512163472522</v>
      </c>
      <c r="Y15">
        <v>64.5</v>
      </c>
      <c r="Z15">
        <v>700</v>
      </c>
      <c r="AA15" s="9"/>
    </row>
    <row r="16" spans="1:28" x14ac:dyDescent="0.35">
      <c r="A16" t="s">
        <v>154</v>
      </c>
      <c r="B16" t="s">
        <v>117</v>
      </c>
      <c r="C16" t="s">
        <v>156</v>
      </c>
      <c r="D16" t="s">
        <v>213</v>
      </c>
      <c r="E16" t="str">
        <f t="shared" si="5"/>
        <v>K6CmeD4</v>
      </c>
      <c r="F16" t="s">
        <v>232</v>
      </c>
      <c r="G16">
        <v>-0.185</v>
      </c>
      <c r="H16">
        <v>-0.55599999999999994</v>
      </c>
      <c r="I16">
        <f t="shared" si="0"/>
        <v>-66.72661870503596</v>
      </c>
      <c r="J16">
        <v>32.655171133375113</v>
      </c>
      <c r="K16">
        <v>21.490251149939301</v>
      </c>
      <c r="L16">
        <f t="shared" si="1"/>
        <v>-34.19035820646716</v>
      </c>
      <c r="M16">
        <v>86.394984757957758</v>
      </c>
      <c r="N16">
        <v>56.856229996789303</v>
      </c>
      <c r="O16">
        <f t="shared" si="2"/>
        <v>34.190358206467153</v>
      </c>
      <c r="P16">
        <f t="shared" si="3"/>
        <v>-34.190358206467153</v>
      </c>
      <c r="Q16">
        <v>-0.159</v>
      </c>
      <c r="R16">
        <v>-2.7559999999999998</v>
      </c>
      <c r="S16">
        <f t="shared" si="4"/>
        <v>-94.230769230769241</v>
      </c>
      <c r="T16" s="4">
        <v>-1.3182594023193784E-2</v>
      </c>
      <c r="U16" s="4">
        <v>18.789555854999797</v>
      </c>
      <c r="X16">
        <v>28.571428571428569</v>
      </c>
      <c r="Y16">
        <v>125</v>
      </c>
      <c r="Z16">
        <v>776</v>
      </c>
      <c r="AA16" s="9"/>
    </row>
    <row r="17" spans="1:27" x14ac:dyDescent="0.35">
      <c r="A17" t="s">
        <v>154</v>
      </c>
      <c r="B17" t="s">
        <v>117</v>
      </c>
      <c r="C17" t="s">
        <v>157</v>
      </c>
      <c r="D17" t="s">
        <v>213</v>
      </c>
      <c r="E17" t="str">
        <f t="shared" si="5"/>
        <v>K6CmeI2</v>
      </c>
      <c r="F17" t="s">
        <v>232</v>
      </c>
      <c r="G17">
        <v>-0.158</v>
      </c>
      <c r="H17">
        <v>-0.497</v>
      </c>
      <c r="I17">
        <f t="shared" si="0"/>
        <v>-68.209255533199183</v>
      </c>
      <c r="J17">
        <v>17.791299561479331</v>
      </c>
      <c r="K17">
        <v>4.3217659074259309</v>
      </c>
      <c r="L17">
        <f t="shared" si="1"/>
        <v>-75.708542861123192</v>
      </c>
      <c r="M17">
        <v>40.550800325435837</v>
      </c>
      <c r="N17">
        <v>9.8503802805247691</v>
      </c>
      <c r="O17">
        <f t="shared" si="2"/>
        <v>75.708542861123192</v>
      </c>
      <c r="P17">
        <f t="shared" si="3"/>
        <v>-75.708542861123192</v>
      </c>
      <c r="Q17">
        <v>-0.224</v>
      </c>
      <c r="R17">
        <v>-1.0009999999999999</v>
      </c>
      <c r="S17">
        <f t="shared" si="4"/>
        <v>-77.622377622377627</v>
      </c>
      <c r="T17" s="3"/>
      <c r="U17" s="13"/>
      <c r="Y17">
        <v>107.9</v>
      </c>
      <c r="Z17">
        <v>840</v>
      </c>
      <c r="AA17" s="9"/>
    </row>
    <row r="18" spans="1:27" x14ac:dyDescent="0.35">
      <c r="A18" t="s">
        <v>168</v>
      </c>
      <c r="B18" t="s">
        <v>117</v>
      </c>
      <c r="C18" t="s">
        <v>170</v>
      </c>
      <c r="D18" t="s">
        <v>213</v>
      </c>
      <c r="E18" t="str">
        <f t="shared" si="5"/>
        <v>L3CmeF6</v>
      </c>
      <c r="F18" t="s">
        <v>232</v>
      </c>
      <c r="G18">
        <v>-0.14599999999999999</v>
      </c>
      <c r="H18">
        <v>-0.91300000000000003</v>
      </c>
      <c r="I18">
        <f t="shared" si="0"/>
        <v>-84.008762322015329</v>
      </c>
      <c r="J18">
        <v>10.16601589876147</v>
      </c>
      <c r="K18">
        <v>6.6824453694994093</v>
      </c>
      <c r="L18">
        <f t="shared" si="1"/>
        <v>-34.266821574481952</v>
      </c>
      <c r="M18">
        <v>43.202898103165161</v>
      </c>
      <c r="N18">
        <v>28.398638095148311</v>
      </c>
      <c r="O18">
        <f t="shared" si="2"/>
        <v>34.266821574481945</v>
      </c>
      <c r="P18">
        <f t="shared" si="3"/>
        <v>-34.266821574481945</v>
      </c>
      <c r="Q18">
        <v>-0.11799999999999999</v>
      </c>
      <c r="R18">
        <v>-2.8759999999999999</v>
      </c>
      <c r="S18">
        <f t="shared" si="4"/>
        <v>-95.897079276773297</v>
      </c>
      <c r="T18" s="4">
        <v>2.5468610825763953E-2</v>
      </c>
      <c r="U18" s="4">
        <v>7.7905195045690627</v>
      </c>
      <c r="Y18">
        <v>90.2</v>
      </c>
      <c r="Z18">
        <v>800</v>
      </c>
      <c r="AA18" s="9"/>
    </row>
    <row r="19" spans="1:27" x14ac:dyDescent="0.35">
      <c r="A19" t="s">
        <v>178</v>
      </c>
      <c r="B19" t="s">
        <v>117</v>
      </c>
      <c r="C19" t="s">
        <v>161</v>
      </c>
      <c r="D19" t="s">
        <v>11</v>
      </c>
      <c r="E19" t="str">
        <f t="shared" si="5"/>
        <v>L4CmeC8</v>
      </c>
      <c r="F19" t="s">
        <v>232</v>
      </c>
      <c r="G19">
        <v>-0.26300000000000001</v>
      </c>
      <c r="H19">
        <v>-0.64600000000000002</v>
      </c>
      <c r="I19">
        <f t="shared" si="0"/>
        <v>-59.287925696594421</v>
      </c>
      <c r="J19">
        <v>16.4310594500514</v>
      </c>
      <c r="K19">
        <v>8.4671356801181119</v>
      </c>
      <c r="L19">
        <f t="shared" si="1"/>
        <v>-48.468717395507781</v>
      </c>
      <c r="M19">
        <v>42.005827681874422</v>
      </c>
      <c r="N19">
        <v>21.64614177310273</v>
      </c>
      <c r="O19">
        <f t="shared" si="2"/>
        <v>48.468717395507781</v>
      </c>
      <c r="P19">
        <f t="shared" si="3"/>
        <v>-48.468717395507781</v>
      </c>
      <c r="Q19">
        <v>-0.109</v>
      </c>
      <c r="R19">
        <v>-3.9319999999999999</v>
      </c>
      <c r="S19">
        <f t="shared" si="4"/>
        <v>-97.22787385554426</v>
      </c>
      <c r="T19" s="4">
        <v>1.0459977917073454E-2</v>
      </c>
      <c r="U19" s="4">
        <v>24.274335600269417</v>
      </c>
      <c r="Y19">
        <v>97</v>
      </c>
      <c r="Z19">
        <v>770</v>
      </c>
      <c r="AA19" s="9"/>
    </row>
    <row r="20" spans="1:27" x14ac:dyDescent="0.35">
      <c r="A20" t="s">
        <v>186</v>
      </c>
      <c r="B20" t="s">
        <v>117</v>
      </c>
      <c r="C20" t="s">
        <v>135</v>
      </c>
      <c r="D20" t="s">
        <v>213</v>
      </c>
      <c r="E20" t="str">
        <f t="shared" si="5"/>
        <v>M1CmeF9</v>
      </c>
      <c r="F20" t="s">
        <v>232</v>
      </c>
      <c r="G20">
        <v>-0.123</v>
      </c>
      <c r="H20">
        <v>-0.94399999999999995</v>
      </c>
      <c r="I20">
        <f t="shared" si="0"/>
        <v>-86.970338983050837</v>
      </c>
      <c r="J20">
        <v>19.66269710705939</v>
      </c>
      <c r="K20">
        <v>6.1777964732874437</v>
      </c>
      <c r="L20">
        <f t="shared" si="1"/>
        <v>-68.581133912348875</v>
      </c>
      <c r="M20">
        <v>48.968682655280219</v>
      </c>
      <c r="N20">
        <v>15.385404828349341</v>
      </c>
      <c r="O20">
        <f t="shared" si="2"/>
        <v>68.581133912348875</v>
      </c>
      <c r="P20">
        <f t="shared" si="3"/>
        <v>-68.581133912348875</v>
      </c>
      <c r="Q20">
        <v>-0.23100000000000001</v>
      </c>
      <c r="R20">
        <v>-1.472</v>
      </c>
      <c r="S20">
        <f t="shared" si="4"/>
        <v>-84.307065217391298</v>
      </c>
      <c r="T20" s="4">
        <v>2.0165599981897955E-2</v>
      </c>
      <c r="U20" s="4">
        <v>12.787947076898984</v>
      </c>
      <c r="Y20">
        <v>107</v>
      </c>
      <c r="Z20">
        <v>840</v>
      </c>
    </row>
    <row r="21" spans="1:27" x14ac:dyDescent="0.35">
      <c r="A21" t="s">
        <v>114</v>
      </c>
      <c r="B21" t="s">
        <v>119</v>
      </c>
      <c r="C21" t="s">
        <v>120</v>
      </c>
      <c r="D21" t="s">
        <v>11</v>
      </c>
      <c r="E21" t="str">
        <f t="shared" si="5"/>
        <v>K1DtoD10</v>
      </c>
      <c r="F21" t="s">
        <v>232</v>
      </c>
      <c r="G21">
        <v>-0.54800000000000004</v>
      </c>
      <c r="H21">
        <v>-2.4510000000000001</v>
      </c>
      <c r="I21">
        <f t="shared" si="0"/>
        <v>-77.641778865769069</v>
      </c>
      <c r="J21">
        <v>5.3020542886773274</v>
      </c>
      <c r="K21">
        <v>0.86403403079045127</v>
      </c>
      <c r="L21">
        <f t="shared" si="1"/>
        <v>-83.703787555785354</v>
      </c>
      <c r="M21">
        <v>29.315144465882248</v>
      </c>
      <c r="N21">
        <v>4.7772582204886067</v>
      </c>
      <c r="O21">
        <f t="shared" si="2"/>
        <v>83.703787555785354</v>
      </c>
      <c r="P21">
        <f t="shared" si="3"/>
        <v>-83.703787555785354</v>
      </c>
      <c r="Q21">
        <v>-0.69400000000000006</v>
      </c>
      <c r="R21">
        <v>-2.6829999999999998</v>
      </c>
      <c r="S21">
        <f t="shared" si="4"/>
        <v>-74.133432724562056</v>
      </c>
      <c r="T21" s="4">
        <v>-1.3880826345383708E-2</v>
      </c>
      <c r="U21" s="4">
        <v>20.827665812558859</v>
      </c>
      <c r="V21">
        <v>0.5</v>
      </c>
      <c r="W21">
        <v>591.4</v>
      </c>
      <c r="X21">
        <v>33.333333333333329</v>
      </c>
      <c r="Y21">
        <v>77.099999999999994</v>
      </c>
      <c r="Z21">
        <v>720</v>
      </c>
    </row>
    <row r="22" spans="1:27" x14ac:dyDescent="0.35">
      <c r="A22" t="s">
        <v>143</v>
      </c>
      <c r="B22" t="s">
        <v>119</v>
      </c>
      <c r="C22" t="s">
        <v>147</v>
      </c>
      <c r="D22" t="s">
        <v>11</v>
      </c>
      <c r="E22" t="str">
        <f t="shared" si="5"/>
        <v>K5DtoJ7</v>
      </c>
      <c r="F22" t="s">
        <v>232</v>
      </c>
      <c r="G22">
        <v>-0.371</v>
      </c>
      <c r="H22">
        <v>-3.2450000000000001</v>
      </c>
      <c r="I22">
        <f t="shared" si="0"/>
        <v>-88.567026194144844</v>
      </c>
      <c r="J22">
        <v>3.5386517738925649</v>
      </c>
      <c r="K22">
        <v>0.32328242773058202</v>
      </c>
      <c r="L22">
        <f t="shared" si="1"/>
        <v>-90.864248635152734</v>
      </c>
      <c r="M22">
        <v>20.634348181997741</v>
      </c>
      <c r="N22">
        <v>1.885102745664196</v>
      </c>
      <c r="O22">
        <f t="shared" si="2"/>
        <v>90.864248635152734</v>
      </c>
      <c r="P22">
        <f t="shared" si="3"/>
        <v>-90.864248635152734</v>
      </c>
      <c r="Q22">
        <v>-0.96400000000000008</v>
      </c>
      <c r="R22">
        <v>-5.3340000000000014</v>
      </c>
      <c r="S22">
        <f t="shared" si="4"/>
        <v>-81.927259092613426</v>
      </c>
      <c r="T22" s="4">
        <v>-8.6588002042198298E-3</v>
      </c>
      <c r="U22" s="4">
        <v>7.940595633033487</v>
      </c>
      <c r="Y22">
        <v>74.8</v>
      </c>
      <c r="Z22">
        <v>661</v>
      </c>
    </row>
    <row r="23" spans="1:27" x14ac:dyDescent="0.35">
      <c r="A23" t="s">
        <v>154</v>
      </c>
      <c r="B23" t="s">
        <v>119</v>
      </c>
      <c r="C23" t="s">
        <v>153</v>
      </c>
      <c r="D23" t="s">
        <v>213</v>
      </c>
      <c r="E23" t="str">
        <f t="shared" si="5"/>
        <v>K6DtoC6</v>
      </c>
      <c r="F23" t="s">
        <v>232</v>
      </c>
      <c r="G23">
        <v>-0.54600000000000004</v>
      </c>
      <c r="H23">
        <v>-2.5979999999999999</v>
      </c>
      <c r="I23">
        <f t="shared" si="0"/>
        <v>-78.983833718244796</v>
      </c>
      <c r="J23">
        <v>15.484538892655941</v>
      </c>
      <c r="K23">
        <v>1.760349326559469</v>
      </c>
      <c r="L23">
        <f t="shared" si="1"/>
        <v>-88.631567663959473</v>
      </c>
      <c r="M23">
        <v>84.975754455931948</v>
      </c>
      <c r="N23">
        <v>9.6604111473625629</v>
      </c>
      <c r="O23">
        <f t="shared" si="2"/>
        <v>88.631567663959473</v>
      </c>
      <c r="P23">
        <f t="shared" si="3"/>
        <v>-88.631567663959473</v>
      </c>
      <c r="Q23">
        <v>-0.51400000000000001</v>
      </c>
      <c r="R23">
        <v>-3.0739999999999998</v>
      </c>
      <c r="S23">
        <f t="shared" si="4"/>
        <v>-83.279115159401414</v>
      </c>
      <c r="T23" s="4">
        <v>-5.984353682404752E-3</v>
      </c>
      <c r="U23" s="4">
        <v>5.538922953359263</v>
      </c>
      <c r="X23">
        <v>20</v>
      </c>
      <c r="Y23">
        <v>84.6</v>
      </c>
      <c r="Z23">
        <v>716</v>
      </c>
    </row>
    <row r="24" spans="1:27" x14ac:dyDescent="0.35">
      <c r="A24" t="s">
        <v>168</v>
      </c>
      <c r="B24" t="s">
        <v>119</v>
      </c>
      <c r="C24" t="s">
        <v>148</v>
      </c>
      <c r="D24" t="s">
        <v>213</v>
      </c>
      <c r="E24" t="str">
        <f t="shared" si="5"/>
        <v>L3DtoA4</v>
      </c>
      <c r="F24" t="s">
        <v>232</v>
      </c>
      <c r="G24">
        <v>-0.24099999999999999</v>
      </c>
      <c r="H24">
        <v>-1.073</v>
      </c>
      <c r="I24">
        <f t="shared" si="0"/>
        <v>-77.539608574091332</v>
      </c>
      <c r="J24">
        <v>1.727508079710359</v>
      </c>
      <c r="K24">
        <v>0.29166645742765429</v>
      </c>
      <c r="L24">
        <f t="shared" si="1"/>
        <v>-83.116347711869679</v>
      </c>
      <c r="M24">
        <v>21.51758423220873</v>
      </c>
      <c r="N24">
        <v>3.6329541025716798</v>
      </c>
      <c r="O24">
        <f t="shared" si="2"/>
        <v>83.116347711869665</v>
      </c>
      <c r="P24">
        <f t="shared" si="3"/>
        <v>-83.116347711869665</v>
      </c>
      <c r="Q24">
        <v>-0.44500000000000001</v>
      </c>
      <c r="R24">
        <v>-2.5409999999999999</v>
      </c>
      <c r="S24">
        <f t="shared" si="4"/>
        <v>-82.487209759937045</v>
      </c>
      <c r="T24" s="4">
        <v>-1.5519024933775737E-4</v>
      </c>
      <c r="U24" s="4">
        <v>15.398008401425331</v>
      </c>
      <c r="Y24">
        <v>75.900000000000006</v>
      </c>
      <c r="Z24">
        <v>610</v>
      </c>
    </row>
    <row r="25" spans="1:27" x14ac:dyDescent="0.35">
      <c r="A25" t="s">
        <v>178</v>
      </c>
      <c r="B25" t="s">
        <v>119</v>
      </c>
      <c r="C25" t="s">
        <v>179</v>
      </c>
      <c r="D25" t="s">
        <v>11</v>
      </c>
      <c r="E25" t="str">
        <f t="shared" si="5"/>
        <v>L4DtoA1</v>
      </c>
      <c r="F25" t="s">
        <v>232</v>
      </c>
      <c r="G25">
        <v>-0.51200000000000001</v>
      </c>
      <c r="H25">
        <v>-2.4750000000000001</v>
      </c>
      <c r="I25">
        <f t="shared" si="0"/>
        <v>-79.313131313131308</v>
      </c>
      <c r="J25">
        <v>1.7749219558778011</v>
      </c>
      <c r="K25">
        <v>0.2450563899103394</v>
      </c>
      <c r="L25">
        <f t="shared" si="1"/>
        <v>-86.193399146434885</v>
      </c>
      <c r="M25">
        <v>22.65741467297433</v>
      </c>
      <c r="N25">
        <v>3.128218807634664</v>
      </c>
      <c r="O25">
        <f t="shared" si="2"/>
        <v>86.193399146434885</v>
      </c>
      <c r="P25">
        <f t="shared" si="3"/>
        <v>-86.193399146434885</v>
      </c>
      <c r="Q25">
        <v>-0.38700000000000001</v>
      </c>
      <c r="R25">
        <v>-2.726</v>
      </c>
      <c r="S25">
        <f t="shared" si="4"/>
        <v>-85.803374908290536</v>
      </c>
      <c r="T25" s="4">
        <v>-3.0381995721919837E-4</v>
      </c>
      <c r="U25" s="4">
        <v>5.6780254445246685</v>
      </c>
      <c r="Y25">
        <v>33.200000000000003</v>
      </c>
      <c r="Z25">
        <v>460</v>
      </c>
    </row>
    <row r="26" spans="1:27" x14ac:dyDescent="0.35">
      <c r="A26" t="s">
        <v>178</v>
      </c>
      <c r="B26" t="s">
        <v>119</v>
      </c>
      <c r="C26" t="s">
        <v>180</v>
      </c>
      <c r="D26" t="s">
        <v>11</v>
      </c>
      <c r="E26" t="str">
        <f t="shared" si="5"/>
        <v>L4DtoG6</v>
      </c>
      <c r="F26" t="s">
        <v>232</v>
      </c>
      <c r="G26">
        <v>-0.58399999999999996</v>
      </c>
      <c r="H26">
        <v>-2.778</v>
      </c>
      <c r="I26">
        <f t="shared" si="0"/>
        <v>-78.977681785457165</v>
      </c>
      <c r="J26">
        <v>1.7142066332307391</v>
      </c>
      <c r="K26">
        <v>0.39477172233073349</v>
      </c>
      <c r="L26">
        <f t="shared" si="1"/>
        <v>-76.970587169721</v>
      </c>
      <c r="M26">
        <v>19.308110691663</v>
      </c>
      <c r="N26">
        <v>4.4465445209103116</v>
      </c>
      <c r="O26">
        <f t="shared" si="2"/>
        <v>76.970587169721</v>
      </c>
      <c r="P26">
        <f t="shared" si="3"/>
        <v>-76.970587169721</v>
      </c>
      <c r="Q26">
        <v>-1.2509999999999999</v>
      </c>
      <c r="R26">
        <v>-4.0060000000000002</v>
      </c>
      <c r="S26">
        <f t="shared" si="4"/>
        <v>-68.771842236645043</v>
      </c>
      <c r="T26" s="4">
        <v>5.2555943113949413E-2</v>
      </c>
      <c r="U26" s="4">
        <v>11.192252581245134</v>
      </c>
      <c r="Y26">
        <v>42.8</v>
      </c>
      <c r="Z26">
        <v>570</v>
      </c>
    </row>
    <row r="27" spans="1:27" x14ac:dyDescent="0.35">
      <c r="A27" t="s">
        <v>186</v>
      </c>
      <c r="B27" t="s">
        <v>119</v>
      </c>
      <c r="C27" t="s">
        <v>127</v>
      </c>
      <c r="D27" t="s">
        <v>213</v>
      </c>
      <c r="E27" t="str">
        <f t="shared" si="5"/>
        <v>M1DtoA2</v>
      </c>
      <c r="F27" t="s">
        <v>232</v>
      </c>
      <c r="G27">
        <v>-0.38600000000000001</v>
      </c>
      <c r="H27">
        <v>-1.286</v>
      </c>
      <c r="I27">
        <f t="shared" si="0"/>
        <v>-69.984447900466563</v>
      </c>
      <c r="J27">
        <v>1.956815107127494</v>
      </c>
      <c r="K27">
        <v>0.59432397278471971</v>
      </c>
      <c r="L27">
        <f t="shared" si="1"/>
        <v>-69.627995480004373</v>
      </c>
      <c r="M27">
        <v>32.652644947362113</v>
      </c>
      <c r="N27">
        <v>9.9172627993109437</v>
      </c>
      <c r="O27">
        <f t="shared" si="2"/>
        <v>69.627995480004373</v>
      </c>
      <c r="P27">
        <f t="shared" si="3"/>
        <v>-69.627995480004373</v>
      </c>
      <c r="Q27">
        <v>-0.98699999999999988</v>
      </c>
      <c r="R27">
        <v>-2.3279999999999998</v>
      </c>
      <c r="S27">
        <f t="shared" si="4"/>
        <v>-57.603092783505161</v>
      </c>
      <c r="T27" s="4">
        <v>7.270459159014842E-3</v>
      </c>
      <c r="U27" s="4">
        <v>-1.1395887521660342</v>
      </c>
      <c r="Y27">
        <v>39.299999999999997</v>
      </c>
      <c r="Z27">
        <v>410</v>
      </c>
    </row>
    <row r="28" spans="1:27" x14ac:dyDescent="0.35">
      <c r="A28" t="s">
        <v>186</v>
      </c>
      <c r="B28" t="s">
        <v>119</v>
      </c>
      <c r="C28" t="s">
        <v>177</v>
      </c>
      <c r="D28" t="s">
        <v>213</v>
      </c>
      <c r="E28" t="str">
        <f t="shared" si="5"/>
        <v>M1DtoH3</v>
      </c>
      <c r="F28" t="s">
        <v>232</v>
      </c>
      <c r="G28">
        <v>-0.40600000000000003</v>
      </c>
      <c r="H28">
        <v>-1.365</v>
      </c>
      <c r="I28">
        <f t="shared" si="0"/>
        <v>-70.256410256410248</v>
      </c>
      <c r="J28">
        <v>3.522850408887602</v>
      </c>
      <c r="K28">
        <v>9.7789623918070265E-2</v>
      </c>
      <c r="L28">
        <f t="shared" si="1"/>
        <v>-97.224133512130905</v>
      </c>
      <c r="M28">
        <v>27.522755757189771</v>
      </c>
      <c r="N28">
        <v>0.76399495360189207</v>
      </c>
      <c r="O28">
        <f t="shared" si="2"/>
        <v>97.224133512130919</v>
      </c>
      <c r="P28">
        <f t="shared" si="3"/>
        <v>-97.224133512130919</v>
      </c>
      <c r="Q28">
        <v>-1.002</v>
      </c>
      <c r="R28">
        <v>-2.331</v>
      </c>
      <c r="S28">
        <f t="shared" si="4"/>
        <v>-57.014157014157021</v>
      </c>
      <c r="T28" s="5">
        <v>7.2080243801821205E-3</v>
      </c>
      <c r="U28" s="5">
        <v>-3.4554590911639607</v>
      </c>
      <c r="Y28">
        <v>65</v>
      </c>
      <c r="Z28">
        <v>575</v>
      </c>
    </row>
    <row r="29" spans="1:27" x14ac:dyDescent="0.35">
      <c r="A29" t="s">
        <v>114</v>
      </c>
      <c r="B29" t="s">
        <v>121</v>
      </c>
      <c r="C29" t="s">
        <v>122</v>
      </c>
      <c r="D29" t="s">
        <v>11</v>
      </c>
      <c r="E29" t="str">
        <f t="shared" si="5"/>
        <v>K1FsaB9</v>
      </c>
      <c r="F29" t="s">
        <v>233</v>
      </c>
      <c r="G29">
        <v>-0.38800000000000001</v>
      </c>
      <c r="H29">
        <v>-2.9209999999999998</v>
      </c>
      <c r="I29">
        <f t="shared" si="0"/>
        <v>-86.716877781581644</v>
      </c>
      <c r="J29">
        <v>0.9788772001612801</v>
      </c>
      <c r="K29">
        <v>0.4079600571523036</v>
      </c>
      <c r="L29">
        <f t="shared" si="1"/>
        <v>-58.323673583868555</v>
      </c>
      <c r="M29">
        <v>12.934074178276861</v>
      </c>
      <c r="N29">
        <v>5.390446973443237</v>
      </c>
      <c r="O29">
        <f t="shared" si="2"/>
        <v>58.323673583868541</v>
      </c>
      <c r="P29">
        <f t="shared" si="3"/>
        <v>-58.323673583868541</v>
      </c>
      <c r="Q29">
        <v>-0.36799999999999999</v>
      </c>
      <c r="R29">
        <v>-4.1229999999999993</v>
      </c>
      <c r="S29">
        <f t="shared" si="4"/>
        <v>-91.074460344409417</v>
      </c>
      <c r="T29" s="4">
        <v>7.3426554335497676E-2</v>
      </c>
      <c r="U29" s="4">
        <v>22.62647841477833</v>
      </c>
      <c r="V29">
        <v>0.64575000000000005</v>
      </c>
      <c r="X29">
        <v>36.363636363636367</v>
      </c>
      <c r="Y29">
        <v>12.1</v>
      </c>
      <c r="Z29">
        <v>290</v>
      </c>
    </row>
    <row r="30" spans="1:27" x14ac:dyDescent="0.35">
      <c r="A30" t="s">
        <v>114</v>
      </c>
      <c r="B30" t="s">
        <v>121</v>
      </c>
      <c r="C30" t="s">
        <v>123</v>
      </c>
      <c r="D30" t="s">
        <v>11</v>
      </c>
      <c r="E30" t="str">
        <f t="shared" si="5"/>
        <v>K1FsaH9</v>
      </c>
      <c r="F30" t="s">
        <v>233</v>
      </c>
      <c r="G30">
        <v>-0.56900000000000006</v>
      </c>
      <c r="H30">
        <v>-1.802</v>
      </c>
      <c r="I30">
        <f t="shared" si="0"/>
        <v>-68.423973362930084</v>
      </c>
      <c r="J30">
        <v>7.7964613866626051E-2</v>
      </c>
      <c r="K30">
        <v>6.9377355907597306E-3</v>
      </c>
      <c r="L30">
        <f t="shared" si="1"/>
        <v>-91.101430191614739</v>
      </c>
      <c r="M30">
        <v>2.9463376932403511</v>
      </c>
      <c r="N30">
        <v>0.26218191642376049</v>
      </c>
      <c r="O30">
        <f t="shared" si="2"/>
        <v>91.101430191614739</v>
      </c>
      <c r="P30">
        <f t="shared" si="3"/>
        <v>-91.101430191614739</v>
      </c>
      <c r="Q30">
        <v>-1.319</v>
      </c>
      <c r="R30">
        <v>-3.1560000000000001</v>
      </c>
      <c r="S30">
        <f t="shared" si="4"/>
        <v>-58.20659062103929</v>
      </c>
      <c r="T30" s="4">
        <v>1.6422015556633862E-2</v>
      </c>
      <c r="U30" s="4">
        <v>5.8988277579259005</v>
      </c>
      <c r="V30">
        <v>0.64575000000000005</v>
      </c>
      <c r="X30" s="7"/>
      <c r="Y30">
        <v>27</v>
      </c>
      <c r="Z30">
        <v>244</v>
      </c>
    </row>
    <row r="31" spans="1:27" x14ac:dyDescent="0.35">
      <c r="A31" t="s">
        <v>154</v>
      </c>
      <c r="B31" t="s">
        <v>121</v>
      </c>
      <c r="C31" t="s">
        <v>158</v>
      </c>
      <c r="D31" t="s">
        <v>213</v>
      </c>
      <c r="E31" t="str">
        <f t="shared" si="5"/>
        <v>K6FsaA10</v>
      </c>
      <c r="F31" t="s">
        <v>233</v>
      </c>
      <c r="G31">
        <v>-0.33400000000000002</v>
      </c>
      <c r="H31">
        <v>-2.6120000000000001</v>
      </c>
      <c r="I31">
        <f t="shared" si="0"/>
        <v>-87.212863705972438</v>
      </c>
      <c r="J31">
        <v>6.1737582683164796</v>
      </c>
      <c r="K31">
        <v>0.31377543846752781</v>
      </c>
      <c r="L31">
        <f t="shared" si="1"/>
        <v>-94.91759435937405</v>
      </c>
      <c r="M31">
        <v>103.2432815377008</v>
      </c>
      <c r="N31">
        <v>5.2472423644394377</v>
      </c>
      <c r="O31">
        <f t="shared" si="2"/>
        <v>94.91759435937405</v>
      </c>
      <c r="P31">
        <f t="shared" si="3"/>
        <v>-94.91759435937405</v>
      </c>
      <c r="Q31">
        <v>-1.163</v>
      </c>
      <c r="R31">
        <v>-3.1819999999999999</v>
      </c>
      <c r="S31">
        <f t="shared" si="4"/>
        <v>-63.450659962287872</v>
      </c>
      <c r="T31" s="15" t="s">
        <v>210</v>
      </c>
      <c r="U31" s="16" t="s">
        <v>210</v>
      </c>
      <c r="X31">
        <v>30.76923076923077</v>
      </c>
      <c r="Z31">
        <v>213</v>
      </c>
    </row>
    <row r="32" spans="1:27" x14ac:dyDescent="0.35">
      <c r="A32" t="s">
        <v>168</v>
      </c>
      <c r="B32" t="s">
        <v>121</v>
      </c>
      <c r="C32" t="s">
        <v>171</v>
      </c>
      <c r="D32" t="s">
        <v>213</v>
      </c>
      <c r="E32" t="str">
        <f t="shared" si="5"/>
        <v>L3FsaA7</v>
      </c>
      <c r="F32" t="s">
        <v>233</v>
      </c>
      <c r="G32">
        <v>-0.19800000000000001</v>
      </c>
      <c r="H32">
        <v>-1.657</v>
      </c>
      <c r="I32">
        <f t="shared" si="0"/>
        <v>-88.050694025347013</v>
      </c>
      <c r="J32">
        <v>0.60829008377087035</v>
      </c>
      <c r="K32">
        <v>3.5297560863956669E-2</v>
      </c>
      <c r="L32">
        <f t="shared" si="1"/>
        <v>-94.1972486802444</v>
      </c>
      <c r="M32">
        <v>13.62273514953624</v>
      </c>
      <c r="N32">
        <v>0.79049344367652485</v>
      </c>
      <c r="O32">
        <f t="shared" si="2"/>
        <v>94.1972486802444</v>
      </c>
      <c r="P32">
        <f t="shared" si="3"/>
        <v>-94.1972486802444</v>
      </c>
      <c r="Q32">
        <v>-1.212</v>
      </c>
      <c r="R32">
        <v>-2.9609999999999999</v>
      </c>
      <c r="S32">
        <f t="shared" si="4"/>
        <v>-59.067882472137789</v>
      </c>
      <c r="T32" s="4">
        <v>-3.1635481987767652E-2</v>
      </c>
      <c r="U32" s="13" t="s">
        <v>210</v>
      </c>
      <c r="Y32">
        <v>19</v>
      </c>
      <c r="Z32">
        <v>240</v>
      </c>
    </row>
    <row r="33" spans="1:26" x14ac:dyDescent="0.35">
      <c r="A33" t="s">
        <v>178</v>
      </c>
      <c r="B33" t="s">
        <v>121</v>
      </c>
      <c r="C33" t="s">
        <v>120</v>
      </c>
      <c r="D33" t="s">
        <v>11</v>
      </c>
      <c r="E33" t="str">
        <f t="shared" si="5"/>
        <v>L4FsaD10</v>
      </c>
      <c r="F33" t="s">
        <v>233</v>
      </c>
      <c r="G33">
        <v>-0.52300000000000002</v>
      </c>
      <c r="H33">
        <v>-3.5139999999999998</v>
      </c>
      <c r="I33">
        <f t="shared" si="0"/>
        <v>-85.116676152532719</v>
      </c>
      <c r="J33">
        <v>0.63323939738320612</v>
      </c>
      <c r="K33">
        <v>4.9820893235358659E-3</v>
      </c>
      <c r="L33">
        <f t="shared" si="1"/>
        <v>-99.213237624802915</v>
      </c>
      <c r="M33">
        <v>26.92180253217029</v>
      </c>
      <c r="N33">
        <v>0.21181061304797391</v>
      </c>
      <c r="O33">
        <f t="shared" si="2"/>
        <v>99.213237624802915</v>
      </c>
      <c r="P33">
        <f t="shared" si="3"/>
        <v>-99.213237624802915</v>
      </c>
      <c r="Q33">
        <v>-1.863</v>
      </c>
      <c r="R33">
        <v>-4.1079999999999997</v>
      </c>
      <c r="S33">
        <f t="shared" si="4"/>
        <v>-54.649464459591037</v>
      </c>
      <c r="T33" s="4">
        <v>3.3172988797831003E-2</v>
      </c>
      <c r="U33" s="4">
        <v>12.197872964961046</v>
      </c>
      <c r="Y33">
        <v>13.9</v>
      </c>
      <c r="Z33">
        <v>342</v>
      </c>
    </row>
    <row r="34" spans="1:26" x14ac:dyDescent="0.35">
      <c r="A34" t="s">
        <v>178</v>
      </c>
      <c r="B34" t="s">
        <v>121</v>
      </c>
      <c r="C34" t="s">
        <v>181</v>
      </c>
      <c r="D34" t="s">
        <v>11</v>
      </c>
      <c r="E34" t="str">
        <f t="shared" si="5"/>
        <v>L4FsaI1</v>
      </c>
      <c r="F34" t="s">
        <v>233</v>
      </c>
      <c r="G34">
        <v>-0.42499999999999999</v>
      </c>
      <c r="H34">
        <v>-2.258</v>
      </c>
      <c r="I34">
        <f t="shared" ref="I34:I65" si="6">-((H34-G34)/H34)*100</f>
        <v>-81.178033658104525</v>
      </c>
      <c r="J34">
        <v>1.491219107920412</v>
      </c>
      <c r="K34">
        <v>0.37878592974970587</v>
      </c>
      <c r="L34">
        <f t="shared" ref="L34:L65" si="7">-((J34-K34)/J34)*100</f>
        <v>-74.598908521367875</v>
      </c>
      <c r="M34">
        <v>39.825985851455329</v>
      </c>
      <c r="N34">
        <v>10.11623509839526</v>
      </c>
      <c r="O34">
        <f t="shared" ref="O34:O65" si="8">((M34-N34)/M34)*100</f>
        <v>74.598908521367875</v>
      </c>
      <c r="P34">
        <f t="shared" ref="P34:P65" si="9">-O34</f>
        <v>-74.598908521367875</v>
      </c>
      <c r="Q34">
        <v>-1.5349999999999999</v>
      </c>
      <c r="R34">
        <v>-3.4460000000000002</v>
      </c>
      <c r="S34">
        <f t="shared" ref="S34:S65" si="10">-((R34-Q34)/R34)*100</f>
        <v>-55.455600696459669</v>
      </c>
      <c r="T34" s="4">
        <v>3.4438033609287613E-2</v>
      </c>
      <c r="U34" s="13" t="s">
        <v>210</v>
      </c>
      <c r="Y34">
        <v>20.3</v>
      </c>
      <c r="Z34">
        <v>310</v>
      </c>
    </row>
    <row r="35" spans="1:26" x14ac:dyDescent="0.35">
      <c r="A35" t="s">
        <v>186</v>
      </c>
      <c r="B35" t="s">
        <v>121</v>
      </c>
      <c r="C35" t="s">
        <v>151</v>
      </c>
      <c r="D35" t="s">
        <v>213</v>
      </c>
      <c r="E35" t="str">
        <f t="shared" si="5"/>
        <v>M1FsaF3</v>
      </c>
      <c r="F35" t="s">
        <v>233</v>
      </c>
      <c r="G35">
        <v>-0.224</v>
      </c>
      <c r="H35">
        <v>-1.4279999999999999</v>
      </c>
      <c r="I35">
        <f t="shared" si="6"/>
        <v>-84.313725490196077</v>
      </c>
      <c r="J35">
        <v>1.149765246675428</v>
      </c>
      <c r="K35">
        <v>0.1469301659941914</v>
      </c>
      <c r="L35">
        <f t="shared" si="7"/>
        <v>-87.22085517725958</v>
      </c>
      <c r="M35">
        <v>26.076111450179489</v>
      </c>
      <c r="N35">
        <v>3.332304046357629</v>
      </c>
      <c r="O35">
        <f t="shared" si="8"/>
        <v>87.220855177259608</v>
      </c>
      <c r="P35">
        <f t="shared" si="9"/>
        <v>-87.220855177259608</v>
      </c>
      <c r="Q35">
        <v>-0.78499999999999992</v>
      </c>
      <c r="R35">
        <v>-2.7869999999999999</v>
      </c>
      <c r="S35">
        <f t="shared" si="10"/>
        <v>-71.833512737710791</v>
      </c>
      <c r="T35" s="4">
        <v>8.0747271782325696E-3</v>
      </c>
      <c r="U35" s="4">
        <v>17.219383337391154</v>
      </c>
      <c r="Y35">
        <v>65</v>
      </c>
      <c r="Z35">
        <v>575</v>
      </c>
    </row>
    <row r="36" spans="1:26" x14ac:dyDescent="0.35">
      <c r="A36" t="s">
        <v>186</v>
      </c>
      <c r="B36" t="s">
        <v>121</v>
      </c>
      <c r="C36" t="s">
        <v>188</v>
      </c>
      <c r="D36" t="s">
        <v>213</v>
      </c>
      <c r="E36" t="str">
        <f t="shared" si="5"/>
        <v>M1FsaH4</v>
      </c>
      <c r="F36" t="s">
        <v>233</v>
      </c>
      <c r="G36">
        <v>-0.27900000000000003</v>
      </c>
      <c r="H36">
        <v>-1.085</v>
      </c>
      <c r="I36">
        <f t="shared" si="6"/>
        <v>-74.285714285714278</v>
      </c>
      <c r="J36">
        <v>0.49320280976962871</v>
      </c>
      <c r="K36">
        <v>8.0852043483712527E-2</v>
      </c>
      <c r="L36">
        <f t="shared" si="7"/>
        <v>-83.606735022154893</v>
      </c>
      <c r="M36">
        <v>7.7026378455970361</v>
      </c>
      <c r="N36">
        <v>1.2627138323125009</v>
      </c>
      <c r="O36">
        <f t="shared" si="8"/>
        <v>83.606735022154908</v>
      </c>
      <c r="P36">
        <f t="shared" si="9"/>
        <v>-83.606735022154908</v>
      </c>
      <c r="Q36">
        <v>-0.23499999999999999</v>
      </c>
      <c r="R36">
        <v>-2.198</v>
      </c>
      <c r="S36">
        <f t="shared" si="10"/>
        <v>-89.308462238398548</v>
      </c>
      <c r="T36" s="6">
        <v>-1.7127437005219813E-2</v>
      </c>
      <c r="U36" s="6">
        <v>0.49401881407737724</v>
      </c>
      <c r="Y36">
        <v>12.9</v>
      </c>
      <c r="Z36">
        <v>270</v>
      </c>
    </row>
    <row r="37" spans="1:26" x14ac:dyDescent="0.35">
      <c r="A37" t="s">
        <v>114</v>
      </c>
      <c r="B37" t="s">
        <v>124</v>
      </c>
      <c r="C37" t="s">
        <v>125</v>
      </c>
      <c r="D37" t="s">
        <v>11</v>
      </c>
      <c r="E37" t="str">
        <f t="shared" si="5"/>
        <v>K1FthH1</v>
      </c>
      <c r="F37" t="s">
        <v>232</v>
      </c>
      <c r="G37">
        <v>-0.38200000000000001</v>
      </c>
      <c r="H37">
        <v>-0.79800000000000004</v>
      </c>
      <c r="I37">
        <f t="shared" si="6"/>
        <v>-52.130325814536334</v>
      </c>
      <c r="J37">
        <v>3.176365611250187</v>
      </c>
      <c r="K37">
        <v>0.1152897605917538</v>
      </c>
      <c r="L37">
        <f t="shared" si="7"/>
        <v>-96.370387584369524</v>
      </c>
      <c r="M37">
        <v>10.35196726664099</v>
      </c>
      <c r="N37">
        <v>0.3757362891720048</v>
      </c>
      <c r="O37">
        <f t="shared" si="8"/>
        <v>96.37038758436951</v>
      </c>
      <c r="P37">
        <f t="shared" si="9"/>
        <v>-96.37038758436951</v>
      </c>
      <c r="Q37">
        <v>-0.54600000000000004</v>
      </c>
      <c r="R37">
        <v>-0.8869999999999999</v>
      </c>
      <c r="S37">
        <f t="shared" si="10"/>
        <v>-38.44419391206312</v>
      </c>
      <c r="T37" s="4">
        <v>-8.0073224214642878E-3</v>
      </c>
      <c r="U37" s="4">
        <v>11.271428195052852</v>
      </c>
      <c r="V37">
        <v>0.432</v>
      </c>
      <c r="W37">
        <v>464</v>
      </c>
      <c r="X37">
        <v>20</v>
      </c>
      <c r="Y37">
        <v>128</v>
      </c>
      <c r="Z37">
        <v>930</v>
      </c>
    </row>
    <row r="38" spans="1:26" x14ac:dyDescent="0.35">
      <c r="A38" t="s">
        <v>143</v>
      </c>
      <c r="B38" t="s">
        <v>124</v>
      </c>
      <c r="C38" t="s">
        <v>148</v>
      </c>
      <c r="D38" t="s">
        <v>11</v>
      </c>
      <c r="E38" t="str">
        <f t="shared" si="5"/>
        <v>K5FthA4</v>
      </c>
      <c r="F38" t="s">
        <v>232</v>
      </c>
      <c r="G38">
        <v>-0.44600000000000001</v>
      </c>
      <c r="H38">
        <v>-1.167</v>
      </c>
      <c r="I38">
        <f t="shared" si="6"/>
        <v>-61.782347900599831</v>
      </c>
      <c r="J38">
        <v>4.0436775529246622</v>
      </c>
      <c r="K38">
        <v>0.2890736214261152</v>
      </c>
      <c r="L38">
        <f t="shared" si="7"/>
        <v>-92.851219771046345</v>
      </c>
      <c r="M38">
        <v>20.62122006098307</v>
      </c>
      <c r="N38">
        <v>0</v>
      </c>
      <c r="O38">
        <f t="shared" si="8"/>
        <v>100</v>
      </c>
      <c r="P38">
        <f t="shared" si="9"/>
        <v>-100</v>
      </c>
      <c r="Q38">
        <v>-0.43200000000000011</v>
      </c>
      <c r="R38">
        <v>-1.1060000000000001</v>
      </c>
      <c r="S38">
        <f t="shared" si="10"/>
        <v>-60.940325497287503</v>
      </c>
      <c r="T38" s="4">
        <v>3.1871140901128393E-2</v>
      </c>
      <c r="U38" s="4">
        <v>11.544189971327141</v>
      </c>
      <c r="Y38">
        <v>57.9</v>
      </c>
      <c r="Z38">
        <v>680</v>
      </c>
    </row>
    <row r="39" spans="1:26" x14ac:dyDescent="0.35">
      <c r="A39" t="s">
        <v>143</v>
      </c>
      <c r="B39" t="s">
        <v>124</v>
      </c>
      <c r="C39" t="s">
        <v>149</v>
      </c>
      <c r="D39" t="s">
        <v>11</v>
      </c>
      <c r="E39" t="str">
        <f t="shared" si="5"/>
        <v>K5FthC5</v>
      </c>
      <c r="F39" t="s">
        <v>232</v>
      </c>
      <c r="G39">
        <v>-0.501</v>
      </c>
      <c r="H39">
        <v>-1.024</v>
      </c>
      <c r="I39">
        <f t="shared" si="6"/>
        <v>-51.07421875</v>
      </c>
      <c r="J39">
        <v>1.967817987383653</v>
      </c>
      <c r="K39">
        <v>0.42044487815894332</v>
      </c>
      <c r="L39">
        <f t="shared" si="7"/>
        <v>-78.633954925986146</v>
      </c>
      <c r="M39">
        <v>10.8665103006454</v>
      </c>
      <c r="N39">
        <v>2.321743488808254</v>
      </c>
      <c r="O39">
        <f t="shared" si="8"/>
        <v>78.633954925986146</v>
      </c>
      <c r="P39">
        <f t="shared" si="9"/>
        <v>-78.633954925986146</v>
      </c>
      <c r="Q39">
        <v>-0.51600000000000001</v>
      </c>
      <c r="R39">
        <v>-0.99600000000000011</v>
      </c>
      <c r="S39">
        <f t="shared" si="10"/>
        <v>-48.192771084337352</v>
      </c>
      <c r="T39" s="4">
        <v>-2.71788186581967E-3</v>
      </c>
      <c r="U39" s="4">
        <v>12.107395297731269</v>
      </c>
      <c r="Y39">
        <v>86.4</v>
      </c>
      <c r="Z39">
        <v>632</v>
      </c>
    </row>
    <row r="40" spans="1:26" x14ac:dyDescent="0.35">
      <c r="A40" t="s">
        <v>154</v>
      </c>
      <c r="B40" t="s">
        <v>124</v>
      </c>
      <c r="C40" t="s">
        <v>159</v>
      </c>
      <c r="D40" t="s">
        <v>213</v>
      </c>
      <c r="E40" t="str">
        <f t="shared" si="5"/>
        <v>K6FthE10</v>
      </c>
      <c r="F40" t="s">
        <v>232</v>
      </c>
      <c r="G40">
        <v>-0.36199999999999999</v>
      </c>
      <c r="H40">
        <v>-1.121</v>
      </c>
      <c r="I40">
        <f t="shared" si="6"/>
        <v>-67.707404103479035</v>
      </c>
      <c r="J40">
        <v>4.0989215117996043</v>
      </c>
      <c r="K40">
        <v>0.27979835788985058</v>
      </c>
      <c r="L40">
        <f t="shared" si="7"/>
        <v>-93.173854217886515</v>
      </c>
      <c r="M40">
        <v>5.3960330721106349</v>
      </c>
      <c r="N40">
        <v>0.36834108395332821</v>
      </c>
      <c r="O40">
        <f t="shared" si="8"/>
        <v>93.173854217886529</v>
      </c>
      <c r="P40">
        <f t="shared" si="9"/>
        <v>-93.173854217886529</v>
      </c>
      <c r="Q40">
        <v>-0.53899999999999992</v>
      </c>
      <c r="R40">
        <v>-1.423</v>
      </c>
      <c r="S40">
        <f t="shared" si="10"/>
        <v>-62.122276879831354</v>
      </c>
      <c r="T40" s="4">
        <v>2.6553910264433728E-2</v>
      </c>
      <c r="U40" s="4">
        <v>2.5855612671072654</v>
      </c>
      <c r="X40">
        <v>20</v>
      </c>
      <c r="Y40">
        <v>147.1</v>
      </c>
      <c r="Z40">
        <v>921</v>
      </c>
    </row>
    <row r="41" spans="1:26" x14ac:dyDescent="0.35">
      <c r="A41" t="s">
        <v>154</v>
      </c>
      <c r="B41" t="s">
        <v>124</v>
      </c>
      <c r="C41" t="s">
        <v>160</v>
      </c>
      <c r="D41" t="s">
        <v>213</v>
      </c>
      <c r="E41" t="str">
        <f t="shared" si="5"/>
        <v>K6FthH10</v>
      </c>
      <c r="F41" t="s">
        <v>232</v>
      </c>
      <c r="G41">
        <v>-0.495</v>
      </c>
      <c r="H41">
        <v>-0.84499999999999997</v>
      </c>
      <c r="I41">
        <f t="shared" si="6"/>
        <v>-41.42011834319527</v>
      </c>
      <c r="J41">
        <v>5.7923858499681211</v>
      </c>
      <c r="K41">
        <v>0.67583353531354851</v>
      </c>
      <c r="L41">
        <f t="shared" si="7"/>
        <v>-88.332380597240984</v>
      </c>
      <c r="M41">
        <v>11.475985834958729</v>
      </c>
      <c r="N41">
        <v>5.1642983160038476</v>
      </c>
      <c r="O41">
        <f t="shared" si="8"/>
        <v>54.999087744844545</v>
      </c>
      <c r="P41">
        <f t="shared" si="9"/>
        <v>-54.999087744844545</v>
      </c>
      <c r="Q41">
        <v>-0.53800000000000003</v>
      </c>
      <c r="R41">
        <v>-1.4039999999999999</v>
      </c>
      <c r="S41">
        <f t="shared" si="10"/>
        <v>-61.680911680911677</v>
      </c>
      <c r="T41" s="4">
        <v>-2.6588215171258471E-2</v>
      </c>
      <c r="U41" s="4">
        <v>18.52184834971148</v>
      </c>
      <c r="Y41">
        <v>64.8</v>
      </c>
      <c r="Z41">
        <v>512</v>
      </c>
    </row>
    <row r="42" spans="1:26" x14ac:dyDescent="0.35">
      <c r="A42" t="s">
        <v>168</v>
      </c>
      <c r="B42" t="s">
        <v>124</v>
      </c>
      <c r="C42" t="s">
        <v>172</v>
      </c>
      <c r="D42" t="s">
        <v>213</v>
      </c>
      <c r="E42" t="str">
        <f t="shared" si="5"/>
        <v>L3FthC7</v>
      </c>
      <c r="F42" t="s">
        <v>232</v>
      </c>
      <c r="G42">
        <v>-0.20499999999999999</v>
      </c>
      <c r="H42">
        <v>-0.64500000000000002</v>
      </c>
      <c r="I42">
        <f t="shared" si="6"/>
        <v>-68.217054263565899</v>
      </c>
      <c r="J42">
        <v>12.511969058955611</v>
      </c>
      <c r="K42">
        <v>0.1497974193724432</v>
      </c>
      <c r="L42">
        <f t="shared" si="7"/>
        <v>-98.802767025185176</v>
      </c>
      <c r="M42">
        <v>20.488909055179601</v>
      </c>
      <c r="N42">
        <v>0.2452999753884284</v>
      </c>
      <c r="O42">
        <f t="shared" si="8"/>
        <v>98.80276702518519</v>
      </c>
      <c r="P42">
        <f t="shared" si="9"/>
        <v>-98.80276702518519</v>
      </c>
      <c r="Q42">
        <v>-0.57400000000000007</v>
      </c>
      <c r="R42">
        <v>-1.2450000000000001</v>
      </c>
      <c r="S42">
        <f t="shared" si="10"/>
        <v>-53.895582329317271</v>
      </c>
      <c r="T42" s="4">
        <v>2.5855207846560761E-2</v>
      </c>
      <c r="U42" s="4">
        <v>12.9758822515494</v>
      </c>
      <c r="Y42">
        <v>126.2</v>
      </c>
      <c r="Z42">
        <v>887</v>
      </c>
    </row>
    <row r="43" spans="1:26" x14ac:dyDescent="0.35">
      <c r="A43" t="s">
        <v>178</v>
      </c>
      <c r="B43" t="s">
        <v>124</v>
      </c>
      <c r="C43" t="s">
        <v>172</v>
      </c>
      <c r="D43" t="s">
        <v>11</v>
      </c>
      <c r="E43" t="str">
        <f t="shared" si="5"/>
        <v>L4FthC7</v>
      </c>
      <c r="F43" t="s">
        <v>232</v>
      </c>
      <c r="G43">
        <v>-0.26300000000000001</v>
      </c>
      <c r="H43">
        <v>-1.256</v>
      </c>
      <c r="I43">
        <f t="shared" si="6"/>
        <v>-79.060509554140125</v>
      </c>
      <c r="J43">
        <v>2.0167536579531822</v>
      </c>
      <c r="K43">
        <v>0.21600668724968219</v>
      </c>
      <c r="L43">
        <f t="shared" si="7"/>
        <v>-89.289386614084094</v>
      </c>
      <c r="M43">
        <v>10.247738008281299</v>
      </c>
      <c r="N43">
        <v>1.0975955988685691</v>
      </c>
      <c r="O43">
        <f t="shared" si="8"/>
        <v>89.289386614084094</v>
      </c>
      <c r="P43">
        <f t="shared" si="9"/>
        <v>-89.289386614084094</v>
      </c>
      <c r="Q43">
        <v>-0.57499999999999996</v>
      </c>
      <c r="R43">
        <v>-1.153</v>
      </c>
      <c r="S43">
        <f t="shared" si="10"/>
        <v>-50.130095403295762</v>
      </c>
      <c r="T43" s="4">
        <v>-1.1051191027452584E-2</v>
      </c>
      <c r="U43" s="4">
        <v>8.7929010568314698</v>
      </c>
      <c r="Y43">
        <v>55</v>
      </c>
      <c r="Z43">
        <v>715</v>
      </c>
    </row>
    <row r="44" spans="1:26" x14ac:dyDescent="0.35">
      <c r="A44" t="s">
        <v>186</v>
      </c>
      <c r="B44" t="s">
        <v>124</v>
      </c>
      <c r="C44" t="s">
        <v>189</v>
      </c>
      <c r="D44" t="s">
        <v>213</v>
      </c>
      <c r="E44" t="str">
        <f t="shared" si="5"/>
        <v>M1FthD8</v>
      </c>
      <c r="F44" t="s">
        <v>232</v>
      </c>
      <c r="G44">
        <v>-0.32300000000000001</v>
      </c>
      <c r="H44">
        <v>-0.86499999999999999</v>
      </c>
      <c r="I44">
        <f t="shared" si="6"/>
        <v>-62.658959537572258</v>
      </c>
      <c r="J44">
        <v>2.802496342558368</v>
      </c>
      <c r="K44">
        <v>0.15629456761015581</v>
      </c>
      <c r="L44">
        <f t="shared" si="7"/>
        <v>-94.423023315438968</v>
      </c>
      <c r="M44">
        <v>13.954611422900451</v>
      </c>
      <c r="N44">
        <v>0.77824542547624798</v>
      </c>
      <c r="O44">
        <f t="shared" si="8"/>
        <v>94.423023315438968</v>
      </c>
      <c r="P44">
        <f t="shared" si="9"/>
        <v>-94.423023315438968</v>
      </c>
      <c r="Q44">
        <v>-0.251</v>
      </c>
      <c r="R44">
        <v>-1.008</v>
      </c>
      <c r="S44">
        <f t="shared" si="10"/>
        <v>-75.099206349206355</v>
      </c>
      <c r="T44" s="4">
        <v>8.7332741322144504E-3</v>
      </c>
      <c r="U44" s="4">
        <v>-3.3283370322391583</v>
      </c>
      <c r="Y44">
        <v>85</v>
      </c>
      <c r="Z44">
        <v>767</v>
      </c>
    </row>
    <row r="45" spans="1:26" x14ac:dyDescent="0.35">
      <c r="A45" t="s">
        <v>114</v>
      </c>
      <c r="B45" t="s">
        <v>126</v>
      </c>
      <c r="C45" t="s">
        <v>127</v>
      </c>
      <c r="D45" t="s">
        <v>11</v>
      </c>
      <c r="E45" t="str">
        <f t="shared" si="5"/>
        <v>K1HmaA2</v>
      </c>
      <c r="F45" t="s">
        <v>232</v>
      </c>
      <c r="G45">
        <v>-0.49099999999999999</v>
      </c>
      <c r="H45">
        <v>-1.024</v>
      </c>
      <c r="I45">
        <f t="shared" si="6"/>
        <v>-52.05078125</v>
      </c>
      <c r="J45">
        <v>2.30722262122611</v>
      </c>
      <c r="K45">
        <v>0.52049120876948429</v>
      </c>
      <c r="L45">
        <f t="shared" si="7"/>
        <v>-77.440789459108046</v>
      </c>
      <c r="M45">
        <v>14.4756298555781</v>
      </c>
      <c r="N45">
        <v>3.2655878162400769</v>
      </c>
      <c r="O45">
        <f t="shared" si="8"/>
        <v>77.440789459108046</v>
      </c>
      <c r="P45">
        <f t="shared" si="9"/>
        <v>-77.440789459108046</v>
      </c>
      <c r="Q45">
        <v>-0.78300000000000003</v>
      </c>
      <c r="R45">
        <v>-1.665</v>
      </c>
      <c r="S45">
        <f t="shared" si="10"/>
        <v>-52.972972972972975</v>
      </c>
      <c r="T45" s="4">
        <v>4.5968748054476261E-2</v>
      </c>
      <c r="U45" s="4" t="s">
        <v>210</v>
      </c>
      <c r="V45">
        <v>0.46899999999999997</v>
      </c>
      <c r="W45">
        <v>564.6</v>
      </c>
      <c r="X45">
        <v>86.666666666666671</v>
      </c>
      <c r="Y45">
        <v>56.6</v>
      </c>
      <c r="Z45">
        <v>445</v>
      </c>
    </row>
    <row r="46" spans="1:26" x14ac:dyDescent="0.35">
      <c r="A46" t="s">
        <v>114</v>
      </c>
      <c r="B46" t="s">
        <v>126</v>
      </c>
      <c r="C46" t="s">
        <v>128</v>
      </c>
      <c r="D46" t="s">
        <v>11</v>
      </c>
      <c r="E46" t="str">
        <f t="shared" si="5"/>
        <v>K1HmaA6</v>
      </c>
      <c r="F46" t="s">
        <v>232</v>
      </c>
      <c r="G46">
        <v>-0.36499999999999999</v>
      </c>
      <c r="H46">
        <v>-2.7229999999999999</v>
      </c>
      <c r="I46">
        <f t="shared" si="6"/>
        <v>-86.595666544252651</v>
      </c>
      <c r="J46">
        <v>5.3003811857272582</v>
      </c>
      <c r="K46">
        <v>0.18159684848108579</v>
      </c>
      <c r="L46">
        <f t="shared" si="7"/>
        <v>-96.573890780344513</v>
      </c>
      <c r="M46">
        <v>26.644711644573761</v>
      </c>
      <c r="N46">
        <v>0.91287692220535777</v>
      </c>
      <c r="O46">
        <f t="shared" si="8"/>
        <v>96.573890780344527</v>
      </c>
      <c r="P46">
        <f t="shared" si="9"/>
        <v>-96.573890780344527</v>
      </c>
      <c r="Q46">
        <v>-0.80399999999999994</v>
      </c>
      <c r="R46">
        <v>-2.984</v>
      </c>
      <c r="S46">
        <f t="shared" si="10"/>
        <v>-73.056300268096521</v>
      </c>
      <c r="T46" s="4">
        <v>4.3850573576126081E-2</v>
      </c>
      <c r="U46" s="4">
        <v>-5.4228336277165878</v>
      </c>
      <c r="X46" s="7"/>
      <c r="Y46">
        <v>74.8</v>
      </c>
      <c r="Z46">
        <v>670</v>
      </c>
    </row>
    <row r="47" spans="1:26" x14ac:dyDescent="0.35">
      <c r="A47" t="s">
        <v>114</v>
      </c>
      <c r="B47" t="s">
        <v>126</v>
      </c>
      <c r="C47" t="s">
        <v>129</v>
      </c>
      <c r="D47" t="s">
        <v>11</v>
      </c>
      <c r="E47" t="str">
        <f t="shared" si="5"/>
        <v>K1HmaD9</v>
      </c>
      <c r="F47" t="s">
        <v>232</v>
      </c>
      <c r="G47">
        <v>-0.312</v>
      </c>
      <c r="H47">
        <v>-2.5190000000000001</v>
      </c>
      <c r="I47">
        <f t="shared" si="6"/>
        <v>-87.614132592298546</v>
      </c>
      <c r="J47">
        <v>4.2474109828588897</v>
      </c>
      <c r="K47">
        <v>8.6578306871345115E-2</v>
      </c>
      <c r="L47">
        <f t="shared" si="7"/>
        <v>-97.961621627369084</v>
      </c>
      <c r="M47">
        <v>26.366848568268061</v>
      </c>
      <c r="N47">
        <v>0.53745613875991594</v>
      </c>
      <c r="O47">
        <f t="shared" si="8"/>
        <v>97.961621627369112</v>
      </c>
      <c r="P47">
        <f t="shared" si="9"/>
        <v>-97.961621627369112</v>
      </c>
      <c r="Q47">
        <v>-0.753</v>
      </c>
      <c r="R47">
        <v>-2.8340000000000001</v>
      </c>
      <c r="S47">
        <f t="shared" si="10"/>
        <v>-73.429781227946364</v>
      </c>
      <c r="T47" s="4">
        <v>0</v>
      </c>
      <c r="U47" s="4">
        <v>0</v>
      </c>
      <c r="X47" s="7"/>
      <c r="Y47">
        <v>70.599999999999994</v>
      </c>
      <c r="Z47">
        <v>700</v>
      </c>
    </row>
    <row r="48" spans="1:26" x14ac:dyDescent="0.35">
      <c r="A48" t="s">
        <v>143</v>
      </c>
      <c r="B48" t="s">
        <v>126</v>
      </c>
      <c r="C48" t="s">
        <v>128</v>
      </c>
      <c r="D48" t="s">
        <v>11</v>
      </c>
      <c r="E48" t="str">
        <f t="shared" si="5"/>
        <v>K5HmaA6</v>
      </c>
      <c r="F48" t="s">
        <v>232</v>
      </c>
      <c r="G48">
        <v>-0.80800000000000005</v>
      </c>
      <c r="H48">
        <v>-3.0230000000000001</v>
      </c>
      <c r="I48">
        <f t="shared" si="6"/>
        <v>-73.271584518690034</v>
      </c>
      <c r="J48">
        <v>0.64797611640613428</v>
      </c>
      <c r="K48">
        <v>3.6874065060937267E-2</v>
      </c>
      <c r="L48">
        <f t="shared" si="7"/>
        <v>-94.309348118345525</v>
      </c>
      <c r="M48">
        <v>9.9726279733713348</v>
      </c>
      <c r="N48">
        <v>0.56750754141705617</v>
      </c>
      <c r="O48">
        <f t="shared" si="8"/>
        <v>94.309348118345525</v>
      </c>
      <c r="P48">
        <f t="shared" si="9"/>
        <v>-94.309348118345525</v>
      </c>
      <c r="Q48">
        <v>-1.3480000000000001</v>
      </c>
      <c r="R48">
        <v>-3.3650000000000002</v>
      </c>
      <c r="S48">
        <f t="shared" si="10"/>
        <v>-59.940564635958403</v>
      </c>
      <c r="T48" s="4">
        <v>0</v>
      </c>
      <c r="U48" s="4">
        <v>0</v>
      </c>
      <c r="Y48">
        <v>33.4</v>
      </c>
      <c r="Z48">
        <v>340</v>
      </c>
    </row>
    <row r="49" spans="1:26" x14ac:dyDescent="0.35">
      <c r="A49" t="s">
        <v>154</v>
      </c>
      <c r="B49" t="s">
        <v>126</v>
      </c>
      <c r="C49" t="s">
        <v>161</v>
      </c>
      <c r="D49" t="s">
        <v>213</v>
      </c>
      <c r="E49" t="str">
        <f t="shared" si="5"/>
        <v>K6HmaC8</v>
      </c>
      <c r="F49" t="s">
        <v>232</v>
      </c>
      <c r="G49">
        <v>-0.24399999999999999</v>
      </c>
      <c r="H49">
        <v>-2.0870000000000002</v>
      </c>
      <c r="I49">
        <f t="shared" si="6"/>
        <v>-88.308576904647822</v>
      </c>
      <c r="J49">
        <v>3.4290989184335139</v>
      </c>
      <c r="K49">
        <v>1.410958330849305</v>
      </c>
      <c r="L49">
        <f t="shared" si="7"/>
        <v>-58.853379140959241</v>
      </c>
      <c r="M49">
        <v>28.719782228700641</v>
      </c>
      <c r="N49">
        <v>11.81721990518562</v>
      </c>
      <c r="O49">
        <f t="shared" si="8"/>
        <v>58.853379140959241</v>
      </c>
      <c r="P49">
        <f t="shared" si="9"/>
        <v>-58.853379140959241</v>
      </c>
      <c r="Q49">
        <v>-0.84499999999999997</v>
      </c>
      <c r="R49">
        <v>-2.3279999999999998</v>
      </c>
      <c r="S49">
        <f t="shared" si="10"/>
        <v>-63.702749140893467</v>
      </c>
      <c r="T49" s="4">
        <v>1.4204493949391642E-2</v>
      </c>
      <c r="U49" s="4">
        <v>0.86557306903636777</v>
      </c>
      <c r="Y49">
        <v>61</v>
      </c>
      <c r="Z49">
        <v>534</v>
      </c>
    </row>
    <row r="50" spans="1:26" x14ac:dyDescent="0.35">
      <c r="A50" t="s">
        <v>168</v>
      </c>
      <c r="B50" t="s">
        <v>126</v>
      </c>
      <c r="C50" t="s">
        <v>173</v>
      </c>
      <c r="D50" t="s">
        <v>213</v>
      </c>
      <c r="E50" t="str">
        <f t="shared" si="5"/>
        <v>L3HmaE8</v>
      </c>
      <c r="F50" t="s">
        <v>232</v>
      </c>
      <c r="G50">
        <v>-0.104</v>
      </c>
      <c r="H50">
        <v>-1.4339999999999999</v>
      </c>
      <c r="I50">
        <f t="shared" si="6"/>
        <v>-92.747559274755915</v>
      </c>
      <c r="J50">
        <v>2.7113063329273839</v>
      </c>
      <c r="K50">
        <v>3.4354065252964062E-2</v>
      </c>
      <c r="L50">
        <f t="shared" si="7"/>
        <v>-98.732933094436731</v>
      </c>
      <c r="M50">
        <v>29.581417035926691</v>
      </c>
      <c r="N50">
        <v>0.3748163454588832</v>
      </c>
      <c r="O50">
        <f t="shared" si="8"/>
        <v>98.732933094436731</v>
      </c>
      <c r="P50">
        <f t="shared" si="9"/>
        <v>-98.732933094436731</v>
      </c>
      <c r="Q50">
        <v>-0.92500000000000004</v>
      </c>
      <c r="R50">
        <v>-2.0449999999999999</v>
      </c>
      <c r="S50">
        <f t="shared" si="10"/>
        <v>-54.76772616136919</v>
      </c>
      <c r="T50" s="4">
        <v>7.0690259557514073E-3</v>
      </c>
      <c r="U50" s="4">
        <v>6.4077348836481818</v>
      </c>
      <c r="Y50">
        <v>49.4</v>
      </c>
      <c r="Z50">
        <v>546</v>
      </c>
    </row>
    <row r="51" spans="1:26" x14ac:dyDescent="0.35">
      <c r="A51" t="s">
        <v>168</v>
      </c>
      <c r="B51" t="s">
        <v>126</v>
      </c>
      <c r="C51" t="s">
        <v>174</v>
      </c>
      <c r="D51" t="s">
        <v>213</v>
      </c>
      <c r="E51" t="str">
        <f t="shared" si="5"/>
        <v>L3HmaJ9</v>
      </c>
      <c r="F51" t="s">
        <v>232</v>
      </c>
      <c r="G51">
        <v>-0.20200000000000001</v>
      </c>
      <c r="H51">
        <v>-1.756</v>
      </c>
      <c r="I51">
        <f t="shared" si="6"/>
        <v>-88.496583143507976</v>
      </c>
      <c r="J51">
        <v>2.5015652215413162</v>
      </c>
      <c r="K51">
        <v>3.3204945957181847E-2</v>
      </c>
      <c r="L51">
        <f t="shared" si="7"/>
        <v>-98.6726332109493</v>
      </c>
      <c r="M51">
        <v>24.22406719529442</v>
      </c>
      <c r="N51">
        <v>0.32154222290766221</v>
      </c>
      <c r="O51">
        <f t="shared" si="8"/>
        <v>98.6726332109493</v>
      </c>
      <c r="P51">
        <f t="shared" si="9"/>
        <v>-98.6726332109493</v>
      </c>
      <c r="Q51">
        <v>-0.92799999999999994</v>
      </c>
      <c r="R51">
        <v>-2.3610000000000002</v>
      </c>
      <c r="S51">
        <f t="shared" si="10"/>
        <v>-60.694620923337574</v>
      </c>
      <c r="T51" s="4">
        <v>5.0871136718230486E-2</v>
      </c>
      <c r="U51" s="4">
        <v>-2.0614357055983081</v>
      </c>
      <c r="Y51">
        <v>45.3</v>
      </c>
      <c r="Z51">
        <v>410</v>
      </c>
    </row>
    <row r="52" spans="1:26" x14ac:dyDescent="0.35">
      <c r="A52" t="s">
        <v>186</v>
      </c>
      <c r="B52" t="s">
        <v>126</v>
      </c>
      <c r="C52" t="s">
        <v>152</v>
      </c>
      <c r="D52" t="s">
        <v>213</v>
      </c>
      <c r="E52" t="str">
        <f t="shared" si="5"/>
        <v>M1HmaJ1</v>
      </c>
      <c r="F52" t="s">
        <v>232</v>
      </c>
      <c r="G52">
        <v>-0.21199999999999999</v>
      </c>
      <c r="H52">
        <v>-1.395</v>
      </c>
      <c r="I52">
        <f t="shared" si="6"/>
        <v>-84.802867383512549</v>
      </c>
      <c r="J52">
        <v>9.1891743264082937</v>
      </c>
      <c r="K52">
        <v>0.1021739785356631</v>
      </c>
      <c r="L52">
        <f t="shared" si="7"/>
        <v>-98.88810490576904</v>
      </c>
      <c r="M52">
        <v>65.237142648505269</v>
      </c>
      <c r="N52">
        <v>0.72536858872517229</v>
      </c>
      <c r="O52">
        <f t="shared" si="8"/>
        <v>98.888104905769055</v>
      </c>
      <c r="P52">
        <f t="shared" si="9"/>
        <v>-98.888104905769055</v>
      </c>
      <c r="Q52">
        <v>-0.81899999999999995</v>
      </c>
      <c r="R52">
        <v>-1.5229999999999999</v>
      </c>
      <c r="S52">
        <f t="shared" si="10"/>
        <v>-46.224556795797767</v>
      </c>
      <c r="T52" s="4">
        <v>-7.4883720506258869E-2</v>
      </c>
      <c r="U52" s="4">
        <v>9.0798782696057145</v>
      </c>
      <c r="Y52">
        <v>59.2</v>
      </c>
      <c r="Z52">
        <v>370</v>
      </c>
    </row>
    <row r="53" spans="1:26" x14ac:dyDescent="0.35">
      <c r="A53" t="s">
        <v>114</v>
      </c>
      <c r="B53" t="s">
        <v>132</v>
      </c>
      <c r="C53" t="s">
        <v>133</v>
      </c>
      <c r="D53" t="s">
        <v>11</v>
      </c>
      <c r="E53" t="str">
        <f t="shared" si="5"/>
        <v>K1MluD7</v>
      </c>
      <c r="F53" t="s">
        <v>233</v>
      </c>
      <c r="G53">
        <v>-0.46899999999999997</v>
      </c>
      <c r="H53">
        <v>-1.8260000000000001</v>
      </c>
      <c r="I53">
        <f t="shared" si="6"/>
        <v>-74.315443592552029</v>
      </c>
      <c r="J53">
        <v>9.4588525743775094</v>
      </c>
      <c r="K53">
        <v>2.8140336780000141</v>
      </c>
      <c r="L53">
        <f t="shared" si="7"/>
        <v>-70.249735304863805</v>
      </c>
      <c r="M53">
        <v>19.355963453958449</v>
      </c>
      <c r="N53">
        <v>5.7584503618464664</v>
      </c>
      <c r="O53">
        <f t="shared" si="8"/>
        <v>70.24973530486379</v>
      </c>
      <c r="P53">
        <f t="shared" si="9"/>
        <v>-70.24973530486379</v>
      </c>
      <c r="Q53">
        <v>-0.88400000000000001</v>
      </c>
      <c r="R53">
        <v>-2.7240000000000002</v>
      </c>
      <c r="S53">
        <f t="shared" si="10"/>
        <v>-67.547723935389143</v>
      </c>
      <c r="T53" s="4">
        <v>-4.1067369666072644E-3</v>
      </c>
      <c r="U53" s="4">
        <v>9.2367923053650234</v>
      </c>
      <c r="V53">
        <v>0.47399999999999998</v>
      </c>
      <c r="W53">
        <v>621</v>
      </c>
      <c r="X53">
        <v>20</v>
      </c>
      <c r="Y53">
        <v>136.30000000000001</v>
      </c>
      <c r="Z53">
        <v>832</v>
      </c>
    </row>
    <row r="54" spans="1:26" x14ac:dyDescent="0.35">
      <c r="A54" t="s">
        <v>143</v>
      </c>
      <c r="B54" t="s">
        <v>132</v>
      </c>
      <c r="C54" t="s">
        <v>135</v>
      </c>
      <c r="D54" t="s">
        <v>11</v>
      </c>
      <c r="E54" t="str">
        <f t="shared" si="5"/>
        <v>K5MluF9</v>
      </c>
      <c r="F54" t="s">
        <v>233</v>
      </c>
      <c r="G54">
        <v>-0.34399999999999997</v>
      </c>
      <c r="H54">
        <v>-1.9650000000000001</v>
      </c>
      <c r="I54">
        <f t="shared" si="6"/>
        <v>-82.493638676844782</v>
      </c>
      <c r="J54">
        <v>30.202733901519629</v>
      </c>
      <c r="K54">
        <v>8.6483896720506284</v>
      </c>
      <c r="L54">
        <f t="shared" si="7"/>
        <v>-71.365540284366475</v>
      </c>
      <c r="M54">
        <v>77.740690913819378</v>
      </c>
      <c r="N54">
        <v>22.260626822372782</v>
      </c>
      <c r="O54">
        <f t="shared" si="8"/>
        <v>71.365540284366475</v>
      </c>
      <c r="P54">
        <f t="shared" si="9"/>
        <v>-71.365540284366475</v>
      </c>
      <c r="Q54">
        <v>-1.1639999999999999</v>
      </c>
      <c r="R54">
        <v>-2.5030000000000001</v>
      </c>
      <c r="S54">
        <f t="shared" si="10"/>
        <v>-53.495805033959257</v>
      </c>
      <c r="T54" s="4">
        <v>1.5858697825917468E-2</v>
      </c>
      <c r="U54" s="4">
        <v>14.788150720037246</v>
      </c>
      <c r="Y54">
        <v>99.7</v>
      </c>
      <c r="Z54">
        <v>730</v>
      </c>
    </row>
    <row r="55" spans="1:26" x14ac:dyDescent="0.35">
      <c r="A55" t="s">
        <v>154</v>
      </c>
      <c r="B55" t="s">
        <v>132</v>
      </c>
      <c r="C55" t="s">
        <v>163</v>
      </c>
      <c r="D55" t="s">
        <v>213</v>
      </c>
      <c r="E55" t="str">
        <f t="shared" si="5"/>
        <v>K6MluI8</v>
      </c>
      <c r="F55" t="s">
        <v>233</v>
      </c>
      <c r="G55">
        <v>-0.28499999999999998</v>
      </c>
      <c r="H55">
        <v>-1.7210000000000001</v>
      </c>
      <c r="I55">
        <f t="shared" si="6"/>
        <v>-83.439860546194083</v>
      </c>
      <c r="J55">
        <v>15.20080983568598</v>
      </c>
      <c r="K55">
        <v>3.3997789948676278</v>
      </c>
      <c r="L55">
        <f t="shared" si="7"/>
        <v>-77.634224547127872</v>
      </c>
      <c r="M55">
        <v>37.63530219179399</v>
      </c>
      <c r="N55">
        <v>8.4174271792265127</v>
      </c>
      <c r="O55">
        <f t="shared" si="8"/>
        <v>77.634224547127843</v>
      </c>
      <c r="P55">
        <f t="shared" si="9"/>
        <v>-77.634224547127843</v>
      </c>
      <c r="Q55">
        <v>-1.268</v>
      </c>
      <c r="R55">
        <v>-2.6509999999999998</v>
      </c>
      <c r="S55">
        <f t="shared" si="10"/>
        <v>-52.168992832893245</v>
      </c>
      <c r="T55" s="4">
        <v>2.5562690103455334E-3</v>
      </c>
      <c r="U55" s="4">
        <v>21.026889887404813</v>
      </c>
      <c r="X55">
        <v>33.333333333333329</v>
      </c>
      <c r="Y55">
        <v>75.3</v>
      </c>
      <c r="Z55">
        <v>736</v>
      </c>
    </row>
    <row r="56" spans="1:26" x14ac:dyDescent="0.35">
      <c r="A56" t="s">
        <v>168</v>
      </c>
      <c r="B56" t="s">
        <v>132</v>
      </c>
      <c r="C56" t="s">
        <v>146</v>
      </c>
      <c r="D56" t="s">
        <v>213</v>
      </c>
      <c r="E56" t="str">
        <f t="shared" si="5"/>
        <v>L3MluB10</v>
      </c>
      <c r="F56" t="s">
        <v>233</v>
      </c>
      <c r="G56">
        <v>-0.14199999999999999</v>
      </c>
      <c r="H56">
        <v>-1.173</v>
      </c>
      <c r="I56">
        <f t="shared" si="6"/>
        <v>-87.894288150042627</v>
      </c>
      <c r="J56">
        <v>21.62371089986884</v>
      </c>
      <c r="K56">
        <v>6.9924418412804474</v>
      </c>
      <c r="L56">
        <f t="shared" si="7"/>
        <v>-67.66308117205331</v>
      </c>
      <c r="M56">
        <v>60.030254564193108</v>
      </c>
      <c r="N56">
        <v>19.41193469063289</v>
      </c>
      <c r="O56">
        <f t="shared" si="8"/>
        <v>67.66308117205331</v>
      </c>
      <c r="P56">
        <f t="shared" si="9"/>
        <v>-67.66308117205331</v>
      </c>
      <c r="Q56">
        <v>-1.462</v>
      </c>
      <c r="R56">
        <v>-3.1749999999999998</v>
      </c>
      <c r="S56">
        <f t="shared" si="10"/>
        <v>-53.952755905511808</v>
      </c>
      <c r="T56" s="4">
        <v>3.7260971551856606E-2</v>
      </c>
      <c r="U56" s="4">
        <v>16.971718051471029</v>
      </c>
      <c r="Y56">
        <v>93.8</v>
      </c>
      <c r="Z56">
        <v>803</v>
      </c>
    </row>
    <row r="57" spans="1:26" x14ac:dyDescent="0.35">
      <c r="A57" t="s">
        <v>168</v>
      </c>
      <c r="B57" t="s">
        <v>132</v>
      </c>
      <c r="C57" t="s">
        <v>141</v>
      </c>
      <c r="D57" t="s">
        <v>213</v>
      </c>
      <c r="E57" t="str">
        <f t="shared" si="5"/>
        <v>L3MluG10</v>
      </c>
      <c r="F57" t="s">
        <v>233</v>
      </c>
      <c r="G57">
        <v>-0.16700000000000001</v>
      </c>
      <c r="H57">
        <v>-1.4630000000000001</v>
      </c>
      <c r="I57">
        <f t="shared" si="6"/>
        <v>-88.585099111414905</v>
      </c>
      <c r="J57">
        <v>12.771652418781141</v>
      </c>
      <c r="K57">
        <v>4.1084743143855231</v>
      </c>
      <c r="L57">
        <f t="shared" si="7"/>
        <v>-67.831301857668208</v>
      </c>
      <c r="M57">
        <v>66.722953590273818</v>
      </c>
      <c r="N57">
        <v>21.463905532103318</v>
      </c>
      <c r="O57">
        <f t="shared" si="8"/>
        <v>67.831301857668208</v>
      </c>
      <c r="P57">
        <f t="shared" si="9"/>
        <v>-67.831301857668208</v>
      </c>
      <c r="Q57">
        <v>-0.63100000000000001</v>
      </c>
      <c r="R57">
        <v>-2.2429999999999999</v>
      </c>
      <c r="S57">
        <f t="shared" si="10"/>
        <v>-71.868033883192155</v>
      </c>
      <c r="T57" s="4">
        <v>1.9093083086777235E-2</v>
      </c>
      <c r="U57" s="4">
        <v>8.1909261814104273</v>
      </c>
      <c r="Y57">
        <v>77.3</v>
      </c>
      <c r="Z57">
        <v>705</v>
      </c>
    </row>
    <row r="58" spans="1:26" x14ac:dyDescent="0.35">
      <c r="A58" t="s">
        <v>178</v>
      </c>
      <c r="B58" t="s">
        <v>132</v>
      </c>
      <c r="C58" t="s">
        <v>182</v>
      </c>
      <c r="D58" t="s">
        <v>11</v>
      </c>
      <c r="E58" t="str">
        <f t="shared" si="5"/>
        <v>L4MluE5</v>
      </c>
      <c r="F58" t="s">
        <v>233</v>
      </c>
      <c r="G58">
        <v>-0.45700000000000002</v>
      </c>
      <c r="H58">
        <v>-2.1509999999999998</v>
      </c>
      <c r="I58">
        <f t="shared" si="6"/>
        <v>-78.75406787540679</v>
      </c>
      <c r="J58">
        <v>17.043614472972379</v>
      </c>
      <c r="K58">
        <v>2.8518146100663371</v>
      </c>
      <c r="L58">
        <f t="shared" si="7"/>
        <v>-83.267548004041501</v>
      </c>
      <c r="M58">
        <v>68.766034524054746</v>
      </c>
      <c r="N58">
        <v>11.5062437162617</v>
      </c>
      <c r="O58">
        <f t="shared" si="8"/>
        <v>83.267548004041515</v>
      </c>
      <c r="P58">
        <f t="shared" si="9"/>
        <v>-83.267548004041515</v>
      </c>
      <c r="Q58">
        <v>-1.478</v>
      </c>
      <c r="R58">
        <v>-2.867</v>
      </c>
      <c r="S58">
        <f t="shared" si="10"/>
        <v>-48.447854900592958</v>
      </c>
      <c r="T58" s="4">
        <v>1.3293029408811517E-2</v>
      </c>
      <c r="U58" s="4">
        <v>17.909104339240393</v>
      </c>
      <c r="Y58">
        <v>80</v>
      </c>
      <c r="Z58">
        <v>710</v>
      </c>
    </row>
    <row r="59" spans="1:26" x14ac:dyDescent="0.35">
      <c r="A59" t="s">
        <v>178</v>
      </c>
      <c r="B59" t="s">
        <v>132</v>
      </c>
      <c r="C59" t="s">
        <v>173</v>
      </c>
      <c r="D59" t="s">
        <v>11</v>
      </c>
      <c r="E59" t="str">
        <f t="shared" si="5"/>
        <v>L4MluE8</v>
      </c>
      <c r="F59" t="s">
        <v>233</v>
      </c>
      <c r="G59">
        <v>-0.748</v>
      </c>
      <c r="H59">
        <v>-2.8119999999999998</v>
      </c>
      <c r="I59">
        <f t="shared" si="6"/>
        <v>-73.399715504978673</v>
      </c>
      <c r="J59">
        <v>11.224375723356751</v>
      </c>
      <c r="K59">
        <v>6.1803411788143734</v>
      </c>
      <c r="L59">
        <f t="shared" si="7"/>
        <v>-44.938219005323113</v>
      </c>
      <c r="M59">
        <v>34.305637610514701</v>
      </c>
      <c r="N59">
        <v>18.88929504992911</v>
      </c>
      <c r="O59">
        <f t="shared" si="8"/>
        <v>44.938219005323113</v>
      </c>
      <c r="P59">
        <f t="shared" si="9"/>
        <v>-44.938219005323113</v>
      </c>
      <c r="Q59">
        <v>-1.756</v>
      </c>
      <c r="R59">
        <v>-3.484</v>
      </c>
      <c r="S59">
        <f t="shared" si="10"/>
        <v>-49.598163030998855</v>
      </c>
      <c r="T59" s="4">
        <v>2.4570514730882637E-2</v>
      </c>
      <c r="U59" s="4">
        <v>11.658705774359115</v>
      </c>
      <c r="Y59">
        <v>94</v>
      </c>
      <c r="Z59">
        <v>800</v>
      </c>
    </row>
    <row r="60" spans="1:26" x14ac:dyDescent="0.35">
      <c r="A60" t="s">
        <v>186</v>
      </c>
      <c r="B60" t="s">
        <v>132</v>
      </c>
      <c r="C60" t="s">
        <v>190</v>
      </c>
      <c r="D60" t="s">
        <v>213</v>
      </c>
      <c r="E60" t="str">
        <f t="shared" si="5"/>
        <v>M1MluB3</v>
      </c>
      <c r="F60" t="s">
        <v>233</v>
      </c>
      <c r="G60">
        <v>-0.151</v>
      </c>
      <c r="H60">
        <v>-0.95099999999999996</v>
      </c>
      <c r="I60">
        <f t="shared" si="6"/>
        <v>-84.121976866456365</v>
      </c>
      <c r="J60">
        <v>6.4357643311306036</v>
      </c>
      <c r="K60">
        <v>3.3180825532253269</v>
      </c>
      <c r="L60">
        <f t="shared" si="7"/>
        <v>-48.443069346474623</v>
      </c>
      <c r="M60">
        <v>38.014217355511882</v>
      </c>
      <c r="N60">
        <v>19.598963680461669</v>
      </c>
      <c r="O60">
        <f t="shared" si="8"/>
        <v>48.44306934647463</v>
      </c>
      <c r="P60">
        <f t="shared" si="9"/>
        <v>-48.44306934647463</v>
      </c>
      <c r="Q60">
        <v>-0.39200000000000002</v>
      </c>
      <c r="R60">
        <v>-2.0819999999999999</v>
      </c>
      <c r="S60">
        <f t="shared" si="10"/>
        <v>-81.171950048030737</v>
      </c>
      <c r="T60" s="4">
        <v>2.7239612434768117E-2</v>
      </c>
      <c r="U60" s="4">
        <v>4.5314020157360666</v>
      </c>
      <c r="Y60">
        <v>73</v>
      </c>
      <c r="Z60">
        <v>800</v>
      </c>
    </row>
    <row r="61" spans="1:26" x14ac:dyDescent="0.35">
      <c r="A61" t="s">
        <v>114</v>
      </c>
      <c r="B61" t="s">
        <v>134</v>
      </c>
      <c r="C61" t="s">
        <v>135</v>
      </c>
      <c r="D61" t="s">
        <v>11</v>
      </c>
      <c r="E61" t="str">
        <f t="shared" si="5"/>
        <v>K1PafF9</v>
      </c>
      <c r="F61" t="s">
        <v>233</v>
      </c>
      <c r="G61">
        <v>-0.52699999999999991</v>
      </c>
      <c r="H61">
        <v>-2.714</v>
      </c>
      <c r="I61">
        <f t="shared" si="6"/>
        <v>-80.582166543846739</v>
      </c>
      <c r="J61">
        <v>10.68248351600926</v>
      </c>
      <c r="K61">
        <v>4.1528449947050614</v>
      </c>
      <c r="L61">
        <f t="shared" si="7"/>
        <v>-61.124723586220206</v>
      </c>
      <c r="M61">
        <v>42.82590062906975</v>
      </c>
      <c r="N61">
        <v>16.648687246241519</v>
      </c>
      <c r="O61">
        <f t="shared" si="8"/>
        <v>61.12472358622022</v>
      </c>
      <c r="P61">
        <f t="shared" si="9"/>
        <v>-61.12472358622022</v>
      </c>
      <c r="Q61">
        <v>-1.593</v>
      </c>
      <c r="R61">
        <v>-3.6890000000000001</v>
      </c>
      <c r="S61">
        <f t="shared" si="10"/>
        <v>-56.817565735971812</v>
      </c>
      <c r="T61" s="4">
        <v>2.1258629216131218E-2</v>
      </c>
      <c r="U61" s="4">
        <v>12.347631639816555</v>
      </c>
      <c r="W61">
        <v>883.2</v>
      </c>
      <c r="X61">
        <v>20</v>
      </c>
      <c r="Y61" s="8">
        <v>79.7</v>
      </c>
      <c r="Z61" s="8">
        <v>858</v>
      </c>
    </row>
    <row r="62" spans="1:26" x14ac:dyDescent="0.35">
      <c r="A62" t="s">
        <v>143</v>
      </c>
      <c r="B62" t="s">
        <v>134</v>
      </c>
      <c r="C62" t="s">
        <v>150</v>
      </c>
      <c r="D62" t="s">
        <v>11</v>
      </c>
      <c r="E62" t="str">
        <f t="shared" si="5"/>
        <v>K5PafA5</v>
      </c>
      <c r="F62" t="s">
        <v>233</v>
      </c>
      <c r="G62">
        <v>-0.81400000000000006</v>
      </c>
      <c r="H62">
        <v>-3.423</v>
      </c>
      <c r="I62">
        <f t="shared" si="6"/>
        <v>-76.219690330119775</v>
      </c>
      <c r="J62">
        <v>2.290381449884022</v>
      </c>
      <c r="K62">
        <v>1.323505460821198</v>
      </c>
      <c r="L62">
        <f t="shared" si="7"/>
        <v>-42.214627136094897</v>
      </c>
      <c r="M62">
        <v>30.088528196241761</v>
      </c>
      <c r="N62">
        <v>17.386768207459522</v>
      </c>
      <c r="O62">
        <f t="shared" si="8"/>
        <v>42.214627136094904</v>
      </c>
      <c r="P62">
        <f t="shared" si="9"/>
        <v>-42.214627136094904</v>
      </c>
      <c r="Q62">
        <v>-1.6479999999999999</v>
      </c>
      <c r="R62">
        <v>-4.4870000000000001</v>
      </c>
      <c r="S62">
        <f t="shared" si="10"/>
        <v>-63.271673724091826</v>
      </c>
      <c r="T62" s="4">
        <v>3.5603071853408719E-2</v>
      </c>
      <c r="U62" s="4">
        <v>7.8755053132131891</v>
      </c>
      <c r="Y62">
        <v>44.9</v>
      </c>
      <c r="Z62">
        <v>565</v>
      </c>
    </row>
    <row r="63" spans="1:26" x14ac:dyDescent="0.35">
      <c r="A63" t="s">
        <v>154</v>
      </c>
      <c r="B63" t="s">
        <v>134</v>
      </c>
      <c r="C63" t="s">
        <v>164</v>
      </c>
      <c r="D63" t="s">
        <v>213</v>
      </c>
      <c r="E63" t="str">
        <f t="shared" si="5"/>
        <v>K6PafH5</v>
      </c>
      <c r="F63" t="s">
        <v>233</v>
      </c>
      <c r="G63">
        <v>-0.20899999999999999</v>
      </c>
      <c r="H63">
        <v>-2.109</v>
      </c>
      <c r="I63">
        <f t="shared" si="6"/>
        <v>-90.090090090090087</v>
      </c>
      <c r="J63">
        <v>17.254066061496811</v>
      </c>
      <c r="K63">
        <v>3.8861168015815641</v>
      </c>
      <c r="L63">
        <f t="shared" si="7"/>
        <v>-77.477095614849873</v>
      </c>
      <c r="M63">
        <v>107.10885969508119</v>
      </c>
      <c r="N63">
        <v>24.124026057147731</v>
      </c>
      <c r="O63">
        <f t="shared" si="8"/>
        <v>77.477095614849873</v>
      </c>
      <c r="P63">
        <f t="shared" si="9"/>
        <v>-77.477095614849873</v>
      </c>
      <c r="Q63">
        <v>-1.75</v>
      </c>
      <c r="R63">
        <v>-3.415</v>
      </c>
      <c r="S63">
        <f t="shared" si="10"/>
        <v>-48.755490483162518</v>
      </c>
      <c r="T63" s="4">
        <v>2.9470623543223756E-2</v>
      </c>
      <c r="U63" s="4">
        <v>10.593628092026655</v>
      </c>
      <c r="X63">
        <v>20</v>
      </c>
      <c r="Y63">
        <v>71.3</v>
      </c>
      <c r="Z63">
        <v>778</v>
      </c>
    </row>
    <row r="64" spans="1:26" x14ac:dyDescent="0.35">
      <c r="A64" t="s">
        <v>154</v>
      </c>
      <c r="B64" t="s">
        <v>134</v>
      </c>
      <c r="C64" t="s">
        <v>165</v>
      </c>
      <c r="D64" t="s">
        <v>213</v>
      </c>
      <c r="E64" t="str">
        <f t="shared" si="5"/>
        <v>K6PafI4</v>
      </c>
      <c r="F64" t="s">
        <v>233</v>
      </c>
      <c r="G64">
        <v>-0.309</v>
      </c>
      <c r="H64">
        <v>-3.871</v>
      </c>
      <c r="I64">
        <f t="shared" si="6"/>
        <v>-92.01756652027899</v>
      </c>
      <c r="J64">
        <v>7.1354049331900526</v>
      </c>
      <c r="K64">
        <v>2.2181886495902572</v>
      </c>
      <c r="L64">
        <f t="shared" si="7"/>
        <v>-68.912925470109755</v>
      </c>
      <c r="M64">
        <v>39.011654554745448</v>
      </c>
      <c r="N64">
        <v>12.127582126777041</v>
      </c>
      <c r="O64">
        <f t="shared" si="8"/>
        <v>68.912925470109741</v>
      </c>
      <c r="P64">
        <f t="shared" si="9"/>
        <v>-68.912925470109741</v>
      </c>
      <c r="Q64">
        <v>-1.3839999999999999</v>
      </c>
      <c r="R64">
        <v>-4.0819999999999999</v>
      </c>
      <c r="S64">
        <f t="shared" si="10"/>
        <v>-66.095051445369918</v>
      </c>
      <c r="T64" s="4">
        <v>1.6694029881260057E-2</v>
      </c>
      <c r="U64" s="4">
        <v>9.5340372091425838</v>
      </c>
      <c r="X64">
        <v>20</v>
      </c>
      <c r="Y64">
        <v>69.400000000000006</v>
      </c>
      <c r="Z64">
        <v>740</v>
      </c>
    </row>
    <row r="65" spans="1:26" x14ac:dyDescent="0.35">
      <c r="A65" t="s">
        <v>168</v>
      </c>
      <c r="B65" t="s">
        <v>134</v>
      </c>
      <c r="C65" t="s">
        <v>176</v>
      </c>
      <c r="D65" t="s">
        <v>213</v>
      </c>
      <c r="E65" t="str">
        <f t="shared" si="5"/>
        <v>L3PafI10</v>
      </c>
      <c r="F65" t="s">
        <v>233</v>
      </c>
      <c r="G65">
        <v>-0.17100000000000001</v>
      </c>
      <c r="H65">
        <v>-2.2090000000000001</v>
      </c>
      <c r="I65">
        <f t="shared" si="6"/>
        <v>-92.258940697148034</v>
      </c>
      <c r="J65">
        <v>9.5581895332936515</v>
      </c>
      <c r="K65">
        <v>3.7778032971465012</v>
      </c>
      <c r="L65">
        <f t="shared" si="7"/>
        <v>-60.475744030944</v>
      </c>
      <c r="M65">
        <v>40.978269778104938</v>
      </c>
      <c r="N65">
        <v>16.19635623878851</v>
      </c>
      <c r="O65">
        <f t="shared" si="8"/>
        <v>60.475744030944</v>
      </c>
      <c r="P65">
        <f t="shared" si="9"/>
        <v>-60.475744030944</v>
      </c>
      <c r="Q65">
        <v>-1.3069999999999999</v>
      </c>
      <c r="R65">
        <v>-3.2869999999999999</v>
      </c>
      <c r="S65">
        <f t="shared" si="10"/>
        <v>-60.237298448433222</v>
      </c>
      <c r="T65" s="4">
        <v>9.2279113126538404E-3</v>
      </c>
      <c r="U65" s="4">
        <v>11.97373641889671</v>
      </c>
      <c r="Y65">
        <v>85.7</v>
      </c>
      <c r="Z65">
        <v>734</v>
      </c>
    </row>
    <row r="66" spans="1:26" x14ac:dyDescent="0.35">
      <c r="A66" t="s">
        <v>178</v>
      </c>
      <c r="B66" t="s">
        <v>134</v>
      </c>
      <c r="C66" t="s">
        <v>128</v>
      </c>
      <c r="D66" t="s">
        <v>11</v>
      </c>
      <c r="E66" t="str">
        <f t="shared" si="5"/>
        <v>L4PafA6</v>
      </c>
      <c r="F66" t="s">
        <v>233</v>
      </c>
      <c r="G66">
        <v>-0.65199999999999991</v>
      </c>
      <c r="H66">
        <v>-3.4359999999999999</v>
      </c>
      <c r="I66">
        <f t="shared" ref="I66:I92" si="11">-((H66-G66)/H66)*100</f>
        <v>-81.02444703143189</v>
      </c>
      <c r="J66">
        <v>2.3395823651445999</v>
      </c>
      <c r="K66">
        <v>1.093892900879516</v>
      </c>
      <c r="L66">
        <f t="shared" ref="L66:L92" si="12">-((J66-K66)/J66)*100</f>
        <v>-53.244095306219016</v>
      </c>
      <c r="M66">
        <v>28.816192869811641</v>
      </c>
      <c r="N66">
        <v>13.47327167458524</v>
      </c>
      <c r="O66">
        <f t="shared" ref="O66:O92" si="13">((M66-N66)/M66)*100</f>
        <v>53.244095306219016</v>
      </c>
      <c r="P66">
        <f t="shared" ref="P66:P92" si="14">-O66</f>
        <v>-53.244095306219016</v>
      </c>
      <c r="Q66">
        <v>-0.90800000000000003</v>
      </c>
      <c r="R66">
        <v>-4.4340000000000002</v>
      </c>
      <c r="S66">
        <f t="shared" ref="S66:S92" si="15">-((R66-Q66)/R66)*100</f>
        <v>-79.521876409562481</v>
      </c>
      <c r="T66" s="4">
        <v>3.0186817194269012E-2</v>
      </c>
      <c r="U66" s="13" t="s">
        <v>210</v>
      </c>
      <c r="Y66">
        <v>37.700000000000003</v>
      </c>
      <c r="Z66">
        <v>480</v>
      </c>
    </row>
    <row r="67" spans="1:26" x14ac:dyDescent="0.35">
      <c r="A67" t="s">
        <v>178</v>
      </c>
      <c r="B67" t="s">
        <v>134</v>
      </c>
      <c r="C67" t="s">
        <v>183</v>
      </c>
      <c r="D67" t="s">
        <v>11</v>
      </c>
      <c r="E67" t="str">
        <f t="shared" ref="E67:E92" si="16">A67&amp;B67&amp;C67</f>
        <v>L4PafB8</v>
      </c>
      <c r="F67" t="s">
        <v>233</v>
      </c>
      <c r="G67">
        <v>-1.0209999999999999</v>
      </c>
      <c r="H67">
        <v>-3.1589999999999998</v>
      </c>
      <c r="I67">
        <f t="shared" si="11"/>
        <v>-67.679645457423234</v>
      </c>
      <c r="J67">
        <v>1.9918809688391439</v>
      </c>
      <c r="K67">
        <v>0.46478170043295453</v>
      </c>
      <c r="L67">
        <f t="shared" si="12"/>
        <v>-76.666191017236017</v>
      </c>
      <c r="M67">
        <v>27.20543409828446</v>
      </c>
      <c r="N67">
        <v>6.3480640254254359</v>
      </c>
      <c r="O67">
        <f t="shared" si="13"/>
        <v>76.666191017236002</v>
      </c>
      <c r="P67">
        <f t="shared" si="14"/>
        <v>-76.666191017236002</v>
      </c>
      <c r="Q67">
        <v>-1.135</v>
      </c>
      <c r="R67">
        <v>-4.1050000000000004</v>
      </c>
      <c r="S67">
        <f t="shared" si="15"/>
        <v>-72.350791717417792</v>
      </c>
      <c r="T67" s="4">
        <v>1.8580174888922503E-2</v>
      </c>
      <c r="U67" s="4">
        <v>9.7568099850247538</v>
      </c>
      <c r="Y67">
        <v>45.4</v>
      </c>
      <c r="Z67">
        <v>650</v>
      </c>
    </row>
    <row r="68" spans="1:26" x14ac:dyDescent="0.35">
      <c r="A68" t="s">
        <v>186</v>
      </c>
      <c r="B68" t="s">
        <v>134</v>
      </c>
      <c r="C68" t="s">
        <v>191</v>
      </c>
      <c r="D68" t="s">
        <v>213</v>
      </c>
      <c r="E68" t="str">
        <f t="shared" si="16"/>
        <v>M1PafJ5</v>
      </c>
      <c r="F68" t="s">
        <v>233</v>
      </c>
      <c r="G68">
        <v>-0.23400000000000001</v>
      </c>
      <c r="H68">
        <v>-2.2650000000000001</v>
      </c>
      <c r="I68">
        <f t="shared" si="11"/>
        <v>-89.668874172185426</v>
      </c>
      <c r="J68">
        <v>3.9875710089229299</v>
      </c>
      <c r="K68">
        <v>3.1554580236512511</v>
      </c>
      <c r="L68">
        <f t="shared" si="12"/>
        <v>-20.867665639299506</v>
      </c>
      <c r="M68">
        <v>29.594356868790651</v>
      </c>
      <c r="N68">
        <v>23.41870542931035</v>
      </c>
      <c r="O68">
        <f t="shared" si="13"/>
        <v>20.86766563929951</v>
      </c>
      <c r="P68">
        <f t="shared" si="14"/>
        <v>-20.86766563929951</v>
      </c>
      <c r="Q68">
        <v>-0.442</v>
      </c>
      <c r="R68">
        <v>-3.4239999999999999</v>
      </c>
      <c r="S68">
        <f t="shared" si="15"/>
        <v>-87.091121495327101</v>
      </c>
      <c r="T68" s="4">
        <v>-4.6514881421519929E-3</v>
      </c>
      <c r="U68" s="4">
        <v>6.8265645362387666</v>
      </c>
      <c r="Y68">
        <v>55.9</v>
      </c>
      <c r="Z68">
        <v>590</v>
      </c>
    </row>
    <row r="69" spans="1:26" x14ac:dyDescent="0.35">
      <c r="A69" t="s">
        <v>114</v>
      </c>
      <c r="B69" t="s">
        <v>136</v>
      </c>
      <c r="C69" t="s">
        <v>137</v>
      </c>
      <c r="D69" t="s">
        <v>11</v>
      </c>
      <c r="E69" t="str">
        <f t="shared" si="16"/>
        <v>K1PfaI6</v>
      </c>
      <c r="F69" t="s">
        <v>233</v>
      </c>
      <c r="G69">
        <v>-0.497</v>
      </c>
      <c r="H69">
        <v>-1.6759999999999999</v>
      </c>
      <c r="I69">
        <f t="shared" si="11"/>
        <v>-70.346062052505971</v>
      </c>
      <c r="J69">
        <v>1.5079206971492549</v>
      </c>
      <c r="K69">
        <v>8.2224829943133449E-3</v>
      </c>
      <c r="L69">
        <f t="shared" si="12"/>
        <v>-99.454713831446313</v>
      </c>
      <c r="M69">
        <v>15.88910606476442</v>
      </c>
      <c r="N69">
        <v>8.6641097677986695E-2</v>
      </c>
      <c r="O69">
        <f t="shared" si="13"/>
        <v>99.454713831446313</v>
      </c>
      <c r="P69">
        <f t="shared" si="14"/>
        <v>-99.454713831446313</v>
      </c>
      <c r="Q69">
        <v>-1.456</v>
      </c>
      <c r="R69">
        <v>-2.754</v>
      </c>
      <c r="S69">
        <f t="shared" si="15"/>
        <v>-47.131445170660854</v>
      </c>
      <c r="T69" s="4">
        <v>2.8758319692770054E-2</v>
      </c>
      <c r="U69" s="4">
        <v>0.71718748709344571</v>
      </c>
      <c r="V69">
        <v>0.68500000000000005</v>
      </c>
      <c r="X69">
        <v>20</v>
      </c>
      <c r="Y69">
        <v>51.9</v>
      </c>
      <c r="Z69">
        <v>645</v>
      </c>
    </row>
    <row r="70" spans="1:26" x14ac:dyDescent="0.35">
      <c r="A70" t="s">
        <v>143</v>
      </c>
      <c r="B70" t="s">
        <v>136</v>
      </c>
      <c r="C70" t="s">
        <v>151</v>
      </c>
      <c r="D70" t="s">
        <v>11</v>
      </c>
      <c r="E70" t="str">
        <f t="shared" si="16"/>
        <v>K5PfaF3</v>
      </c>
      <c r="F70" t="s">
        <v>233</v>
      </c>
      <c r="G70">
        <v>-0.48699999999999999</v>
      </c>
      <c r="H70">
        <v>-2.375</v>
      </c>
      <c r="I70">
        <f t="shared" si="11"/>
        <v>-79.494736842105269</v>
      </c>
      <c r="J70">
        <v>7.3373827713223809</v>
      </c>
      <c r="K70">
        <v>1.715616989141644</v>
      </c>
      <c r="L70">
        <f t="shared" si="12"/>
        <v>-76.618134250171508</v>
      </c>
      <c r="M70">
        <v>30.775895371352039</v>
      </c>
      <c r="N70">
        <v>7.1959785390372151</v>
      </c>
      <c r="O70">
        <f t="shared" si="13"/>
        <v>76.618134250171494</v>
      </c>
      <c r="P70">
        <f t="shared" si="14"/>
        <v>-76.618134250171494</v>
      </c>
      <c r="Q70">
        <v>-0.95600000000000007</v>
      </c>
      <c r="R70">
        <v>-2.6760000000000002</v>
      </c>
      <c r="S70">
        <f t="shared" si="15"/>
        <v>-64.27503736920778</v>
      </c>
      <c r="T70" s="3" t="s">
        <v>210</v>
      </c>
      <c r="U70" s="13" t="s">
        <v>210</v>
      </c>
      <c r="Y70">
        <v>77.599999999999994</v>
      </c>
    </row>
    <row r="71" spans="1:26" x14ac:dyDescent="0.35">
      <c r="A71" t="s">
        <v>143</v>
      </c>
      <c r="B71" t="s">
        <v>136</v>
      </c>
      <c r="C71" t="s">
        <v>152</v>
      </c>
      <c r="D71" t="s">
        <v>11</v>
      </c>
      <c r="E71" t="str">
        <f t="shared" si="16"/>
        <v>K5PfaJ1</v>
      </c>
      <c r="F71" t="s">
        <v>233</v>
      </c>
      <c r="G71">
        <v>-0.34699999999999998</v>
      </c>
      <c r="H71">
        <v>-1.615</v>
      </c>
      <c r="I71">
        <f t="shared" si="11"/>
        <v>-78.513931888544903</v>
      </c>
      <c r="J71">
        <v>1.6553229737226149</v>
      </c>
      <c r="K71">
        <v>1.8864970475000509E-2</v>
      </c>
      <c r="L71">
        <f t="shared" si="12"/>
        <v>-98.86034503390141</v>
      </c>
      <c r="M71">
        <v>23.243587031586429</v>
      </c>
      <c r="N71">
        <v>0.26489669390492082</v>
      </c>
      <c r="O71">
        <f t="shared" si="13"/>
        <v>98.860345033901424</v>
      </c>
      <c r="P71">
        <f t="shared" si="14"/>
        <v>-98.860345033901424</v>
      </c>
      <c r="Q71">
        <v>-1.518</v>
      </c>
      <c r="R71">
        <v>-2.6560000000000001</v>
      </c>
      <c r="S71">
        <f t="shared" si="15"/>
        <v>-42.846385542168676</v>
      </c>
      <c r="T71" s="4">
        <v>2.2248125219784583E-2</v>
      </c>
      <c r="U71" s="4">
        <v>15.403066832191886</v>
      </c>
      <c r="Y71">
        <v>39.1</v>
      </c>
      <c r="Z71">
        <v>510</v>
      </c>
    </row>
    <row r="72" spans="1:26" x14ac:dyDescent="0.35">
      <c r="A72" t="s">
        <v>154</v>
      </c>
      <c r="B72" t="s">
        <v>136</v>
      </c>
      <c r="C72" t="s">
        <v>128</v>
      </c>
      <c r="D72" t="s">
        <v>213</v>
      </c>
      <c r="E72" t="str">
        <f t="shared" si="16"/>
        <v>K6PfaA6</v>
      </c>
      <c r="F72" t="s">
        <v>233</v>
      </c>
      <c r="G72">
        <v>-0.33400000000000002</v>
      </c>
      <c r="H72">
        <v>-1.7090000000000001</v>
      </c>
      <c r="I72">
        <f t="shared" si="11"/>
        <v>-80.456407255705088</v>
      </c>
      <c r="J72">
        <v>6.4321250774334233</v>
      </c>
      <c r="K72">
        <v>4.1306814247544876</v>
      </c>
      <c r="L72">
        <f t="shared" si="12"/>
        <v>-35.780455525551886</v>
      </c>
      <c r="M72">
        <v>35.122915814969851</v>
      </c>
      <c r="N72">
        <v>22.555776542517531</v>
      </c>
      <c r="O72">
        <f t="shared" si="13"/>
        <v>35.780455525551893</v>
      </c>
      <c r="P72">
        <f t="shared" si="14"/>
        <v>-35.780455525551893</v>
      </c>
      <c r="Q72">
        <v>-1.907</v>
      </c>
      <c r="R72">
        <v>-2.7559999999999998</v>
      </c>
      <c r="S72">
        <f t="shared" si="15"/>
        <v>-30.805515239477501</v>
      </c>
      <c r="T72" s="4">
        <v>3.3200723417482841E-2</v>
      </c>
      <c r="U72" s="4">
        <v>11.447018735812323</v>
      </c>
      <c r="Y72">
        <v>76.2</v>
      </c>
      <c r="Z72">
        <v>770</v>
      </c>
    </row>
    <row r="73" spans="1:26" x14ac:dyDescent="0.35">
      <c r="A73" t="s">
        <v>168</v>
      </c>
      <c r="B73" t="s">
        <v>136</v>
      </c>
      <c r="C73" t="s">
        <v>139</v>
      </c>
      <c r="D73" t="s">
        <v>213</v>
      </c>
      <c r="E73" t="str">
        <f t="shared" si="16"/>
        <v>L3PfaG7</v>
      </c>
      <c r="F73" t="s">
        <v>233</v>
      </c>
      <c r="G73">
        <v>-0.153</v>
      </c>
      <c r="H73">
        <v>-0.84499999999999997</v>
      </c>
      <c r="I73">
        <f t="shared" si="11"/>
        <v>-81.89349112426035</v>
      </c>
      <c r="J73">
        <v>4.4348520354652692</v>
      </c>
      <c r="K73">
        <v>2.1540518531779171</v>
      </c>
      <c r="L73">
        <f t="shared" si="12"/>
        <v>-51.429002908054599</v>
      </c>
      <c r="M73">
        <v>35.700962121793417</v>
      </c>
      <c r="N73">
        <v>17.340313273972811</v>
      </c>
      <c r="O73">
        <f t="shared" si="13"/>
        <v>51.429002908054599</v>
      </c>
      <c r="P73">
        <f t="shared" si="14"/>
        <v>-51.429002908054599</v>
      </c>
      <c r="Q73">
        <v>-1.0009999999999999</v>
      </c>
      <c r="R73">
        <v>-2.1240000000000001</v>
      </c>
      <c r="S73">
        <f t="shared" si="15"/>
        <v>-52.871939736346519</v>
      </c>
      <c r="T73" s="4">
        <v>1.9225946713001842E-2</v>
      </c>
      <c r="U73" s="4">
        <v>23.374083142237392</v>
      </c>
      <c r="Y73">
        <v>55</v>
      </c>
      <c r="Z73">
        <v>622</v>
      </c>
    </row>
    <row r="74" spans="1:26" x14ac:dyDescent="0.35">
      <c r="A74" t="s">
        <v>178</v>
      </c>
      <c r="B74" t="s">
        <v>136</v>
      </c>
      <c r="C74" t="s">
        <v>184</v>
      </c>
      <c r="D74" t="s">
        <v>11</v>
      </c>
      <c r="E74" t="str">
        <f t="shared" si="16"/>
        <v>L4PfaJ8</v>
      </c>
      <c r="F74" t="s">
        <v>233</v>
      </c>
      <c r="G74">
        <v>-0.308</v>
      </c>
      <c r="H74">
        <v>-2.4209999999999998</v>
      </c>
      <c r="I74">
        <f t="shared" si="11"/>
        <v>-87.277984304006623</v>
      </c>
      <c r="J74">
        <v>2.3978380204008398</v>
      </c>
      <c r="K74">
        <v>0.48890624909196018</v>
      </c>
      <c r="L74">
        <f t="shared" si="12"/>
        <v>-79.610538954994496</v>
      </c>
      <c r="M74">
        <v>23.374029193905631</v>
      </c>
      <c r="N74">
        <v>4.7658385771395997</v>
      </c>
      <c r="O74">
        <f t="shared" si="13"/>
        <v>79.610538954994496</v>
      </c>
      <c r="P74">
        <f t="shared" si="14"/>
        <v>-79.610538954994496</v>
      </c>
      <c r="Q74">
        <v>-1.0489999999999999</v>
      </c>
      <c r="R74">
        <v>-2.9049999999999998</v>
      </c>
      <c r="S74">
        <f t="shared" si="15"/>
        <v>-63.889845094664381</v>
      </c>
      <c r="T74" s="4">
        <v>3.3982140305449049E-2</v>
      </c>
      <c r="U74" s="4">
        <v>8.6314440042009295</v>
      </c>
      <c r="Y74">
        <v>52</v>
      </c>
      <c r="Z74">
        <v>575</v>
      </c>
    </row>
    <row r="75" spans="1:26" x14ac:dyDescent="0.35">
      <c r="A75" t="s">
        <v>186</v>
      </c>
      <c r="B75" t="s">
        <v>136</v>
      </c>
      <c r="C75" t="s">
        <v>192</v>
      </c>
      <c r="D75" t="s">
        <v>213</v>
      </c>
      <c r="E75" t="str">
        <f t="shared" si="16"/>
        <v>M1PfaD5</v>
      </c>
      <c r="F75" t="s">
        <v>233</v>
      </c>
      <c r="G75">
        <v>-0.22500000000000001</v>
      </c>
      <c r="H75">
        <v>-1.145</v>
      </c>
      <c r="I75">
        <f t="shared" si="11"/>
        <v>-80.349344978165931</v>
      </c>
      <c r="J75">
        <v>3.0568804419107898</v>
      </c>
      <c r="K75">
        <v>0.53367198961995532</v>
      </c>
      <c r="L75">
        <f t="shared" si="12"/>
        <v>-82.541941048686596</v>
      </c>
      <c r="M75">
        <v>23.81148619283584</v>
      </c>
      <c r="N75">
        <v>4.1570232967291307</v>
      </c>
      <c r="O75">
        <f t="shared" si="13"/>
        <v>82.541941048686596</v>
      </c>
      <c r="P75">
        <f t="shared" si="14"/>
        <v>-82.541941048686596</v>
      </c>
      <c r="Q75">
        <v>-0.97599999999999998</v>
      </c>
      <c r="R75">
        <v>-2.4350000000000001</v>
      </c>
      <c r="S75">
        <f t="shared" si="15"/>
        <v>-59.917864476386043</v>
      </c>
      <c r="T75" s="4">
        <v>4.4630023372803564E-2</v>
      </c>
      <c r="U75" s="4">
        <v>2.1674015942546672</v>
      </c>
      <c r="Y75">
        <v>57</v>
      </c>
      <c r="Z75">
        <v>720</v>
      </c>
    </row>
    <row r="76" spans="1:26" x14ac:dyDescent="0.35">
      <c r="A76" t="s">
        <v>186</v>
      </c>
      <c r="B76" t="s">
        <v>136</v>
      </c>
      <c r="C76" t="s">
        <v>164</v>
      </c>
      <c r="D76" t="s">
        <v>213</v>
      </c>
      <c r="E76" t="str">
        <f t="shared" si="16"/>
        <v>M1PfaH5</v>
      </c>
      <c r="F76" t="s">
        <v>233</v>
      </c>
      <c r="G76">
        <v>-0.308</v>
      </c>
      <c r="H76">
        <v>-1.7090000000000001</v>
      </c>
      <c r="I76">
        <f t="shared" si="11"/>
        <v>-81.977764774722061</v>
      </c>
      <c r="J76">
        <v>5.170816954169859</v>
      </c>
      <c r="K76">
        <v>0.82134616358153889</v>
      </c>
      <c r="L76">
        <f t="shared" si="12"/>
        <v>-84.115737012906877</v>
      </c>
      <c r="M76">
        <v>16.3153008464684</v>
      </c>
      <c r="N76">
        <v>2.5915652935884701</v>
      </c>
      <c r="O76">
        <f t="shared" si="13"/>
        <v>84.115737012906891</v>
      </c>
      <c r="P76">
        <f t="shared" si="14"/>
        <v>-84.115737012906891</v>
      </c>
      <c r="Q76">
        <v>-1.2929999999999999</v>
      </c>
      <c r="R76">
        <v>-2.3969999999999998</v>
      </c>
      <c r="S76">
        <f t="shared" si="15"/>
        <v>-46.057571964956196</v>
      </c>
      <c r="T76" s="4">
        <v>2.1108853843798934E-2</v>
      </c>
      <c r="U76" s="4">
        <v>9.2643503842180355</v>
      </c>
      <c r="Y76">
        <v>80</v>
      </c>
      <c r="Z76">
        <v>715</v>
      </c>
    </row>
    <row r="77" spans="1:26" x14ac:dyDescent="0.35">
      <c r="A77" t="s">
        <v>114</v>
      </c>
      <c r="B77" t="s">
        <v>138</v>
      </c>
      <c r="C77" t="s">
        <v>139</v>
      </c>
      <c r="D77" t="s">
        <v>11</v>
      </c>
      <c r="E77" t="str">
        <f t="shared" si="16"/>
        <v>K1PfuG7</v>
      </c>
      <c r="F77" t="s">
        <v>232</v>
      </c>
      <c r="G77">
        <v>-0.42199999999999999</v>
      </c>
      <c r="H77">
        <v>-1.1870000000000001</v>
      </c>
      <c r="I77">
        <f t="shared" si="11"/>
        <v>-64.448188711036238</v>
      </c>
      <c r="J77">
        <v>2.7458597535010729</v>
      </c>
      <c r="K77">
        <v>4.1037012671820278E-2</v>
      </c>
      <c r="L77">
        <f t="shared" si="12"/>
        <v>-98.505494950370405</v>
      </c>
      <c r="M77">
        <v>12.170742678949569</v>
      </c>
      <c r="N77">
        <v>0.18189236391432559</v>
      </c>
      <c r="O77">
        <f t="shared" si="13"/>
        <v>98.505494950370405</v>
      </c>
      <c r="P77">
        <f t="shared" si="14"/>
        <v>-98.505494950370405</v>
      </c>
      <c r="Q77">
        <v>-0.84600000000000009</v>
      </c>
      <c r="R77">
        <v>-1.5669999999999999</v>
      </c>
      <c r="S77">
        <f t="shared" si="15"/>
        <v>-46.011486917677082</v>
      </c>
      <c r="T77" s="4">
        <v>-9.9604352038653761E-3</v>
      </c>
      <c r="U77" s="4">
        <v>10.276896370852626</v>
      </c>
      <c r="V77">
        <v>0.23699999999999999</v>
      </c>
      <c r="W77">
        <v>655.75</v>
      </c>
      <c r="X77">
        <v>28.571428571428569</v>
      </c>
      <c r="Y77">
        <v>90</v>
      </c>
      <c r="Z77">
        <v>735</v>
      </c>
    </row>
    <row r="78" spans="1:26" x14ac:dyDescent="0.35">
      <c r="A78" t="s">
        <v>143</v>
      </c>
      <c r="B78" t="s">
        <v>138</v>
      </c>
      <c r="C78" t="s">
        <v>122</v>
      </c>
      <c r="D78" t="s">
        <v>11</v>
      </c>
      <c r="E78" t="str">
        <f t="shared" si="16"/>
        <v>K5PfuB9</v>
      </c>
      <c r="F78" t="s">
        <v>232</v>
      </c>
      <c r="G78">
        <v>-0.47499999999999998</v>
      </c>
      <c r="H78">
        <v>-1.0820000000000001</v>
      </c>
      <c r="I78">
        <f t="shared" si="11"/>
        <v>-56.099815157116453</v>
      </c>
      <c r="J78">
        <v>15.590823668628911</v>
      </c>
      <c r="K78">
        <v>0.73431780400529045</v>
      </c>
      <c r="L78">
        <f t="shared" si="12"/>
        <v>-95.290064081201507</v>
      </c>
      <c r="M78">
        <v>23.383766775796261</v>
      </c>
      <c r="N78">
        <v>1.101360430541297</v>
      </c>
      <c r="O78">
        <f t="shared" si="13"/>
        <v>95.290064081201493</v>
      </c>
      <c r="P78">
        <f t="shared" si="14"/>
        <v>-95.290064081201493</v>
      </c>
      <c r="Q78">
        <v>-0.41299999999999998</v>
      </c>
      <c r="R78">
        <v>-1.254</v>
      </c>
      <c r="S78">
        <f t="shared" si="15"/>
        <v>-67.065390749601278</v>
      </c>
      <c r="T78" s="6">
        <v>-3.2804876299691635E-3</v>
      </c>
      <c r="U78" s="6">
        <v>12.507250775390466</v>
      </c>
      <c r="Y78">
        <v>135</v>
      </c>
      <c r="Z78">
        <v>770</v>
      </c>
    </row>
    <row r="79" spans="1:26" x14ac:dyDescent="0.35">
      <c r="A79" t="s">
        <v>143</v>
      </c>
      <c r="B79" t="s">
        <v>138</v>
      </c>
      <c r="C79" t="s">
        <v>153</v>
      </c>
      <c r="D79" t="s">
        <v>11</v>
      </c>
      <c r="E79" t="str">
        <f t="shared" si="16"/>
        <v>K5PfuC6</v>
      </c>
      <c r="F79" t="s">
        <v>232</v>
      </c>
      <c r="G79">
        <v>-0.51200000000000001</v>
      </c>
      <c r="H79">
        <v>-0.95600000000000007</v>
      </c>
      <c r="I79">
        <f t="shared" si="11"/>
        <v>-46.443514644351467</v>
      </c>
      <c r="J79">
        <v>12.391754154782459</v>
      </c>
      <c r="K79">
        <v>1.82789591323151</v>
      </c>
      <c r="L79">
        <f t="shared" si="12"/>
        <v>-85.24909475769374</v>
      </c>
      <c r="M79">
        <v>23.10880118243707</v>
      </c>
      <c r="N79">
        <v>3.4087573650542429</v>
      </c>
      <c r="O79">
        <f t="shared" si="13"/>
        <v>85.24909475769374</v>
      </c>
      <c r="P79">
        <f t="shared" si="14"/>
        <v>-85.24909475769374</v>
      </c>
      <c r="Q79">
        <v>-0.90600000000000003</v>
      </c>
      <c r="R79">
        <v>-1.2869999999999999</v>
      </c>
      <c r="S79">
        <f t="shared" si="15"/>
        <v>-29.603729603729594</v>
      </c>
      <c r="T79" s="14">
        <v>2.072168076406801E-2</v>
      </c>
      <c r="U79" s="14">
        <v>12.154102900210372</v>
      </c>
      <c r="Y79">
        <v>125.1</v>
      </c>
      <c r="Z79">
        <v>751</v>
      </c>
    </row>
    <row r="80" spans="1:26" x14ac:dyDescent="0.35">
      <c r="A80" t="s">
        <v>154</v>
      </c>
      <c r="B80" t="s">
        <v>138</v>
      </c>
      <c r="C80" t="s">
        <v>120</v>
      </c>
      <c r="D80" t="s">
        <v>213</v>
      </c>
      <c r="E80" t="str">
        <f t="shared" si="16"/>
        <v>K6PfuD10</v>
      </c>
      <c r="F80" t="s">
        <v>232</v>
      </c>
      <c r="G80">
        <v>-0.56900000000000006</v>
      </c>
      <c r="H80">
        <v>-0.8869999999999999</v>
      </c>
      <c r="I80">
        <f t="shared" si="11"/>
        <v>-35.851183765501673</v>
      </c>
      <c r="J80">
        <v>4.6627222632529302</v>
      </c>
      <c r="K80">
        <v>0.11867419543494361</v>
      </c>
      <c r="L80">
        <f t="shared" si="12"/>
        <v>-97.454830274360987</v>
      </c>
      <c r="M80">
        <v>14.894405755783101</v>
      </c>
      <c r="N80">
        <v>0.37908790611002552</v>
      </c>
      <c r="O80">
        <f t="shared" si="13"/>
        <v>97.454830274360987</v>
      </c>
      <c r="P80">
        <f t="shared" si="14"/>
        <v>-97.454830274360987</v>
      </c>
      <c r="Q80">
        <v>-0.92699999999999994</v>
      </c>
      <c r="R80">
        <v>-1.583</v>
      </c>
      <c r="S80">
        <f t="shared" si="15"/>
        <v>-41.440303221730893</v>
      </c>
      <c r="T80" s="14">
        <v>4.2582810257447024E-3</v>
      </c>
      <c r="U80" s="14">
        <v>13.210894816205807</v>
      </c>
      <c r="X80">
        <v>20</v>
      </c>
      <c r="Y80">
        <v>94.8</v>
      </c>
      <c r="Z80">
        <v>700</v>
      </c>
    </row>
    <row r="81" spans="1:26" x14ac:dyDescent="0.35">
      <c r="A81" t="s">
        <v>168</v>
      </c>
      <c r="B81" t="s">
        <v>138</v>
      </c>
      <c r="C81" t="s">
        <v>128</v>
      </c>
      <c r="D81" t="s">
        <v>213</v>
      </c>
      <c r="E81" t="str">
        <f t="shared" si="16"/>
        <v>L3PfuA6</v>
      </c>
      <c r="F81" t="s">
        <v>232</v>
      </c>
      <c r="G81">
        <v>-0.189</v>
      </c>
      <c r="H81">
        <v>-1.3120000000000001</v>
      </c>
      <c r="I81">
        <f t="shared" si="11"/>
        <v>-85.594512195121951</v>
      </c>
      <c r="J81">
        <v>2.865632775981537</v>
      </c>
      <c r="K81">
        <v>0.35744529424170851</v>
      </c>
      <c r="L81">
        <f t="shared" si="12"/>
        <v>-87.526479413633993</v>
      </c>
      <c r="M81">
        <v>40.479973048544693</v>
      </c>
      <c r="N81">
        <v>5.0492777715656301</v>
      </c>
      <c r="O81">
        <f t="shared" si="13"/>
        <v>87.526479413634007</v>
      </c>
      <c r="P81">
        <f t="shared" si="14"/>
        <v>-87.526479413634007</v>
      </c>
      <c r="Q81">
        <v>-0.72</v>
      </c>
      <c r="R81">
        <v>-1.1339999999999999</v>
      </c>
      <c r="S81">
        <f t="shared" si="15"/>
        <v>-36.507936507936506</v>
      </c>
      <c r="T81" s="14">
        <v>5.880315425601591E-3</v>
      </c>
      <c r="U81" s="14">
        <v>16.891440238922108</v>
      </c>
      <c r="Y81">
        <v>43.6</v>
      </c>
      <c r="Z81">
        <v>371</v>
      </c>
    </row>
    <row r="82" spans="1:26" x14ac:dyDescent="0.35">
      <c r="A82" t="s">
        <v>168</v>
      </c>
      <c r="B82" t="s">
        <v>138</v>
      </c>
      <c r="C82" t="s">
        <v>164</v>
      </c>
      <c r="D82" t="s">
        <v>213</v>
      </c>
      <c r="E82" t="str">
        <f t="shared" si="16"/>
        <v>L3PfuH5</v>
      </c>
      <c r="F82" t="s">
        <v>232</v>
      </c>
      <c r="G82">
        <v>-0.503</v>
      </c>
      <c r="H82">
        <v>-0.78899999999999992</v>
      </c>
      <c r="I82">
        <f t="shared" si="11"/>
        <v>-36.248415716096318</v>
      </c>
      <c r="J82">
        <v>1.416651641859602</v>
      </c>
      <c r="K82">
        <v>8.3335788330501977E-3</v>
      </c>
      <c r="L82">
        <f t="shared" si="12"/>
        <v>-99.411741137566395</v>
      </c>
      <c r="M82">
        <v>8.0119447319958255</v>
      </c>
      <c r="N82">
        <v>4.7130974939247297E-2</v>
      </c>
      <c r="O82">
        <f t="shared" si="13"/>
        <v>99.411741137566395</v>
      </c>
      <c r="P82">
        <f t="shared" si="14"/>
        <v>-99.411741137566395</v>
      </c>
      <c r="Q82">
        <v>-0.91500000000000004</v>
      </c>
      <c r="R82">
        <v>-1.2210000000000001</v>
      </c>
      <c r="S82">
        <f t="shared" si="15"/>
        <v>-25.061425061425062</v>
      </c>
      <c r="T82" s="14">
        <v>6.3384862140673888E-3</v>
      </c>
      <c r="U82" s="14">
        <v>13.483825341791784</v>
      </c>
      <c r="Y82">
        <v>75</v>
      </c>
      <c r="Z82">
        <v>640</v>
      </c>
    </row>
    <row r="83" spans="1:26" x14ac:dyDescent="0.35">
      <c r="A83" t="s">
        <v>178</v>
      </c>
      <c r="B83" t="s">
        <v>138</v>
      </c>
      <c r="C83" t="s">
        <v>135</v>
      </c>
      <c r="D83" t="s">
        <v>11</v>
      </c>
      <c r="E83" t="str">
        <f t="shared" si="16"/>
        <v>L4PfuF9</v>
      </c>
      <c r="F83" t="s">
        <v>232</v>
      </c>
      <c r="G83">
        <v>-0.46700000000000003</v>
      </c>
      <c r="H83">
        <v>-0.97799999999999998</v>
      </c>
      <c r="I83">
        <f t="shared" si="11"/>
        <v>-52.249488752556225</v>
      </c>
      <c r="J83">
        <v>2.0218075544991549</v>
      </c>
      <c r="K83">
        <v>0.1057123003671126</v>
      </c>
      <c r="L83">
        <f t="shared" si="12"/>
        <v>-94.771396509431895</v>
      </c>
      <c r="M83">
        <v>7.6430325659728942</v>
      </c>
      <c r="N83">
        <v>0.39962386752971629</v>
      </c>
      <c r="O83">
        <f t="shared" si="13"/>
        <v>94.771396509431881</v>
      </c>
      <c r="P83">
        <f t="shared" si="14"/>
        <v>-94.771396509431881</v>
      </c>
      <c r="Q83">
        <v>-0.82100000000000006</v>
      </c>
      <c r="R83">
        <v>-1.387</v>
      </c>
      <c r="S83">
        <f t="shared" si="15"/>
        <v>-40.807498197548661</v>
      </c>
      <c r="T83" s="14">
        <v>1.0816217268271432E-2</v>
      </c>
      <c r="U83" s="14">
        <v>18.541979140046688</v>
      </c>
      <c r="Y83">
        <v>83</v>
      </c>
      <c r="Z83">
        <v>620</v>
      </c>
    </row>
    <row r="84" spans="1:26" x14ac:dyDescent="0.35">
      <c r="A84" t="s">
        <v>186</v>
      </c>
      <c r="B84" t="s">
        <v>138</v>
      </c>
      <c r="C84" t="s">
        <v>156</v>
      </c>
      <c r="D84" t="s">
        <v>213</v>
      </c>
      <c r="E84" t="str">
        <f t="shared" si="16"/>
        <v>M1PfuD4</v>
      </c>
      <c r="F84" t="s">
        <v>232</v>
      </c>
      <c r="G84">
        <v>-0.28199999999999997</v>
      </c>
      <c r="H84">
        <v>-0.94100000000000006</v>
      </c>
      <c r="I84">
        <f t="shared" si="11"/>
        <v>-70.031880977683315</v>
      </c>
      <c r="J84">
        <v>1.714599317561555</v>
      </c>
      <c r="K84">
        <v>6.2504100074358859E-2</v>
      </c>
      <c r="L84">
        <f t="shared" si="12"/>
        <v>-96.354594368831897</v>
      </c>
      <c r="M84">
        <v>14.74338367628234</v>
      </c>
      <c r="N84">
        <v>0.53745613875991594</v>
      </c>
      <c r="O84">
        <f t="shared" si="13"/>
        <v>96.354594368831897</v>
      </c>
      <c r="P84">
        <f t="shared" si="14"/>
        <v>-96.354594368831897</v>
      </c>
      <c r="Q84">
        <v>-0.82400000000000007</v>
      </c>
      <c r="R84">
        <v>-1.1719999999999999</v>
      </c>
      <c r="S84">
        <f t="shared" si="15"/>
        <v>-29.692832764505113</v>
      </c>
      <c r="T84" s="6">
        <v>-1.1484311309869571E-3</v>
      </c>
      <c r="U84" s="6">
        <v>10.302803984264049</v>
      </c>
      <c r="Y84">
        <v>60</v>
      </c>
      <c r="Z84">
        <v>537</v>
      </c>
    </row>
    <row r="85" spans="1:26" x14ac:dyDescent="0.35">
      <c r="A85" t="s">
        <v>114</v>
      </c>
      <c r="B85" t="s">
        <v>140</v>
      </c>
      <c r="C85" t="s">
        <v>141</v>
      </c>
      <c r="D85" t="s">
        <v>11</v>
      </c>
      <c r="E85" t="str">
        <f t="shared" si="16"/>
        <v>K1SguG10</v>
      </c>
      <c r="F85" t="s">
        <v>233</v>
      </c>
      <c r="G85">
        <v>-0.40799999999999997</v>
      </c>
      <c r="H85">
        <v>-2.6230000000000002</v>
      </c>
      <c r="I85">
        <f t="shared" si="11"/>
        <v>-84.445291650781556</v>
      </c>
      <c r="J85">
        <v>0.4623831868158928</v>
      </c>
      <c r="K85">
        <v>4.127029008357961E-3</v>
      </c>
      <c r="L85">
        <f t="shared" si="12"/>
        <v>-99.107443971573034</v>
      </c>
      <c r="M85">
        <v>14.03792257628843</v>
      </c>
      <c r="N85">
        <v>0.1252963242205721</v>
      </c>
      <c r="O85">
        <f t="shared" si="13"/>
        <v>99.107443971573034</v>
      </c>
      <c r="P85">
        <f t="shared" si="14"/>
        <v>-99.107443971573034</v>
      </c>
      <c r="Q85">
        <v>-1.2050000000000001</v>
      </c>
      <c r="R85">
        <v>-2.7679999999999998</v>
      </c>
      <c r="S85">
        <f t="shared" si="15"/>
        <v>-56.466763005780344</v>
      </c>
      <c r="T85" s="14">
        <v>-9.0216655728648266E-3</v>
      </c>
      <c r="U85" s="14">
        <v>-4.2054598357765984</v>
      </c>
      <c r="V85">
        <v>0.61199999999999999</v>
      </c>
      <c r="W85">
        <v>488.8</v>
      </c>
      <c r="X85">
        <v>46.666666666666664</v>
      </c>
      <c r="Y85">
        <v>20</v>
      </c>
      <c r="Z85">
        <v>384</v>
      </c>
    </row>
    <row r="86" spans="1:26" x14ac:dyDescent="0.35">
      <c r="A86" t="s">
        <v>114</v>
      </c>
      <c r="B86" t="s">
        <v>140</v>
      </c>
      <c r="C86" t="s">
        <v>142</v>
      </c>
      <c r="D86" t="s">
        <v>11</v>
      </c>
      <c r="E86" t="str">
        <f t="shared" si="16"/>
        <v>K1SguH8</v>
      </c>
      <c r="F86" t="s">
        <v>233</v>
      </c>
      <c r="G86">
        <v>-0.13500000000000001</v>
      </c>
      <c r="H86">
        <v>-2.319</v>
      </c>
      <c r="I86">
        <f t="shared" si="11"/>
        <v>-94.17852522639069</v>
      </c>
      <c r="J86">
        <v>0.37938515059734401</v>
      </c>
      <c r="K86">
        <v>0.16373148997138931</v>
      </c>
      <c r="L86">
        <f t="shared" si="12"/>
        <v>-56.842936600551397</v>
      </c>
      <c r="M86">
        <v>16.58607516979513</v>
      </c>
      <c r="N86">
        <v>7.1580629765086874</v>
      </c>
      <c r="O86">
        <f t="shared" si="13"/>
        <v>56.842936600551383</v>
      </c>
      <c r="P86">
        <f t="shared" si="14"/>
        <v>-56.842936600551383</v>
      </c>
      <c r="Q86">
        <v>-0.63100000000000001</v>
      </c>
      <c r="R86">
        <v>-2.6459999999999999</v>
      </c>
      <c r="S86">
        <f t="shared" si="15"/>
        <v>-76.152683295540427</v>
      </c>
      <c r="T86" s="14">
        <v>-2.5070679879673005E-4</v>
      </c>
      <c r="U86" s="14">
        <v>1.8763328679121161</v>
      </c>
      <c r="Y86">
        <v>24.6</v>
      </c>
      <c r="Z86">
        <v>490</v>
      </c>
    </row>
    <row r="87" spans="1:26" x14ac:dyDescent="0.35">
      <c r="A87" t="s">
        <v>143</v>
      </c>
      <c r="B87" t="s">
        <v>140</v>
      </c>
      <c r="C87" t="s">
        <v>123</v>
      </c>
      <c r="D87" t="s">
        <v>11</v>
      </c>
      <c r="E87" t="str">
        <f t="shared" si="16"/>
        <v>K5SguH9</v>
      </c>
      <c r="F87" t="s">
        <v>233</v>
      </c>
      <c r="G87">
        <v>-0.26700000000000002</v>
      </c>
      <c r="H87">
        <v>-1.9950000000000001</v>
      </c>
      <c r="I87">
        <f t="shared" si="11"/>
        <v>-86.616541353383468</v>
      </c>
      <c r="J87">
        <v>0.21767524229327589</v>
      </c>
      <c r="K87">
        <v>2.7368855650165948E-3</v>
      </c>
      <c r="L87">
        <f t="shared" si="12"/>
        <v>-98.742674850762697</v>
      </c>
      <c r="M87">
        <v>5.4628213284182099</v>
      </c>
      <c r="N87">
        <v>6.8685426420101545E-2</v>
      </c>
      <c r="O87">
        <f t="shared" si="13"/>
        <v>98.742674850762697</v>
      </c>
      <c r="P87">
        <f t="shared" si="14"/>
        <v>-98.742674850762697</v>
      </c>
      <c r="Q87">
        <v>-1.2390000000000001</v>
      </c>
      <c r="R87">
        <v>-3.387</v>
      </c>
      <c r="S87">
        <f t="shared" si="15"/>
        <v>-63.418954827280771</v>
      </c>
      <c r="T87" s="14">
        <v>1.1013475028988331E-2</v>
      </c>
      <c r="U87" s="14">
        <v>-1.4626336624352942</v>
      </c>
      <c r="Y87">
        <v>19.8</v>
      </c>
      <c r="Z87">
        <v>320</v>
      </c>
    </row>
    <row r="88" spans="1:26" x14ac:dyDescent="0.35">
      <c r="A88" t="s">
        <v>154</v>
      </c>
      <c r="B88" t="s">
        <v>140</v>
      </c>
      <c r="C88" t="s">
        <v>166</v>
      </c>
      <c r="D88" t="s">
        <v>213</v>
      </c>
      <c r="E88" t="str">
        <f t="shared" si="16"/>
        <v>K6SguA8</v>
      </c>
      <c r="F88" t="s">
        <v>233</v>
      </c>
      <c r="G88">
        <v>-0.247</v>
      </c>
      <c r="H88">
        <v>-1.323</v>
      </c>
      <c r="I88">
        <f t="shared" si="11"/>
        <v>-81.330309901738488</v>
      </c>
      <c r="J88">
        <v>8.4581802003568587</v>
      </c>
      <c r="K88">
        <v>1.239452435776331</v>
      </c>
      <c r="L88">
        <f t="shared" si="12"/>
        <v>-85.346109843769497</v>
      </c>
      <c r="M88">
        <v>119.4565160954096</v>
      </c>
      <c r="N88">
        <v>17.505026653081131</v>
      </c>
      <c r="O88">
        <f t="shared" si="13"/>
        <v>85.346109843769497</v>
      </c>
      <c r="P88">
        <f t="shared" si="14"/>
        <v>-85.346109843769497</v>
      </c>
      <c r="Q88">
        <v>-0.68099999999999994</v>
      </c>
      <c r="R88">
        <v>-2.4039999999999999</v>
      </c>
      <c r="S88">
        <f t="shared" si="15"/>
        <v>-71.672212978369373</v>
      </c>
      <c r="T88" s="14">
        <v>3.9770738923692393E-2</v>
      </c>
      <c r="U88" s="14">
        <v>19.068331394862227</v>
      </c>
      <c r="X88">
        <v>20</v>
      </c>
      <c r="Y88">
        <v>34.5</v>
      </c>
      <c r="Z88">
        <v>430</v>
      </c>
    </row>
    <row r="89" spans="1:26" x14ac:dyDescent="0.35">
      <c r="A89" t="s">
        <v>154</v>
      </c>
      <c r="B89" t="s">
        <v>140</v>
      </c>
      <c r="C89" t="s">
        <v>167</v>
      </c>
      <c r="D89" t="s">
        <v>213</v>
      </c>
      <c r="E89" t="str">
        <f t="shared" si="16"/>
        <v>K6SguC9</v>
      </c>
      <c r="F89" t="s">
        <v>233</v>
      </c>
      <c r="G89">
        <v>-0.29399999999999998</v>
      </c>
      <c r="H89">
        <v>-1.1599999999999999</v>
      </c>
      <c r="I89">
        <f t="shared" si="11"/>
        <v>-74.655172413793096</v>
      </c>
      <c r="J89">
        <v>2.1427926561973059</v>
      </c>
      <c r="K89">
        <v>1.016300581320416</v>
      </c>
      <c r="L89">
        <f t="shared" si="12"/>
        <v>-52.57121222713225</v>
      </c>
      <c r="M89">
        <v>22.865949995905069</v>
      </c>
      <c r="N89">
        <v>10.84504289580787</v>
      </c>
      <c r="O89">
        <f t="shared" si="13"/>
        <v>52.571212227132278</v>
      </c>
      <c r="P89">
        <f t="shared" si="14"/>
        <v>-52.571212227132278</v>
      </c>
      <c r="Q89">
        <v>-0.69599999999999995</v>
      </c>
      <c r="R89">
        <v>-1.282</v>
      </c>
      <c r="S89">
        <f t="shared" si="15"/>
        <v>-45.70982839313573</v>
      </c>
      <c r="T89" s="14">
        <v>3.9770738923692393E-2</v>
      </c>
      <c r="U89" s="14">
        <v>19.068331394862227</v>
      </c>
      <c r="X89">
        <v>20</v>
      </c>
      <c r="Y89">
        <v>40</v>
      </c>
      <c r="Z89">
        <v>540</v>
      </c>
    </row>
    <row r="90" spans="1:26" x14ac:dyDescent="0.35">
      <c r="A90" t="s">
        <v>168</v>
      </c>
      <c r="B90" t="s">
        <v>140</v>
      </c>
      <c r="C90" t="s">
        <v>177</v>
      </c>
      <c r="D90" t="s">
        <v>213</v>
      </c>
      <c r="E90" t="str">
        <f t="shared" si="16"/>
        <v>L3SguH3</v>
      </c>
      <c r="F90" t="s">
        <v>233</v>
      </c>
      <c r="G90">
        <v>-0.21199999999999999</v>
      </c>
      <c r="H90">
        <v>-1.0860000000000001</v>
      </c>
      <c r="I90">
        <f t="shared" si="11"/>
        <v>-80.478821362799266</v>
      </c>
      <c r="J90">
        <v>1.2192054447291629</v>
      </c>
      <c r="K90">
        <v>0.1109242657028284</v>
      </c>
      <c r="L90">
        <f t="shared" si="12"/>
        <v>-90.901921724318626</v>
      </c>
      <c r="M90">
        <v>16.554392314331871</v>
      </c>
      <c r="N90">
        <v>1.506131570821293</v>
      </c>
      <c r="O90">
        <f t="shared" si="13"/>
        <v>90.90192172431864</v>
      </c>
      <c r="P90">
        <f t="shared" si="14"/>
        <v>-90.90192172431864</v>
      </c>
      <c r="Q90">
        <v>-0.48299999999999998</v>
      </c>
      <c r="R90">
        <v>-2.1230000000000002</v>
      </c>
      <c r="S90">
        <f t="shared" si="15"/>
        <v>-77.249175694771537</v>
      </c>
      <c r="T90" s="14">
        <v>2.0785094597206271E-2</v>
      </c>
      <c r="U90" s="14">
        <v>22.811701937834123</v>
      </c>
      <c r="Y90">
        <v>22.6</v>
      </c>
      <c r="Z90">
        <v>352</v>
      </c>
    </row>
    <row r="91" spans="1:26" x14ac:dyDescent="0.35">
      <c r="A91" t="s">
        <v>178</v>
      </c>
      <c r="B91" t="s">
        <v>140</v>
      </c>
      <c r="C91" t="s">
        <v>185</v>
      </c>
      <c r="D91" t="s">
        <v>11</v>
      </c>
      <c r="E91" t="str">
        <f t="shared" si="16"/>
        <v>L4SguG1</v>
      </c>
      <c r="F91" t="s">
        <v>233</v>
      </c>
      <c r="G91">
        <v>-0.45400000000000001</v>
      </c>
      <c r="H91">
        <v>-2.0339999999999998</v>
      </c>
      <c r="I91">
        <f t="shared" si="11"/>
        <v>-77.679449360865291</v>
      </c>
      <c r="J91">
        <v>1.2304613008581871</v>
      </c>
      <c r="K91">
        <v>0.45580120945143687</v>
      </c>
      <c r="L91">
        <f t="shared" si="12"/>
        <v>-62.956883801746741</v>
      </c>
      <c r="M91">
        <v>38.797718504419507</v>
      </c>
      <c r="N91">
        <v>14.37188394786333</v>
      </c>
      <c r="O91">
        <f t="shared" si="13"/>
        <v>62.95688380174672</v>
      </c>
      <c r="P91">
        <f t="shared" si="14"/>
        <v>-62.95688380174672</v>
      </c>
      <c r="Q91">
        <v>-1.0529999999999999</v>
      </c>
      <c r="R91">
        <v>-1.875</v>
      </c>
      <c r="S91">
        <f t="shared" si="15"/>
        <v>-43.84</v>
      </c>
      <c r="T91" s="14">
        <v>3.1839279089733427E-2</v>
      </c>
      <c r="U91" s="14">
        <v>8.8519632642694308</v>
      </c>
      <c r="Y91">
        <v>23.8</v>
      </c>
      <c r="Z91">
        <v>350</v>
      </c>
    </row>
    <row r="92" spans="1:26" x14ac:dyDescent="0.35">
      <c r="A92" t="s">
        <v>186</v>
      </c>
      <c r="B92" t="s">
        <v>140</v>
      </c>
      <c r="C92" t="s">
        <v>180</v>
      </c>
      <c r="D92" t="s">
        <v>213</v>
      </c>
      <c r="E92" t="str">
        <f t="shared" si="16"/>
        <v>M1SguG6</v>
      </c>
      <c r="F92" t="s">
        <v>233</v>
      </c>
      <c r="G92">
        <v>-0.20100000000000001</v>
      </c>
      <c r="H92">
        <v>-1.423</v>
      </c>
      <c r="I92">
        <f t="shared" si="11"/>
        <v>-85.874912157413902</v>
      </c>
      <c r="J92">
        <v>1.29183938367712</v>
      </c>
      <c r="K92">
        <v>0.10549386536398909</v>
      </c>
      <c r="L92">
        <f t="shared" si="12"/>
        <v>-91.833824955567692</v>
      </c>
      <c r="M92">
        <v>23.084280405542589</v>
      </c>
      <c r="N92">
        <v>1.885102745664196</v>
      </c>
      <c r="O92">
        <f t="shared" si="13"/>
        <v>91.833824955567707</v>
      </c>
      <c r="P92">
        <f t="shared" si="14"/>
        <v>-91.833824955567707</v>
      </c>
      <c r="Q92">
        <v>-0.64700000000000002</v>
      </c>
      <c r="R92">
        <v>-1.893</v>
      </c>
      <c r="S92">
        <f t="shared" si="15"/>
        <v>-65.821447437929208</v>
      </c>
      <c r="T92" s="6">
        <v>-4.3762247429702313E-4</v>
      </c>
      <c r="U92" s="6">
        <v>11.113878847575744</v>
      </c>
      <c r="Y92">
        <v>33.9</v>
      </c>
      <c r="Z92">
        <v>590</v>
      </c>
    </row>
  </sheetData>
  <sortState xmlns:xlrd2="http://schemas.microsoft.com/office/spreadsheetml/2017/richdata2" ref="A2:Z92">
    <sortCondition ref="B1:B92"/>
  </sortState>
  <conditionalFormatting sqref="T2:U10">
    <cfRule type="expression" dxfId="13" priority="6">
      <formula>$D2=1</formula>
    </cfRule>
  </conditionalFormatting>
  <conditionalFormatting sqref="T12:U12">
    <cfRule type="expression" dxfId="12" priority="11">
      <formula>#REF!=1</formula>
    </cfRule>
  </conditionalFormatting>
  <conditionalFormatting sqref="T13:U26">
    <cfRule type="expression" dxfId="11" priority="7">
      <formula>$D11=1</formula>
    </cfRule>
  </conditionalFormatting>
  <conditionalFormatting sqref="T27:U27">
    <cfRule type="expression" dxfId="10" priority="14">
      <formula>#REF!=1</formula>
    </cfRule>
  </conditionalFormatting>
  <conditionalFormatting sqref="T28:U30 T38:U43">
    <cfRule type="expression" dxfId="9" priority="5">
      <formula>$D25=1</formula>
    </cfRule>
  </conditionalFormatting>
  <conditionalFormatting sqref="T32:U35">
    <cfRule type="expression" dxfId="8" priority="4">
      <formula>$D29=1</formula>
    </cfRule>
  </conditionalFormatting>
  <conditionalFormatting sqref="T37:U37 T45:U49">
    <cfRule type="expression" dxfId="7" priority="3">
      <formula>$D33=1</formula>
    </cfRule>
  </conditionalFormatting>
  <conditionalFormatting sqref="T44:U44">
    <cfRule type="expression" dxfId="6" priority="17">
      <formula>#REF!=1</formula>
    </cfRule>
  </conditionalFormatting>
  <conditionalFormatting sqref="T50:U51">
    <cfRule type="expression" dxfId="5" priority="24">
      <formula>#REF!=1</formula>
    </cfRule>
  </conditionalFormatting>
  <conditionalFormatting sqref="T52:U52">
    <cfRule type="expression" dxfId="4" priority="25">
      <formula>$D53=1</formula>
    </cfRule>
  </conditionalFormatting>
  <conditionalFormatting sqref="T53:U56 T58:U72">
    <cfRule type="expression" dxfId="3" priority="1">
      <formula>$D56=1</formula>
    </cfRule>
  </conditionalFormatting>
  <conditionalFormatting sqref="T57:U57">
    <cfRule type="expression" dxfId="2" priority="2">
      <formula>$D54=1</formula>
    </cfRule>
  </conditionalFormatting>
  <conditionalFormatting sqref="T73:U73">
    <cfRule type="expression" dxfId="1" priority="23">
      <formula>#REF!=1</formula>
    </cfRule>
  </conditionalFormatting>
  <conditionalFormatting sqref="T74:U77">
    <cfRule type="expression" dxfId="0" priority="10">
      <formula>$D76=1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CA2B-6CB2-4252-A875-3922004B41C2}">
  <dimension ref="A1:C100"/>
  <sheetViews>
    <sheetView workbookViewId="0">
      <selection sqref="A1:C1048576"/>
    </sheetView>
  </sheetViews>
  <sheetFormatPr defaultRowHeight="14.5" x14ac:dyDescent="0.35"/>
  <cols>
    <col min="3" max="3" width="11.81640625" customWidth="1"/>
  </cols>
  <sheetData>
    <row r="1" spans="1:3" x14ac:dyDescent="0.35">
      <c r="A1" s="1" t="s">
        <v>0</v>
      </c>
      <c r="B1" s="1" t="s">
        <v>1</v>
      </c>
      <c r="C1" s="1" t="s">
        <v>110</v>
      </c>
    </row>
    <row r="2" spans="1:3" x14ac:dyDescent="0.35">
      <c r="A2" t="s">
        <v>10</v>
      </c>
      <c r="B2" t="s">
        <v>11</v>
      </c>
      <c r="C2">
        <v>-61.124723586220206</v>
      </c>
    </row>
    <row r="3" spans="1:3" x14ac:dyDescent="0.35">
      <c r="A3" t="s">
        <v>12</v>
      </c>
      <c r="B3" t="s">
        <v>11</v>
      </c>
      <c r="C3">
        <v>-94.662095299480015</v>
      </c>
    </row>
    <row r="4" spans="1:3" x14ac:dyDescent="0.35">
      <c r="A4" t="s">
        <v>13</v>
      </c>
      <c r="B4" t="s">
        <v>11</v>
      </c>
      <c r="C4">
        <v>-76.618134250171508</v>
      </c>
    </row>
    <row r="5" spans="1:3" x14ac:dyDescent="0.35">
      <c r="A5" t="s">
        <v>14</v>
      </c>
      <c r="B5" t="s">
        <v>11</v>
      </c>
      <c r="C5">
        <v>-70.249735304863805</v>
      </c>
    </row>
    <row r="6" spans="1:3" x14ac:dyDescent="0.35">
      <c r="A6" t="s">
        <v>15</v>
      </c>
      <c r="B6" t="s">
        <v>11</v>
      </c>
      <c r="C6">
        <v>-74.718545527527453</v>
      </c>
    </row>
    <row r="7" spans="1:3" x14ac:dyDescent="0.35">
      <c r="A7" t="s">
        <v>16</v>
      </c>
      <c r="B7" t="s">
        <v>17</v>
      </c>
      <c r="C7">
        <v>-88.631567663959473</v>
      </c>
    </row>
    <row r="8" spans="1:3" x14ac:dyDescent="0.35">
      <c r="A8" t="s">
        <v>18</v>
      </c>
      <c r="B8" t="s">
        <v>11</v>
      </c>
      <c r="C8">
        <v>-89.578826167552322</v>
      </c>
    </row>
    <row r="9" spans="1:3" x14ac:dyDescent="0.35">
      <c r="A9" t="s">
        <v>19</v>
      </c>
      <c r="B9" t="s">
        <v>11</v>
      </c>
      <c r="C9">
        <v>-85.24909475769374</v>
      </c>
    </row>
    <row r="10" spans="1:3" x14ac:dyDescent="0.35">
      <c r="A10" t="s">
        <v>20</v>
      </c>
      <c r="B10" t="s">
        <v>11</v>
      </c>
      <c r="C10">
        <v>-68.088457964113587</v>
      </c>
    </row>
    <row r="11" spans="1:3" x14ac:dyDescent="0.35">
      <c r="A11" t="s">
        <v>21</v>
      </c>
      <c r="B11" t="s">
        <v>11</v>
      </c>
      <c r="C11">
        <v>-42.214627136094897</v>
      </c>
    </row>
    <row r="12" spans="1:3" x14ac:dyDescent="0.35">
      <c r="A12" t="s">
        <v>22</v>
      </c>
      <c r="B12" t="s">
        <v>17</v>
      </c>
      <c r="C12">
        <v>-52.57121222713225</v>
      </c>
    </row>
    <row r="13" spans="1:3" x14ac:dyDescent="0.35">
      <c r="A13" t="s">
        <v>23</v>
      </c>
      <c r="B13" t="s">
        <v>11</v>
      </c>
      <c r="C13">
        <v>-99.454713831446313</v>
      </c>
    </row>
    <row r="14" spans="1:3" x14ac:dyDescent="0.35">
      <c r="A14" t="s">
        <v>24</v>
      </c>
      <c r="B14" t="s">
        <v>11</v>
      </c>
      <c r="C14">
        <v>-78.633954925986146</v>
      </c>
    </row>
    <row r="15" spans="1:3" x14ac:dyDescent="0.35">
      <c r="A15" t="s">
        <v>25</v>
      </c>
      <c r="B15" t="s">
        <v>11</v>
      </c>
      <c r="C15">
        <v>-92.851219771046345</v>
      </c>
    </row>
    <row r="16" spans="1:3" x14ac:dyDescent="0.35">
      <c r="A16" t="s">
        <v>25</v>
      </c>
      <c r="B16" t="s">
        <v>11</v>
      </c>
      <c r="C16">
        <v>-92.851219771046345</v>
      </c>
    </row>
    <row r="17" spans="1:3" x14ac:dyDescent="0.35">
      <c r="A17" t="s">
        <v>26</v>
      </c>
      <c r="B17" t="s">
        <v>11</v>
      </c>
      <c r="C17">
        <v>-58.323673583868555</v>
      </c>
    </row>
    <row r="18" spans="1:3" x14ac:dyDescent="0.35">
      <c r="A18" t="s">
        <v>27</v>
      </c>
      <c r="B18" t="s">
        <v>17</v>
      </c>
      <c r="C18">
        <v>-94.91759435937405</v>
      </c>
    </row>
    <row r="19" spans="1:3" x14ac:dyDescent="0.35">
      <c r="A19" t="s">
        <v>28</v>
      </c>
      <c r="B19" t="s">
        <v>17</v>
      </c>
      <c r="C19">
        <v>-97.224133512130905</v>
      </c>
    </row>
    <row r="20" spans="1:3" x14ac:dyDescent="0.35">
      <c r="A20" t="s">
        <v>29</v>
      </c>
      <c r="B20" t="s">
        <v>11</v>
      </c>
      <c r="C20">
        <v>-76.970587169721</v>
      </c>
    </row>
    <row r="21" spans="1:3" x14ac:dyDescent="0.35">
      <c r="A21" t="s">
        <v>30</v>
      </c>
      <c r="B21" t="s">
        <v>11</v>
      </c>
      <c r="C21">
        <v>-86.193399146434885</v>
      </c>
    </row>
    <row r="22" spans="1:3" x14ac:dyDescent="0.35">
      <c r="A22" t="s">
        <v>31</v>
      </c>
      <c r="B22" t="s">
        <v>11</v>
      </c>
      <c r="C22">
        <v>-56.842936600551397</v>
      </c>
    </row>
    <row r="23" spans="1:3" x14ac:dyDescent="0.35">
      <c r="A23" t="s">
        <v>32</v>
      </c>
      <c r="B23" t="s">
        <v>17</v>
      </c>
      <c r="C23">
        <v>-93.173854217886515</v>
      </c>
    </row>
    <row r="24" spans="1:3" x14ac:dyDescent="0.35">
      <c r="A24" t="s">
        <v>33</v>
      </c>
      <c r="B24" t="s">
        <v>11</v>
      </c>
      <c r="C24">
        <v>-94.771396509431895</v>
      </c>
    </row>
    <row r="25" spans="1:3" x14ac:dyDescent="0.35">
      <c r="A25" t="s">
        <v>34</v>
      </c>
      <c r="B25" t="s">
        <v>11</v>
      </c>
      <c r="C25">
        <v>-98.742674850762697</v>
      </c>
    </row>
    <row r="26" spans="1:3" x14ac:dyDescent="0.35">
      <c r="A26" t="s">
        <v>35</v>
      </c>
      <c r="B26" t="s">
        <v>17</v>
      </c>
      <c r="C26">
        <v>-26.359161233808099</v>
      </c>
    </row>
    <row r="27" spans="1:3" x14ac:dyDescent="0.35">
      <c r="A27" t="s">
        <v>36</v>
      </c>
      <c r="B27" t="s">
        <v>11</v>
      </c>
      <c r="C27">
        <v>-99.107443971573034</v>
      </c>
    </row>
    <row r="28" spans="1:3" x14ac:dyDescent="0.35">
      <c r="A28" t="s">
        <v>37</v>
      </c>
      <c r="B28" t="s">
        <v>11</v>
      </c>
      <c r="C28">
        <v>-99.213237624802915</v>
      </c>
    </row>
    <row r="29" spans="1:3" x14ac:dyDescent="0.35">
      <c r="A29" t="s">
        <v>38</v>
      </c>
      <c r="B29" t="s">
        <v>17</v>
      </c>
      <c r="C29">
        <v>-98.751056213498416</v>
      </c>
    </row>
    <row r="30" spans="1:3" x14ac:dyDescent="0.35">
      <c r="A30" t="s">
        <v>39</v>
      </c>
      <c r="B30" t="s">
        <v>17</v>
      </c>
      <c r="C30">
        <v>-75.708542861123192</v>
      </c>
    </row>
    <row r="31" spans="1:3" x14ac:dyDescent="0.35">
      <c r="A31" t="s">
        <v>40</v>
      </c>
      <c r="B31" t="s">
        <v>11</v>
      </c>
      <c r="C31">
        <v>-22.819185036899846</v>
      </c>
    </row>
    <row r="32" spans="1:3" x14ac:dyDescent="0.35">
      <c r="A32" t="s">
        <v>41</v>
      </c>
      <c r="B32" t="s">
        <v>17</v>
      </c>
      <c r="C32">
        <v>-42.662734509227469</v>
      </c>
    </row>
    <row r="33" spans="1:3" x14ac:dyDescent="0.35">
      <c r="A33" t="s">
        <v>42</v>
      </c>
      <c r="B33" t="s">
        <v>11</v>
      </c>
      <c r="C33">
        <v>-83.703787555785354</v>
      </c>
    </row>
    <row r="34" spans="1:3" x14ac:dyDescent="0.35">
      <c r="A34" t="s">
        <v>43</v>
      </c>
      <c r="B34" t="s">
        <v>11</v>
      </c>
      <c r="C34">
        <v>-98.671635123480002</v>
      </c>
    </row>
    <row r="35" spans="1:3" x14ac:dyDescent="0.35">
      <c r="A35" t="s">
        <v>44</v>
      </c>
      <c r="B35" t="s">
        <v>11</v>
      </c>
      <c r="C35">
        <v>-96.370387584369524</v>
      </c>
    </row>
    <row r="36" spans="1:3" x14ac:dyDescent="0.35">
      <c r="A36" t="s">
        <v>45</v>
      </c>
      <c r="B36" t="s">
        <v>11</v>
      </c>
      <c r="C36">
        <v>-89.289386614084094</v>
      </c>
    </row>
    <row r="37" spans="1:3" x14ac:dyDescent="0.35">
      <c r="A37" t="s">
        <v>46</v>
      </c>
      <c r="B37" t="s">
        <v>17</v>
      </c>
      <c r="C37">
        <v>-88.332380597240984</v>
      </c>
    </row>
    <row r="38" spans="1:3" x14ac:dyDescent="0.35">
      <c r="A38" t="s">
        <v>46</v>
      </c>
      <c r="B38" t="s">
        <v>17</v>
      </c>
      <c r="C38">
        <v>-88.332380597240984</v>
      </c>
    </row>
    <row r="39" spans="1:3" x14ac:dyDescent="0.35">
      <c r="A39" t="s">
        <v>47</v>
      </c>
      <c r="B39" t="s">
        <v>17</v>
      </c>
      <c r="C39">
        <v>-69.627995480004373</v>
      </c>
    </row>
    <row r="40" spans="1:3" x14ac:dyDescent="0.35">
      <c r="A40" t="s">
        <v>48</v>
      </c>
      <c r="B40" t="s">
        <v>11</v>
      </c>
      <c r="C40">
        <v>-98.86034503390141</v>
      </c>
    </row>
    <row r="41" spans="1:3" x14ac:dyDescent="0.35">
      <c r="A41" t="s">
        <v>49</v>
      </c>
      <c r="B41" t="s">
        <v>11</v>
      </c>
      <c r="C41">
        <v>-79.610538954994496</v>
      </c>
    </row>
    <row r="42" spans="1:3" x14ac:dyDescent="0.35">
      <c r="A42" t="s">
        <v>50</v>
      </c>
      <c r="B42" t="s">
        <v>17</v>
      </c>
      <c r="C42">
        <v>-98.802767025185176</v>
      </c>
    </row>
    <row r="43" spans="1:3" x14ac:dyDescent="0.35">
      <c r="A43" t="s">
        <v>51</v>
      </c>
      <c r="B43" t="s">
        <v>17</v>
      </c>
      <c r="C43">
        <v>-34.19035820646716</v>
      </c>
    </row>
    <row r="44" spans="1:3" x14ac:dyDescent="0.35">
      <c r="A44" t="s">
        <v>52</v>
      </c>
      <c r="B44" t="s">
        <v>17</v>
      </c>
      <c r="C44">
        <v>-67.66308117205331</v>
      </c>
    </row>
    <row r="45" spans="1:3" x14ac:dyDescent="0.35">
      <c r="A45" t="s">
        <v>53</v>
      </c>
      <c r="B45" t="s">
        <v>17</v>
      </c>
      <c r="C45">
        <v>-77.477095614849873</v>
      </c>
    </row>
    <row r="46" spans="1:3" x14ac:dyDescent="0.35">
      <c r="A46" t="s">
        <v>54</v>
      </c>
      <c r="B46" t="s">
        <v>17</v>
      </c>
      <c r="C46">
        <v>-67.831301857668208</v>
      </c>
    </row>
    <row r="47" spans="1:3" x14ac:dyDescent="0.35">
      <c r="A47" t="s">
        <v>55</v>
      </c>
      <c r="B47" t="s">
        <v>17</v>
      </c>
      <c r="C47">
        <v>-77.634224547127872</v>
      </c>
    </row>
    <row r="48" spans="1:3" x14ac:dyDescent="0.35">
      <c r="A48" t="s">
        <v>56</v>
      </c>
      <c r="B48" t="s">
        <v>17</v>
      </c>
      <c r="C48">
        <v>-60.475744030944</v>
      </c>
    </row>
    <row r="49" spans="1:3" x14ac:dyDescent="0.35">
      <c r="A49" t="s">
        <v>57</v>
      </c>
      <c r="B49" t="s">
        <v>17</v>
      </c>
      <c r="C49">
        <v>-85.346109843769497</v>
      </c>
    </row>
    <row r="50" spans="1:3" x14ac:dyDescent="0.35">
      <c r="A50" t="s">
        <v>58</v>
      </c>
      <c r="B50" t="s">
        <v>17</v>
      </c>
      <c r="C50">
        <v>-53.70748079844703</v>
      </c>
    </row>
    <row r="51" spans="1:3" x14ac:dyDescent="0.35">
      <c r="A51" t="s">
        <v>59</v>
      </c>
      <c r="B51" t="s">
        <v>17</v>
      </c>
      <c r="C51">
        <v>-68.912925470109755</v>
      </c>
    </row>
    <row r="52" spans="1:3" x14ac:dyDescent="0.35">
      <c r="A52" t="s">
        <v>60</v>
      </c>
      <c r="B52" t="s">
        <v>11</v>
      </c>
      <c r="C52">
        <v>-96.573890780344513</v>
      </c>
    </row>
    <row r="53" spans="1:3" x14ac:dyDescent="0.35">
      <c r="A53" t="s">
        <v>61</v>
      </c>
      <c r="B53" t="s">
        <v>17</v>
      </c>
      <c r="C53">
        <v>-35.780455525551886</v>
      </c>
    </row>
    <row r="54" spans="1:3" x14ac:dyDescent="0.35">
      <c r="A54" t="s">
        <v>62</v>
      </c>
      <c r="B54" t="s">
        <v>17</v>
      </c>
      <c r="C54">
        <v>-98.88810490576904</v>
      </c>
    </row>
    <row r="55" spans="1:3" x14ac:dyDescent="0.35">
      <c r="A55" t="s">
        <v>63</v>
      </c>
      <c r="B55" t="s">
        <v>11</v>
      </c>
      <c r="C55">
        <v>-97.961621627369084</v>
      </c>
    </row>
    <row r="56" spans="1:3" x14ac:dyDescent="0.35">
      <c r="A56" t="s">
        <v>64</v>
      </c>
      <c r="B56" t="s">
        <v>17</v>
      </c>
      <c r="C56">
        <v>-85.462852699364618</v>
      </c>
    </row>
    <row r="57" spans="1:3" x14ac:dyDescent="0.35">
      <c r="A57" t="s">
        <v>65</v>
      </c>
      <c r="B57" t="s">
        <v>17</v>
      </c>
      <c r="C57">
        <v>-20.867665639299506</v>
      </c>
    </row>
    <row r="58" spans="1:3" x14ac:dyDescent="0.35">
      <c r="A58" t="s">
        <v>66</v>
      </c>
      <c r="B58" t="s">
        <v>17</v>
      </c>
      <c r="C58">
        <v>-97.454830274360987</v>
      </c>
    </row>
    <row r="59" spans="1:3" x14ac:dyDescent="0.35">
      <c r="A59" t="s">
        <v>67</v>
      </c>
      <c r="B59" t="s">
        <v>17</v>
      </c>
      <c r="C59">
        <v>-51.429002908054599</v>
      </c>
    </row>
    <row r="60" spans="1:3" x14ac:dyDescent="0.35">
      <c r="A60" t="s">
        <v>68</v>
      </c>
      <c r="B60" t="s">
        <v>17</v>
      </c>
      <c r="C60">
        <v>-89.689649998340613</v>
      </c>
    </row>
    <row r="61" spans="1:3" x14ac:dyDescent="0.35">
      <c r="A61" t="s">
        <v>69</v>
      </c>
      <c r="B61" t="s">
        <v>17</v>
      </c>
      <c r="C61">
        <v>-58.853379140959241</v>
      </c>
    </row>
    <row r="62" spans="1:3" x14ac:dyDescent="0.35">
      <c r="A62" t="s">
        <v>70</v>
      </c>
      <c r="B62" t="s">
        <v>17</v>
      </c>
      <c r="C62">
        <v>-87.526479413633993</v>
      </c>
    </row>
    <row r="63" spans="1:3" x14ac:dyDescent="0.35">
      <c r="A63" t="s">
        <v>71</v>
      </c>
      <c r="B63" t="s">
        <v>11</v>
      </c>
      <c r="C63">
        <v>-53.244095306219016</v>
      </c>
    </row>
    <row r="64" spans="1:3" x14ac:dyDescent="0.35">
      <c r="A64" t="s">
        <v>72</v>
      </c>
      <c r="B64" t="s">
        <v>11</v>
      </c>
      <c r="C64">
        <v>-76.666191017236017</v>
      </c>
    </row>
    <row r="65" spans="1:3" x14ac:dyDescent="0.35">
      <c r="A65" t="s">
        <v>73</v>
      </c>
      <c r="B65" t="s">
        <v>17</v>
      </c>
      <c r="C65">
        <v>-83.116347711869679</v>
      </c>
    </row>
    <row r="66" spans="1:3" x14ac:dyDescent="0.35">
      <c r="A66" t="s">
        <v>74</v>
      </c>
      <c r="B66" t="s">
        <v>17</v>
      </c>
      <c r="C66">
        <v>-98.732933094436731</v>
      </c>
    </row>
    <row r="67" spans="1:3" x14ac:dyDescent="0.35">
      <c r="A67" t="s">
        <v>75</v>
      </c>
      <c r="B67" t="s">
        <v>11</v>
      </c>
      <c r="C67">
        <v>-74.598908521367875</v>
      </c>
    </row>
    <row r="68" spans="1:3" x14ac:dyDescent="0.35">
      <c r="A68" t="s">
        <v>76</v>
      </c>
      <c r="B68" t="s">
        <v>17</v>
      </c>
      <c r="C68">
        <v>-99.411741137566395</v>
      </c>
    </row>
    <row r="69" spans="1:3" x14ac:dyDescent="0.35">
      <c r="A69" t="s">
        <v>77</v>
      </c>
      <c r="B69" t="s">
        <v>17</v>
      </c>
      <c r="C69">
        <v>-96.354594368831897</v>
      </c>
    </row>
    <row r="70" spans="1:3" x14ac:dyDescent="0.35">
      <c r="A70" t="s">
        <v>78</v>
      </c>
      <c r="B70" t="s">
        <v>17</v>
      </c>
      <c r="C70">
        <v>-91.833824955567692</v>
      </c>
    </row>
    <row r="71" spans="1:3" x14ac:dyDescent="0.35">
      <c r="A71" t="s">
        <v>79</v>
      </c>
      <c r="B71" t="s">
        <v>11</v>
      </c>
      <c r="C71">
        <v>-62.956883801746741</v>
      </c>
    </row>
    <row r="72" spans="1:3" x14ac:dyDescent="0.35">
      <c r="A72" t="s">
        <v>80</v>
      </c>
      <c r="B72" t="s">
        <v>17</v>
      </c>
      <c r="C72">
        <v>-90.901921724318626</v>
      </c>
    </row>
    <row r="73" spans="1:3" x14ac:dyDescent="0.35">
      <c r="A73" t="s">
        <v>81</v>
      </c>
      <c r="B73" t="s">
        <v>11</v>
      </c>
      <c r="C73">
        <v>-77.440789459108046</v>
      </c>
    </row>
    <row r="74" spans="1:3" x14ac:dyDescent="0.35">
      <c r="A74" t="s">
        <v>82</v>
      </c>
      <c r="B74" t="s">
        <v>17</v>
      </c>
      <c r="C74">
        <v>-87.22085517725958</v>
      </c>
    </row>
    <row r="75" spans="1:3" x14ac:dyDescent="0.35">
      <c r="A75" t="s">
        <v>83</v>
      </c>
      <c r="B75" t="s">
        <v>17</v>
      </c>
      <c r="C75">
        <v>-98.6726332109493</v>
      </c>
    </row>
    <row r="76" spans="1:3" x14ac:dyDescent="0.35">
      <c r="A76" t="s">
        <v>84</v>
      </c>
      <c r="B76" t="s">
        <v>17</v>
      </c>
      <c r="C76">
        <v>-84.115737012906877</v>
      </c>
    </row>
    <row r="77" spans="1:3" x14ac:dyDescent="0.35">
      <c r="A77" t="s">
        <v>85</v>
      </c>
      <c r="B77" t="s">
        <v>17</v>
      </c>
      <c r="C77">
        <v>-83.606735022154893</v>
      </c>
    </row>
    <row r="78" spans="1:3" x14ac:dyDescent="0.35">
      <c r="A78" t="s">
        <v>86</v>
      </c>
      <c r="B78" t="s">
        <v>17</v>
      </c>
      <c r="C78">
        <v>-94.1972486802444</v>
      </c>
    </row>
    <row r="79" spans="1:3" x14ac:dyDescent="0.35">
      <c r="A79" t="s">
        <v>87</v>
      </c>
      <c r="B79" t="s">
        <v>11</v>
      </c>
      <c r="C79">
        <v>0</v>
      </c>
    </row>
    <row r="80" spans="1:3" x14ac:dyDescent="0.35">
      <c r="A80" t="s">
        <v>88</v>
      </c>
      <c r="B80" t="s">
        <v>11</v>
      </c>
      <c r="C80">
        <v>-91.101430191614739</v>
      </c>
    </row>
    <row r="81" spans="1:3" x14ac:dyDescent="0.35">
      <c r="A81" t="s">
        <v>89</v>
      </c>
      <c r="B81" t="s">
        <v>11</v>
      </c>
      <c r="C81">
        <v>-44.938219005323113</v>
      </c>
    </row>
    <row r="82" spans="1:3" x14ac:dyDescent="0.35">
      <c r="A82" t="s">
        <v>90</v>
      </c>
      <c r="B82" t="s">
        <v>11</v>
      </c>
      <c r="C82">
        <v>-71.365540284366475</v>
      </c>
    </row>
    <row r="83" spans="1:3" x14ac:dyDescent="0.35">
      <c r="A83" t="s">
        <v>91</v>
      </c>
      <c r="B83" t="s">
        <v>11</v>
      </c>
      <c r="C83">
        <v>-83.267548004041501</v>
      </c>
    </row>
    <row r="84" spans="1:3" x14ac:dyDescent="0.35">
      <c r="A84" t="s">
        <v>92</v>
      </c>
      <c r="B84" t="s">
        <v>11</v>
      </c>
      <c r="C84">
        <v>-95.290064081201507</v>
      </c>
    </row>
    <row r="85" spans="1:3" x14ac:dyDescent="0.35">
      <c r="A85" t="s">
        <v>93</v>
      </c>
      <c r="B85" t="s">
        <v>17</v>
      </c>
      <c r="C85">
        <v>-99.971757133899231</v>
      </c>
    </row>
    <row r="86" spans="1:3" x14ac:dyDescent="0.35">
      <c r="A86" t="s">
        <v>94</v>
      </c>
      <c r="B86" t="s">
        <v>11</v>
      </c>
      <c r="C86">
        <v>-48.468717395507781</v>
      </c>
    </row>
    <row r="87" spans="1:3" x14ac:dyDescent="0.35">
      <c r="A87" t="s">
        <v>95</v>
      </c>
      <c r="B87" t="s">
        <v>11</v>
      </c>
      <c r="C87">
        <v>-56.400607038396359</v>
      </c>
    </row>
    <row r="88" spans="1:3" x14ac:dyDescent="0.35">
      <c r="A88" t="s">
        <v>96</v>
      </c>
      <c r="B88" t="s">
        <v>11</v>
      </c>
      <c r="C88">
        <v>-66.696337180107435</v>
      </c>
    </row>
    <row r="89" spans="1:3" x14ac:dyDescent="0.35">
      <c r="A89" t="s">
        <v>97</v>
      </c>
      <c r="B89" t="s">
        <v>11</v>
      </c>
      <c r="C89">
        <v>0</v>
      </c>
    </row>
    <row r="90" spans="1:3" x14ac:dyDescent="0.35">
      <c r="A90" t="s">
        <v>98</v>
      </c>
      <c r="B90" t="s">
        <v>17</v>
      </c>
      <c r="C90">
        <v>-68.581133912348875</v>
      </c>
    </row>
    <row r="91" spans="1:3" x14ac:dyDescent="0.35">
      <c r="A91" t="s">
        <v>99</v>
      </c>
      <c r="B91" t="s">
        <v>17</v>
      </c>
      <c r="C91">
        <v>-34.266821574481952</v>
      </c>
    </row>
    <row r="92" spans="1:3" x14ac:dyDescent="0.35">
      <c r="A92" t="s">
        <v>100</v>
      </c>
      <c r="B92" t="s">
        <v>11</v>
      </c>
      <c r="C92">
        <v>-97.666168636109262</v>
      </c>
    </row>
    <row r="93" spans="1:3" x14ac:dyDescent="0.35">
      <c r="A93" t="s">
        <v>101</v>
      </c>
      <c r="B93" t="s">
        <v>17</v>
      </c>
      <c r="C93">
        <v>-48.443069346474623</v>
      </c>
    </row>
    <row r="94" spans="1:3" x14ac:dyDescent="0.35">
      <c r="A94" t="s">
        <v>102</v>
      </c>
      <c r="B94" t="s">
        <v>11</v>
      </c>
      <c r="C94">
        <v>-90.864248635152734</v>
      </c>
    </row>
    <row r="95" spans="1:3" x14ac:dyDescent="0.35">
      <c r="A95" t="s">
        <v>103</v>
      </c>
      <c r="B95" t="s">
        <v>11</v>
      </c>
      <c r="C95">
        <v>-98.505494950370405</v>
      </c>
    </row>
    <row r="96" spans="1:3" x14ac:dyDescent="0.35">
      <c r="A96" t="s">
        <v>104</v>
      </c>
      <c r="B96" t="s">
        <v>17</v>
      </c>
      <c r="C96">
        <v>-94.423023315438968</v>
      </c>
    </row>
    <row r="97" spans="1:3" x14ac:dyDescent="0.35">
      <c r="A97" t="s">
        <v>105</v>
      </c>
      <c r="B97" t="s">
        <v>17</v>
      </c>
      <c r="C97">
        <v>-82.541941048686596</v>
      </c>
    </row>
    <row r="98" spans="1:3" x14ac:dyDescent="0.35">
      <c r="A98" t="s">
        <v>106</v>
      </c>
      <c r="B98" t="s">
        <v>11</v>
      </c>
      <c r="C98">
        <v>-97.044968340200967</v>
      </c>
    </row>
    <row r="99" spans="1:3" x14ac:dyDescent="0.35">
      <c r="A99" t="s">
        <v>107</v>
      </c>
      <c r="B99" t="s">
        <v>11</v>
      </c>
      <c r="C99">
        <v>-94.309348118345525</v>
      </c>
    </row>
    <row r="100" spans="1:3" x14ac:dyDescent="0.35">
      <c r="A100" t="s">
        <v>87</v>
      </c>
      <c r="B100" t="s">
        <v>17</v>
      </c>
      <c r="C100">
        <v>-99.582637861213968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74D14-2142-4773-8F0B-B1E3D023A83F}">
  <dimension ref="A1:K96"/>
  <sheetViews>
    <sheetView zoomScale="115" zoomScaleNormal="115" workbookViewId="0">
      <selection activeCell="I1" sqref="I1"/>
    </sheetView>
  </sheetViews>
  <sheetFormatPr defaultRowHeight="14.5" x14ac:dyDescent="0.35"/>
  <cols>
    <col min="1" max="1" width="9.6328125" bestFit="1" customWidth="1"/>
    <col min="2" max="3" width="9.6328125" customWidth="1"/>
    <col min="5" max="5" width="15.453125" customWidth="1"/>
    <col min="6" max="8" width="11.81640625" customWidth="1"/>
  </cols>
  <sheetData>
    <row r="1" spans="1:11" x14ac:dyDescent="0.35">
      <c r="A1" s="1" t="s">
        <v>193</v>
      </c>
      <c r="B1" s="1" t="s">
        <v>194</v>
      </c>
      <c r="C1" s="1" t="s">
        <v>195</v>
      </c>
      <c r="D1" s="1" t="s">
        <v>1</v>
      </c>
      <c r="E1" s="1" t="s">
        <v>108</v>
      </c>
      <c r="F1" s="1" t="s">
        <v>196</v>
      </c>
      <c r="G1" s="1" t="s">
        <v>110</v>
      </c>
      <c r="H1" s="1" t="s">
        <v>111</v>
      </c>
      <c r="I1" s="1" t="s">
        <v>109</v>
      </c>
      <c r="J1" t="s">
        <v>112</v>
      </c>
      <c r="K1" t="s">
        <v>113</v>
      </c>
    </row>
    <row r="2" spans="1:11" x14ac:dyDescent="0.35">
      <c r="A2" t="s">
        <v>114</v>
      </c>
      <c r="B2" t="s">
        <v>115</v>
      </c>
      <c r="C2" t="s">
        <v>116</v>
      </c>
      <c r="D2" t="s">
        <v>11</v>
      </c>
      <c r="E2">
        <v>-89.275634995296329</v>
      </c>
      <c r="F2">
        <v>98.671635123480002</v>
      </c>
      <c r="G2">
        <f>-F2</f>
        <v>-98.671635123480002</v>
      </c>
      <c r="H2">
        <v>98.671635123480002</v>
      </c>
      <c r="I2">
        <v>-53.219233903830485</v>
      </c>
      <c r="J2">
        <v>81.5</v>
      </c>
      <c r="K2">
        <v>800</v>
      </c>
    </row>
    <row r="3" spans="1:11" x14ac:dyDescent="0.35">
      <c r="A3" t="s">
        <v>114</v>
      </c>
      <c r="B3" t="s">
        <v>117</v>
      </c>
      <c r="C3" t="s">
        <v>118</v>
      </c>
      <c r="D3" t="s">
        <v>11</v>
      </c>
      <c r="E3">
        <v>-80.62200956937798</v>
      </c>
      <c r="F3">
        <v>22.819185036899846</v>
      </c>
      <c r="G3">
        <f t="shared" ref="G3:G66" si="0">-F3</f>
        <v>-22.819185036899846</v>
      </c>
      <c r="H3">
        <v>22.819185036899846</v>
      </c>
      <c r="I3">
        <v>-93.163265306122454</v>
      </c>
      <c r="J3">
        <v>73</v>
      </c>
      <c r="K3">
        <v>794</v>
      </c>
    </row>
    <row r="4" spans="1:11" x14ac:dyDescent="0.35">
      <c r="A4" t="s">
        <v>114</v>
      </c>
      <c r="B4" t="s">
        <v>119</v>
      </c>
      <c r="C4" t="s">
        <v>120</v>
      </c>
      <c r="D4" t="s">
        <v>11</v>
      </c>
      <c r="E4">
        <v>-77.641778865769069</v>
      </c>
      <c r="F4">
        <v>83.703787555785354</v>
      </c>
      <c r="G4">
        <f t="shared" si="0"/>
        <v>-83.703787555785354</v>
      </c>
      <c r="H4">
        <v>83.703787555785354</v>
      </c>
      <c r="I4">
        <v>-74.133432724562056</v>
      </c>
      <c r="J4">
        <v>77.099999999999994</v>
      </c>
      <c r="K4">
        <v>720</v>
      </c>
    </row>
    <row r="5" spans="1:11" x14ac:dyDescent="0.35">
      <c r="A5" t="s">
        <v>114</v>
      </c>
      <c r="B5" t="s">
        <v>121</v>
      </c>
      <c r="C5" t="s">
        <v>122</v>
      </c>
      <c r="D5" t="s">
        <v>11</v>
      </c>
      <c r="E5">
        <v>-86.716877781581644</v>
      </c>
      <c r="F5">
        <v>58.323673583868555</v>
      </c>
      <c r="G5">
        <f t="shared" si="0"/>
        <v>-58.323673583868555</v>
      </c>
      <c r="H5">
        <v>58.323673583868541</v>
      </c>
      <c r="I5">
        <v>-91.074460344409417</v>
      </c>
      <c r="J5">
        <v>12.1</v>
      </c>
      <c r="K5">
        <v>290</v>
      </c>
    </row>
    <row r="6" spans="1:11" x14ac:dyDescent="0.35">
      <c r="A6" t="s">
        <v>114</v>
      </c>
      <c r="B6" t="s">
        <v>121</v>
      </c>
      <c r="C6" t="s">
        <v>123</v>
      </c>
      <c r="D6" t="s">
        <v>11</v>
      </c>
      <c r="E6">
        <v>-68.423973362930084</v>
      </c>
      <c r="F6">
        <v>91.101430191614739</v>
      </c>
      <c r="G6">
        <f t="shared" si="0"/>
        <v>-91.101430191614739</v>
      </c>
      <c r="H6">
        <v>91.101430191614739</v>
      </c>
      <c r="I6">
        <v>-58.20659062103929</v>
      </c>
      <c r="J6">
        <v>27</v>
      </c>
      <c r="K6">
        <v>244</v>
      </c>
    </row>
    <row r="7" spans="1:11" x14ac:dyDescent="0.35">
      <c r="A7" t="s">
        <v>114</v>
      </c>
      <c r="B7" t="s">
        <v>124</v>
      </c>
      <c r="C7" t="s">
        <v>125</v>
      </c>
      <c r="D7" t="s">
        <v>11</v>
      </c>
      <c r="E7">
        <v>-52.130325814536334</v>
      </c>
      <c r="F7">
        <v>96.370387584369524</v>
      </c>
      <c r="G7">
        <f t="shared" si="0"/>
        <v>-96.370387584369524</v>
      </c>
      <c r="H7">
        <v>96.37038758436951</v>
      </c>
      <c r="I7">
        <v>-38.44419391206312</v>
      </c>
      <c r="J7">
        <v>128</v>
      </c>
      <c r="K7">
        <v>930</v>
      </c>
    </row>
    <row r="8" spans="1:11" x14ac:dyDescent="0.35">
      <c r="A8" t="s">
        <v>114</v>
      </c>
      <c r="B8" t="s">
        <v>126</v>
      </c>
      <c r="C8" t="s">
        <v>127</v>
      </c>
      <c r="D8" t="s">
        <v>11</v>
      </c>
      <c r="E8">
        <v>-52.05078125</v>
      </c>
      <c r="F8">
        <v>77.440789459108046</v>
      </c>
      <c r="G8">
        <f t="shared" si="0"/>
        <v>-77.440789459108046</v>
      </c>
      <c r="H8">
        <v>77.440789459108046</v>
      </c>
      <c r="I8">
        <v>-52.972972972972975</v>
      </c>
      <c r="J8">
        <v>56.6</v>
      </c>
      <c r="K8">
        <v>445</v>
      </c>
    </row>
    <row r="9" spans="1:11" x14ac:dyDescent="0.35">
      <c r="A9" t="s">
        <v>114</v>
      </c>
      <c r="B9" t="s">
        <v>126</v>
      </c>
      <c r="C9" t="s">
        <v>128</v>
      </c>
      <c r="D9" t="s">
        <v>11</v>
      </c>
      <c r="E9">
        <v>-86.595666544252651</v>
      </c>
      <c r="F9">
        <v>96.573890780344513</v>
      </c>
      <c r="G9">
        <f t="shared" si="0"/>
        <v>-96.573890780344513</v>
      </c>
      <c r="H9">
        <v>96.573890780344527</v>
      </c>
      <c r="I9">
        <v>-73.056300268096521</v>
      </c>
      <c r="J9">
        <v>74.8</v>
      </c>
      <c r="K9">
        <v>670</v>
      </c>
    </row>
    <row r="10" spans="1:11" x14ac:dyDescent="0.35">
      <c r="A10" t="s">
        <v>114</v>
      </c>
      <c r="B10" t="s">
        <v>126</v>
      </c>
      <c r="C10" t="s">
        <v>129</v>
      </c>
      <c r="D10" t="s">
        <v>11</v>
      </c>
      <c r="E10">
        <v>-87.614132592298546</v>
      </c>
      <c r="F10">
        <v>97.961621627369084</v>
      </c>
      <c r="G10">
        <f t="shared" si="0"/>
        <v>-97.961621627369084</v>
      </c>
      <c r="H10">
        <v>97.961621627369112</v>
      </c>
      <c r="I10">
        <v>-73.429781227946364</v>
      </c>
      <c r="J10">
        <v>70.599999999999994</v>
      </c>
      <c r="K10">
        <v>700</v>
      </c>
    </row>
    <row r="11" spans="1:11" x14ac:dyDescent="0.35">
      <c r="A11" t="s">
        <v>114</v>
      </c>
      <c r="B11" t="s">
        <v>130</v>
      </c>
      <c r="C11" t="s">
        <v>131</v>
      </c>
      <c r="D11" t="s">
        <v>17</v>
      </c>
      <c r="E11">
        <v>-81.535562882713151</v>
      </c>
      <c r="F11">
        <v>99.582637861213968</v>
      </c>
      <c r="G11">
        <f t="shared" si="0"/>
        <v>-99.582637861213968</v>
      </c>
      <c r="H11">
        <v>99.582637861213968</v>
      </c>
      <c r="I11">
        <v>-50.653594771241828</v>
      </c>
      <c r="J11">
        <v>31</v>
      </c>
      <c r="K11">
        <v>390</v>
      </c>
    </row>
    <row r="12" spans="1:11" x14ac:dyDescent="0.35">
      <c r="A12" t="s">
        <v>114</v>
      </c>
      <c r="B12" t="s">
        <v>132</v>
      </c>
      <c r="C12" t="s">
        <v>133</v>
      </c>
      <c r="D12" t="s">
        <v>11</v>
      </c>
      <c r="E12">
        <v>-74.315443592552029</v>
      </c>
      <c r="F12">
        <v>70.249735304863805</v>
      </c>
      <c r="G12">
        <f t="shared" si="0"/>
        <v>-70.249735304863805</v>
      </c>
      <c r="H12">
        <v>70.24973530486379</v>
      </c>
      <c r="I12">
        <v>-67.547723935389143</v>
      </c>
      <c r="J12">
        <v>136.30000000000001</v>
      </c>
      <c r="K12">
        <v>832</v>
      </c>
    </row>
    <row r="13" spans="1:11" x14ac:dyDescent="0.35">
      <c r="A13" t="s">
        <v>114</v>
      </c>
      <c r="B13" t="s">
        <v>134</v>
      </c>
      <c r="C13" t="s">
        <v>135</v>
      </c>
      <c r="D13" t="s">
        <v>11</v>
      </c>
      <c r="E13">
        <v>-80.582166543846739</v>
      </c>
      <c r="F13">
        <v>61.124723586220206</v>
      </c>
      <c r="G13">
        <f t="shared" si="0"/>
        <v>-61.124723586220206</v>
      </c>
      <c r="H13">
        <v>61.12472358622022</v>
      </c>
      <c r="I13">
        <v>-56.817565735971812</v>
      </c>
      <c r="J13">
        <v>79.7</v>
      </c>
      <c r="K13">
        <v>858</v>
      </c>
    </row>
    <row r="14" spans="1:11" x14ac:dyDescent="0.35">
      <c r="A14" t="s">
        <v>114</v>
      </c>
      <c r="B14" t="s">
        <v>136</v>
      </c>
      <c r="C14" t="s">
        <v>137</v>
      </c>
      <c r="D14" t="s">
        <v>11</v>
      </c>
      <c r="E14">
        <v>-70.346062052505971</v>
      </c>
      <c r="F14">
        <v>79.454713831446298</v>
      </c>
      <c r="G14">
        <f t="shared" si="0"/>
        <v>-79.454713831446298</v>
      </c>
      <c r="H14">
        <v>99.454713831446313</v>
      </c>
      <c r="I14">
        <v>-47.131445170660854</v>
      </c>
      <c r="J14">
        <v>51.9</v>
      </c>
      <c r="K14">
        <v>645</v>
      </c>
    </row>
    <row r="15" spans="1:11" x14ac:dyDescent="0.35">
      <c r="A15" t="s">
        <v>114</v>
      </c>
      <c r="B15" t="s">
        <v>138</v>
      </c>
      <c r="C15" t="s">
        <v>139</v>
      </c>
      <c r="D15" t="s">
        <v>11</v>
      </c>
      <c r="E15">
        <v>-64.448188711036238</v>
      </c>
      <c r="F15">
        <v>68.505494950370405</v>
      </c>
      <c r="G15">
        <f>-F15</f>
        <v>-68.505494950370405</v>
      </c>
      <c r="H15">
        <v>98.505494950370405</v>
      </c>
      <c r="I15">
        <v>-46.011486917677082</v>
      </c>
      <c r="J15">
        <v>90</v>
      </c>
      <c r="K15">
        <v>735</v>
      </c>
    </row>
    <row r="16" spans="1:11" x14ac:dyDescent="0.35">
      <c r="A16" t="s">
        <v>114</v>
      </c>
      <c r="B16" t="s">
        <v>140</v>
      </c>
      <c r="C16" t="s">
        <v>141</v>
      </c>
      <c r="D16" t="s">
        <v>11</v>
      </c>
      <c r="E16">
        <v>-84.445291650781556</v>
      </c>
      <c r="F16">
        <v>99.107443971573034</v>
      </c>
      <c r="G16">
        <f t="shared" si="0"/>
        <v>-99.107443971573034</v>
      </c>
      <c r="H16">
        <v>99.107443971573034</v>
      </c>
      <c r="I16">
        <v>-56.466763005780344</v>
      </c>
      <c r="J16">
        <v>20</v>
      </c>
      <c r="K16">
        <v>384</v>
      </c>
    </row>
    <row r="17" spans="1:11" x14ac:dyDescent="0.35">
      <c r="A17" t="s">
        <v>114</v>
      </c>
      <c r="B17" t="s">
        <v>140</v>
      </c>
      <c r="C17" t="s">
        <v>142</v>
      </c>
      <c r="D17" t="s">
        <v>11</v>
      </c>
      <c r="E17">
        <v>-94.17852522639069</v>
      </c>
      <c r="F17">
        <v>56.842936600551397</v>
      </c>
      <c r="G17">
        <f t="shared" si="0"/>
        <v>-56.842936600551397</v>
      </c>
      <c r="H17">
        <v>56.842936600551383</v>
      </c>
      <c r="I17">
        <v>-76.152683295540427</v>
      </c>
      <c r="J17">
        <v>24.6</v>
      </c>
      <c r="K17">
        <v>490</v>
      </c>
    </row>
    <row r="18" spans="1:11" x14ac:dyDescent="0.35">
      <c r="A18" t="s">
        <v>143</v>
      </c>
      <c r="B18" t="s">
        <v>144</v>
      </c>
      <c r="C18" t="s">
        <v>116</v>
      </c>
      <c r="D18" t="s">
        <v>11</v>
      </c>
      <c r="E18">
        <v>-95.034246575342465</v>
      </c>
      <c r="F18">
        <v>89.578826167552322</v>
      </c>
      <c r="G18">
        <f t="shared" si="0"/>
        <v>-89.578826167552322</v>
      </c>
      <c r="H18">
        <v>89.578826167552322</v>
      </c>
      <c r="I18">
        <v>-89.068702290076331</v>
      </c>
      <c r="J18">
        <v>63.2</v>
      </c>
      <c r="K18">
        <v>602</v>
      </c>
    </row>
    <row r="19" spans="1:11" x14ac:dyDescent="0.35">
      <c r="A19" t="s">
        <v>143</v>
      </c>
      <c r="B19" t="s">
        <v>144</v>
      </c>
      <c r="C19" t="s">
        <v>131</v>
      </c>
      <c r="D19" t="s">
        <v>11</v>
      </c>
      <c r="E19">
        <v>-88.307570352754666</v>
      </c>
      <c r="F19">
        <v>97.666168636109262</v>
      </c>
      <c r="G19">
        <f t="shared" si="0"/>
        <v>-97.666168636109262</v>
      </c>
      <c r="H19">
        <v>97.666168636109276</v>
      </c>
      <c r="I19">
        <v>-79.291251384274631</v>
      </c>
      <c r="J19">
        <v>73.400000000000006</v>
      </c>
      <c r="K19">
        <v>670</v>
      </c>
    </row>
    <row r="20" spans="1:11" x14ac:dyDescent="0.35">
      <c r="A20" t="s">
        <v>143</v>
      </c>
      <c r="B20" t="s">
        <v>115</v>
      </c>
      <c r="C20" t="s">
        <v>145</v>
      </c>
      <c r="D20" t="s">
        <v>11</v>
      </c>
      <c r="E20">
        <v>-82.581360946745562</v>
      </c>
      <c r="F20">
        <v>74.718545527527453</v>
      </c>
      <c r="G20">
        <f t="shared" si="0"/>
        <v>-74.718545527527453</v>
      </c>
      <c r="H20">
        <v>74.718545527527453</v>
      </c>
      <c r="I20">
        <v>-82.937105025579299</v>
      </c>
      <c r="J20">
        <v>62.2</v>
      </c>
      <c r="K20">
        <v>560</v>
      </c>
    </row>
    <row r="21" spans="1:11" x14ac:dyDescent="0.35">
      <c r="A21" t="s">
        <v>143</v>
      </c>
      <c r="B21" t="s">
        <v>117</v>
      </c>
      <c r="C21" t="s">
        <v>146</v>
      </c>
      <c r="D21" t="s">
        <v>11</v>
      </c>
      <c r="E21">
        <v>-53.869969040247682</v>
      </c>
      <c r="F21">
        <v>56.400607038396359</v>
      </c>
      <c r="G21">
        <f t="shared" si="0"/>
        <v>-56.400607038396359</v>
      </c>
      <c r="H21">
        <v>56.40060703839633</v>
      </c>
      <c r="I21">
        <v>-90.346740638002771</v>
      </c>
      <c r="J21">
        <v>83.6</v>
      </c>
      <c r="K21">
        <v>660</v>
      </c>
    </row>
    <row r="22" spans="1:11" x14ac:dyDescent="0.35">
      <c r="A22" t="s">
        <v>143</v>
      </c>
      <c r="B22" t="s">
        <v>117</v>
      </c>
      <c r="C22" t="s">
        <v>137</v>
      </c>
      <c r="D22" t="s">
        <v>11</v>
      </c>
      <c r="E22">
        <v>-83.018867924528294</v>
      </c>
      <c r="F22">
        <v>94.662095299480015</v>
      </c>
      <c r="G22">
        <f t="shared" si="0"/>
        <v>-94.662095299480015</v>
      </c>
      <c r="H22">
        <v>94.662095299480015</v>
      </c>
      <c r="I22">
        <v>-89.443577743109728</v>
      </c>
      <c r="J22">
        <v>64.5</v>
      </c>
      <c r="K22">
        <v>700</v>
      </c>
    </row>
    <row r="23" spans="1:11" x14ac:dyDescent="0.35">
      <c r="A23" t="s">
        <v>143</v>
      </c>
      <c r="B23" t="s">
        <v>119</v>
      </c>
      <c r="C23" t="s">
        <v>147</v>
      </c>
      <c r="D23" t="s">
        <v>11</v>
      </c>
      <c r="E23">
        <v>-88.567026194144844</v>
      </c>
      <c r="F23">
        <v>90.864248635152734</v>
      </c>
      <c r="G23">
        <f t="shared" si="0"/>
        <v>-90.864248635152734</v>
      </c>
      <c r="H23">
        <v>90.864248635152734</v>
      </c>
      <c r="I23">
        <v>-81.927259092613426</v>
      </c>
      <c r="J23">
        <v>74.8</v>
      </c>
      <c r="K23">
        <v>661</v>
      </c>
    </row>
    <row r="24" spans="1:11" x14ac:dyDescent="0.35">
      <c r="A24" t="s">
        <v>143</v>
      </c>
      <c r="B24" t="s">
        <v>124</v>
      </c>
      <c r="C24" t="s">
        <v>148</v>
      </c>
      <c r="D24" t="s">
        <v>11</v>
      </c>
      <c r="E24">
        <v>-61.782347900599831</v>
      </c>
      <c r="F24">
        <v>92.851219771046345</v>
      </c>
      <c r="G24">
        <f t="shared" si="0"/>
        <v>-92.851219771046345</v>
      </c>
      <c r="H24">
        <v>100</v>
      </c>
      <c r="I24">
        <v>-60.940325497287503</v>
      </c>
      <c r="J24">
        <v>57.9</v>
      </c>
      <c r="K24">
        <v>680</v>
      </c>
    </row>
    <row r="25" spans="1:11" x14ac:dyDescent="0.35">
      <c r="A25" t="s">
        <v>143</v>
      </c>
      <c r="B25" t="s">
        <v>124</v>
      </c>
      <c r="C25" t="s">
        <v>149</v>
      </c>
      <c r="D25" t="s">
        <v>11</v>
      </c>
      <c r="E25">
        <v>-51.07421875</v>
      </c>
      <c r="F25">
        <v>78.633954925986146</v>
      </c>
      <c r="G25">
        <f t="shared" si="0"/>
        <v>-78.633954925986146</v>
      </c>
      <c r="H25">
        <v>78.633954925986146</v>
      </c>
      <c r="I25">
        <v>-48.192771084337352</v>
      </c>
      <c r="J25">
        <v>86.4</v>
      </c>
      <c r="K25">
        <v>632</v>
      </c>
    </row>
    <row r="26" spans="1:11" x14ac:dyDescent="0.35">
      <c r="A26" t="s">
        <v>143</v>
      </c>
      <c r="B26" t="s">
        <v>126</v>
      </c>
      <c r="C26" t="s">
        <v>128</v>
      </c>
      <c r="D26" t="s">
        <v>11</v>
      </c>
      <c r="E26">
        <v>-73.271584518690034</v>
      </c>
      <c r="F26">
        <v>94.309348118345525</v>
      </c>
      <c r="G26">
        <f t="shared" si="0"/>
        <v>-94.309348118345525</v>
      </c>
      <c r="H26">
        <v>94.309348118345525</v>
      </c>
      <c r="I26">
        <v>-59.940564635958403</v>
      </c>
      <c r="J26">
        <v>33.4</v>
      </c>
      <c r="K26">
        <v>340</v>
      </c>
    </row>
    <row r="27" spans="1:11" x14ac:dyDescent="0.35">
      <c r="A27" t="s">
        <v>143</v>
      </c>
      <c r="B27" t="s">
        <v>132</v>
      </c>
      <c r="C27" t="s">
        <v>135</v>
      </c>
      <c r="D27" t="s">
        <v>11</v>
      </c>
      <c r="E27">
        <v>-82.493638676844782</v>
      </c>
      <c r="F27">
        <v>71.365540284366475</v>
      </c>
      <c r="G27">
        <f t="shared" si="0"/>
        <v>-71.365540284366475</v>
      </c>
      <c r="H27">
        <v>71.365540284366475</v>
      </c>
      <c r="I27">
        <v>-53.495805033959257</v>
      </c>
      <c r="J27">
        <v>99.7</v>
      </c>
      <c r="K27">
        <v>730</v>
      </c>
    </row>
    <row r="28" spans="1:11" x14ac:dyDescent="0.35">
      <c r="A28" t="s">
        <v>143</v>
      </c>
      <c r="B28" t="s">
        <v>134</v>
      </c>
      <c r="C28" t="s">
        <v>150</v>
      </c>
      <c r="D28" t="s">
        <v>11</v>
      </c>
      <c r="E28">
        <v>-76.219690330119775</v>
      </c>
      <c r="F28">
        <v>42.214627136094897</v>
      </c>
      <c r="G28">
        <f t="shared" si="0"/>
        <v>-42.214627136094897</v>
      </c>
      <c r="H28">
        <v>42.214627136094904</v>
      </c>
      <c r="I28">
        <v>-63.271673724091826</v>
      </c>
      <c r="J28">
        <v>44.9</v>
      </c>
      <c r="K28">
        <v>565</v>
      </c>
    </row>
    <row r="29" spans="1:11" x14ac:dyDescent="0.35">
      <c r="A29" t="s">
        <v>143</v>
      </c>
      <c r="B29" t="s">
        <v>136</v>
      </c>
      <c r="C29" t="s">
        <v>151</v>
      </c>
      <c r="D29" t="s">
        <v>11</v>
      </c>
      <c r="E29">
        <v>-79.494736842105269</v>
      </c>
      <c r="F29">
        <v>76.618134250171508</v>
      </c>
      <c r="G29">
        <f t="shared" si="0"/>
        <v>-76.618134250171508</v>
      </c>
      <c r="H29">
        <v>76.618134250171494</v>
      </c>
      <c r="I29">
        <v>-64.27503736920778</v>
      </c>
      <c r="J29">
        <v>77.599999999999994</v>
      </c>
    </row>
    <row r="30" spans="1:11" x14ac:dyDescent="0.35">
      <c r="A30" t="s">
        <v>143</v>
      </c>
      <c r="B30" t="s">
        <v>136</v>
      </c>
      <c r="C30" t="s">
        <v>152</v>
      </c>
      <c r="D30" t="s">
        <v>11</v>
      </c>
      <c r="E30">
        <v>-78.513931888544903</v>
      </c>
      <c r="F30">
        <v>98.86034503390141</v>
      </c>
      <c r="G30">
        <f t="shared" si="0"/>
        <v>-98.86034503390141</v>
      </c>
      <c r="H30">
        <v>98.860345033901424</v>
      </c>
      <c r="I30">
        <v>-42.846385542168676</v>
      </c>
      <c r="J30">
        <v>39.1</v>
      </c>
      <c r="K30">
        <v>510</v>
      </c>
    </row>
    <row r="31" spans="1:11" x14ac:dyDescent="0.35">
      <c r="A31" t="s">
        <v>143</v>
      </c>
      <c r="B31" t="s">
        <v>138</v>
      </c>
      <c r="C31" t="s">
        <v>122</v>
      </c>
      <c r="D31" t="s">
        <v>11</v>
      </c>
      <c r="E31">
        <v>-56.099815157116453</v>
      </c>
      <c r="F31">
        <v>95.290064081201507</v>
      </c>
      <c r="G31">
        <f t="shared" si="0"/>
        <v>-95.290064081201507</v>
      </c>
      <c r="H31">
        <v>95.290064081201493</v>
      </c>
      <c r="I31">
        <v>-67.065390749601278</v>
      </c>
      <c r="J31">
        <v>135</v>
      </c>
      <c r="K31">
        <v>770</v>
      </c>
    </row>
    <row r="32" spans="1:11" x14ac:dyDescent="0.35">
      <c r="A32" t="s">
        <v>143</v>
      </c>
      <c r="B32" t="s">
        <v>138</v>
      </c>
      <c r="C32" t="s">
        <v>153</v>
      </c>
      <c r="D32" t="s">
        <v>11</v>
      </c>
      <c r="E32">
        <v>-46.443514644351467</v>
      </c>
      <c r="F32">
        <v>85.24909475769374</v>
      </c>
      <c r="G32">
        <f t="shared" si="0"/>
        <v>-85.24909475769374</v>
      </c>
      <c r="H32">
        <v>85.24909475769374</v>
      </c>
      <c r="I32">
        <v>-29.603729603729594</v>
      </c>
      <c r="J32">
        <v>125.1</v>
      </c>
      <c r="K32">
        <v>751</v>
      </c>
    </row>
    <row r="33" spans="1:11" x14ac:dyDescent="0.35">
      <c r="A33" t="s">
        <v>143</v>
      </c>
      <c r="B33" t="s">
        <v>140</v>
      </c>
      <c r="C33" t="s">
        <v>123</v>
      </c>
      <c r="D33" t="s">
        <v>11</v>
      </c>
      <c r="E33">
        <v>-86.616541353383468</v>
      </c>
      <c r="F33">
        <v>98.742674850762697</v>
      </c>
      <c r="G33">
        <f t="shared" si="0"/>
        <v>-98.742674850762697</v>
      </c>
      <c r="H33">
        <v>98.742674850762697</v>
      </c>
      <c r="I33">
        <v>-63.418954827280771</v>
      </c>
      <c r="J33">
        <v>19.8</v>
      </c>
      <c r="K33">
        <v>320</v>
      </c>
    </row>
    <row r="34" spans="1:11" x14ac:dyDescent="0.35">
      <c r="A34" t="s">
        <v>154</v>
      </c>
      <c r="B34" t="s">
        <v>115</v>
      </c>
      <c r="C34" t="s">
        <v>155</v>
      </c>
      <c r="D34" t="s">
        <v>17</v>
      </c>
      <c r="E34">
        <v>-90.37828947368422</v>
      </c>
      <c r="F34">
        <v>89.689649998340613</v>
      </c>
      <c r="G34">
        <f t="shared" si="0"/>
        <v>-89.689649998340613</v>
      </c>
      <c r="H34">
        <v>89.689649998340613</v>
      </c>
      <c r="I34">
        <v>-64.340770791075059</v>
      </c>
      <c r="J34">
        <v>78.599999999999994</v>
      </c>
      <c r="K34">
        <v>701</v>
      </c>
    </row>
    <row r="35" spans="1:11" x14ac:dyDescent="0.35">
      <c r="A35" t="s">
        <v>154</v>
      </c>
      <c r="B35" t="s">
        <v>117</v>
      </c>
      <c r="C35" t="s">
        <v>156</v>
      </c>
      <c r="D35" t="s">
        <v>17</v>
      </c>
      <c r="E35">
        <v>-66.72661870503596</v>
      </c>
      <c r="F35">
        <v>34.19035820646716</v>
      </c>
      <c r="G35">
        <f t="shared" si="0"/>
        <v>-34.19035820646716</v>
      </c>
      <c r="H35">
        <v>34.190358206467153</v>
      </c>
      <c r="I35">
        <v>-94.230769230769241</v>
      </c>
      <c r="J35">
        <v>125</v>
      </c>
      <c r="K35">
        <v>776</v>
      </c>
    </row>
    <row r="36" spans="1:11" x14ac:dyDescent="0.35">
      <c r="A36" t="s">
        <v>154</v>
      </c>
      <c r="B36" t="s">
        <v>117</v>
      </c>
      <c r="C36" t="s">
        <v>157</v>
      </c>
      <c r="D36" t="s">
        <v>17</v>
      </c>
      <c r="E36">
        <v>-68.209255533199183</v>
      </c>
      <c r="F36">
        <v>75.708542861123192</v>
      </c>
      <c r="G36">
        <f t="shared" si="0"/>
        <v>-75.708542861123192</v>
      </c>
      <c r="H36">
        <v>75.708542861123192</v>
      </c>
      <c r="I36">
        <v>-77.622377622377627</v>
      </c>
      <c r="J36">
        <v>107.9</v>
      </c>
      <c r="K36">
        <v>840</v>
      </c>
    </row>
    <row r="37" spans="1:11" x14ac:dyDescent="0.35">
      <c r="A37" t="s">
        <v>154</v>
      </c>
      <c r="B37" t="s">
        <v>119</v>
      </c>
      <c r="C37" t="s">
        <v>153</v>
      </c>
      <c r="D37" t="s">
        <v>17</v>
      </c>
      <c r="E37">
        <v>-78.983833718244796</v>
      </c>
      <c r="F37">
        <v>88.631567663959473</v>
      </c>
      <c r="G37">
        <f t="shared" si="0"/>
        <v>-88.631567663959473</v>
      </c>
      <c r="H37">
        <v>88.631567663959473</v>
      </c>
      <c r="I37">
        <v>-83.279115159401414</v>
      </c>
      <c r="J37">
        <v>84.6</v>
      </c>
      <c r="K37">
        <v>716</v>
      </c>
    </row>
    <row r="38" spans="1:11" x14ac:dyDescent="0.35">
      <c r="A38" t="s">
        <v>154</v>
      </c>
      <c r="B38" t="s">
        <v>121</v>
      </c>
      <c r="C38" t="s">
        <v>158</v>
      </c>
      <c r="D38" t="s">
        <v>17</v>
      </c>
      <c r="E38">
        <v>-87.212863705972438</v>
      </c>
      <c r="F38">
        <v>94.91759435937405</v>
      </c>
      <c r="G38">
        <f t="shared" si="0"/>
        <v>-94.91759435937405</v>
      </c>
      <c r="H38">
        <v>94.91759435937405</v>
      </c>
      <c r="I38">
        <v>-63.450659962287872</v>
      </c>
      <c r="K38">
        <v>213</v>
      </c>
    </row>
    <row r="39" spans="1:11" x14ac:dyDescent="0.35">
      <c r="A39" t="s">
        <v>154</v>
      </c>
      <c r="B39" t="s">
        <v>124</v>
      </c>
      <c r="C39" t="s">
        <v>159</v>
      </c>
      <c r="D39" t="s">
        <v>17</v>
      </c>
      <c r="E39">
        <v>-67.707404103479035</v>
      </c>
      <c r="F39">
        <v>93.173854217886515</v>
      </c>
      <c r="G39">
        <f t="shared" si="0"/>
        <v>-93.173854217886515</v>
      </c>
      <c r="H39">
        <v>93.173854217886529</v>
      </c>
      <c r="I39">
        <v>-62.122276879831354</v>
      </c>
      <c r="J39">
        <v>147.1</v>
      </c>
      <c r="K39">
        <v>921</v>
      </c>
    </row>
    <row r="40" spans="1:11" x14ac:dyDescent="0.35">
      <c r="A40" t="s">
        <v>154</v>
      </c>
      <c r="B40" t="s">
        <v>124</v>
      </c>
      <c r="C40" t="s">
        <v>160</v>
      </c>
      <c r="D40" t="s">
        <v>17</v>
      </c>
      <c r="E40">
        <v>-41.42011834319527</v>
      </c>
      <c r="F40">
        <v>88.332380597240984</v>
      </c>
      <c r="G40">
        <f t="shared" si="0"/>
        <v>-88.332380597240984</v>
      </c>
      <c r="H40">
        <v>54.999087744844545</v>
      </c>
      <c r="I40">
        <v>-61.680911680911677</v>
      </c>
      <c r="J40">
        <v>64.8</v>
      </c>
      <c r="K40">
        <v>512</v>
      </c>
    </row>
    <row r="41" spans="1:11" x14ac:dyDescent="0.35">
      <c r="A41" t="s">
        <v>154</v>
      </c>
      <c r="B41" t="s">
        <v>126</v>
      </c>
      <c r="C41" t="s">
        <v>161</v>
      </c>
      <c r="D41" t="s">
        <v>17</v>
      </c>
      <c r="E41">
        <v>-88.308576904647822</v>
      </c>
      <c r="F41">
        <v>58.853379140959241</v>
      </c>
      <c r="G41">
        <f t="shared" si="0"/>
        <v>-58.853379140959241</v>
      </c>
      <c r="H41">
        <v>58.853379140959241</v>
      </c>
      <c r="I41">
        <v>-63.702749140893467</v>
      </c>
      <c r="J41">
        <v>61</v>
      </c>
      <c r="K41">
        <v>534</v>
      </c>
    </row>
    <row r="42" spans="1:11" x14ac:dyDescent="0.35">
      <c r="A42" t="s">
        <v>154</v>
      </c>
      <c r="B42" t="s">
        <v>130</v>
      </c>
      <c r="C42" t="s">
        <v>162</v>
      </c>
      <c r="D42" t="s">
        <v>17</v>
      </c>
      <c r="E42">
        <v>-78.429517502365186</v>
      </c>
      <c r="F42">
        <v>99.971757133899231</v>
      </c>
      <c r="G42">
        <f t="shared" si="0"/>
        <v>-99.971757133899231</v>
      </c>
      <c r="H42">
        <v>99.971757133899231</v>
      </c>
      <c r="I42">
        <v>-75.409836065573771</v>
      </c>
      <c r="J42">
        <v>34</v>
      </c>
      <c r="K42">
        <v>571</v>
      </c>
    </row>
    <row r="43" spans="1:11" x14ac:dyDescent="0.35">
      <c r="A43" t="s">
        <v>154</v>
      </c>
      <c r="B43" t="s">
        <v>132</v>
      </c>
      <c r="C43" t="s">
        <v>163</v>
      </c>
      <c r="D43" t="s">
        <v>17</v>
      </c>
      <c r="E43">
        <v>-83.439860546194083</v>
      </c>
      <c r="F43">
        <v>77.634224547127872</v>
      </c>
      <c r="G43">
        <f t="shared" si="0"/>
        <v>-77.634224547127872</v>
      </c>
      <c r="H43">
        <v>77.634224547127843</v>
      </c>
      <c r="I43">
        <v>-52.168992832893245</v>
      </c>
      <c r="J43">
        <v>75.3</v>
      </c>
      <c r="K43">
        <v>736</v>
      </c>
    </row>
    <row r="44" spans="1:11" x14ac:dyDescent="0.35">
      <c r="A44" t="s">
        <v>154</v>
      </c>
      <c r="B44" t="s">
        <v>134</v>
      </c>
      <c r="C44" t="s">
        <v>164</v>
      </c>
      <c r="D44" t="s">
        <v>17</v>
      </c>
      <c r="E44">
        <v>-90.090090090090087</v>
      </c>
      <c r="F44">
        <v>77.477095614849873</v>
      </c>
      <c r="G44">
        <f t="shared" si="0"/>
        <v>-77.477095614849873</v>
      </c>
      <c r="H44">
        <v>77.477095614849873</v>
      </c>
      <c r="I44">
        <v>-48.755490483162518</v>
      </c>
      <c r="J44">
        <v>71.3</v>
      </c>
      <c r="K44">
        <v>778</v>
      </c>
    </row>
    <row r="45" spans="1:11" x14ac:dyDescent="0.35">
      <c r="A45" t="s">
        <v>154</v>
      </c>
      <c r="B45" t="s">
        <v>134</v>
      </c>
      <c r="C45" t="s">
        <v>165</v>
      </c>
      <c r="D45" t="s">
        <v>17</v>
      </c>
      <c r="E45">
        <v>-92.01756652027899</v>
      </c>
      <c r="F45">
        <v>68.912925470109755</v>
      </c>
      <c r="G45">
        <f t="shared" si="0"/>
        <v>-68.912925470109755</v>
      </c>
      <c r="H45">
        <v>68.912925470109741</v>
      </c>
      <c r="I45">
        <v>-66.095051445369918</v>
      </c>
      <c r="J45">
        <v>69.400000000000006</v>
      </c>
      <c r="K45">
        <v>740</v>
      </c>
    </row>
    <row r="46" spans="1:11" x14ac:dyDescent="0.35">
      <c r="A46" t="s">
        <v>154</v>
      </c>
      <c r="B46" t="s">
        <v>136</v>
      </c>
      <c r="C46" t="s">
        <v>128</v>
      </c>
      <c r="D46" t="s">
        <v>17</v>
      </c>
      <c r="E46">
        <v>-80.456407255705088</v>
      </c>
      <c r="F46">
        <v>35.780455525551886</v>
      </c>
      <c r="G46">
        <f t="shared" si="0"/>
        <v>-35.780455525551886</v>
      </c>
      <c r="H46">
        <v>35.780455525551893</v>
      </c>
      <c r="I46">
        <v>-30.805515239477501</v>
      </c>
      <c r="J46">
        <v>76.2</v>
      </c>
      <c r="K46">
        <v>770</v>
      </c>
    </row>
    <row r="47" spans="1:11" x14ac:dyDescent="0.35">
      <c r="A47" t="s">
        <v>154</v>
      </c>
      <c r="B47" t="s">
        <v>138</v>
      </c>
      <c r="C47" t="s">
        <v>120</v>
      </c>
      <c r="D47" t="s">
        <v>17</v>
      </c>
      <c r="E47">
        <v>-35.851183765501673</v>
      </c>
      <c r="F47">
        <v>97.454830274360987</v>
      </c>
      <c r="G47">
        <f t="shared" si="0"/>
        <v>-97.454830274360987</v>
      </c>
      <c r="H47">
        <v>97.454830274360987</v>
      </c>
      <c r="I47">
        <v>-41.440303221730893</v>
      </c>
      <c r="J47">
        <v>94.8</v>
      </c>
      <c r="K47">
        <v>700</v>
      </c>
    </row>
    <row r="48" spans="1:11" x14ac:dyDescent="0.35">
      <c r="A48" t="s">
        <v>154</v>
      </c>
      <c r="B48" t="s">
        <v>140</v>
      </c>
      <c r="C48" t="s">
        <v>166</v>
      </c>
      <c r="D48" t="s">
        <v>17</v>
      </c>
      <c r="E48">
        <v>-81.330309901738488</v>
      </c>
      <c r="F48">
        <v>85.346109843769497</v>
      </c>
      <c r="G48">
        <f t="shared" si="0"/>
        <v>-85.346109843769497</v>
      </c>
      <c r="H48">
        <v>85.346109843769497</v>
      </c>
      <c r="I48">
        <v>-71.672212978369373</v>
      </c>
      <c r="J48">
        <v>34.5</v>
      </c>
      <c r="K48">
        <v>430</v>
      </c>
    </row>
    <row r="49" spans="1:11" x14ac:dyDescent="0.35">
      <c r="A49" t="s">
        <v>154</v>
      </c>
      <c r="B49" t="s">
        <v>140</v>
      </c>
      <c r="C49" t="s">
        <v>167</v>
      </c>
      <c r="D49" t="s">
        <v>17</v>
      </c>
      <c r="E49">
        <v>-74.655172413793096</v>
      </c>
      <c r="F49">
        <v>52.57121222713225</v>
      </c>
      <c r="G49">
        <f t="shared" si="0"/>
        <v>-52.57121222713225</v>
      </c>
      <c r="H49">
        <v>52.571212227132278</v>
      </c>
      <c r="I49">
        <v>-45.70982839313573</v>
      </c>
      <c r="J49">
        <v>40</v>
      </c>
      <c r="K49">
        <v>540</v>
      </c>
    </row>
    <row r="50" spans="1:11" x14ac:dyDescent="0.35">
      <c r="A50" t="s">
        <v>168</v>
      </c>
      <c r="B50" t="s">
        <v>115</v>
      </c>
      <c r="C50" t="s">
        <v>158</v>
      </c>
      <c r="D50" t="s">
        <v>17</v>
      </c>
      <c r="E50">
        <v>-85.23144746509918</v>
      </c>
      <c r="F50">
        <v>42.662734509227469</v>
      </c>
      <c r="G50">
        <f t="shared" si="0"/>
        <v>-42.662734509227469</v>
      </c>
      <c r="H50">
        <v>42.662734509227434</v>
      </c>
      <c r="I50">
        <v>-63.926258096661691</v>
      </c>
      <c r="J50">
        <v>87.4</v>
      </c>
      <c r="K50">
        <v>678</v>
      </c>
    </row>
    <row r="51" spans="1:11" x14ac:dyDescent="0.35">
      <c r="A51" t="s">
        <v>168</v>
      </c>
      <c r="B51" t="s">
        <v>115</v>
      </c>
      <c r="C51" t="s">
        <v>169</v>
      </c>
      <c r="D51" t="s">
        <v>17</v>
      </c>
      <c r="E51">
        <v>-76.133828996282531</v>
      </c>
      <c r="F51">
        <v>53.70748079844703</v>
      </c>
      <c r="G51">
        <f t="shared" si="0"/>
        <v>-53.70748079844703</v>
      </c>
      <c r="H51">
        <v>53.707480798447008</v>
      </c>
      <c r="I51">
        <v>-62.257751937984509</v>
      </c>
      <c r="J51">
        <v>93.2</v>
      </c>
      <c r="K51">
        <v>740</v>
      </c>
    </row>
    <row r="52" spans="1:11" x14ac:dyDescent="0.35">
      <c r="A52" t="s">
        <v>168</v>
      </c>
      <c r="B52" t="s">
        <v>117</v>
      </c>
      <c r="C52" t="s">
        <v>170</v>
      </c>
      <c r="D52" t="s">
        <v>17</v>
      </c>
      <c r="E52">
        <v>-84.008762322015329</v>
      </c>
      <c r="F52">
        <v>34.266821574481952</v>
      </c>
      <c r="G52">
        <f t="shared" si="0"/>
        <v>-34.266821574481952</v>
      </c>
      <c r="H52">
        <v>34.266821574481945</v>
      </c>
      <c r="I52">
        <v>-95.897079276773297</v>
      </c>
      <c r="J52">
        <v>90.2</v>
      </c>
      <c r="K52">
        <v>800</v>
      </c>
    </row>
    <row r="53" spans="1:11" x14ac:dyDescent="0.35">
      <c r="A53" t="s">
        <v>168</v>
      </c>
      <c r="B53" t="s">
        <v>119</v>
      </c>
      <c r="C53" t="s">
        <v>148</v>
      </c>
      <c r="D53" t="s">
        <v>17</v>
      </c>
      <c r="E53">
        <v>-77.539608574091332</v>
      </c>
      <c r="F53">
        <v>83.116347711869679</v>
      </c>
      <c r="G53">
        <f t="shared" si="0"/>
        <v>-83.116347711869679</v>
      </c>
      <c r="H53">
        <v>83.116347711869665</v>
      </c>
      <c r="I53">
        <v>-82.487209759937045</v>
      </c>
      <c r="J53">
        <v>75.900000000000006</v>
      </c>
      <c r="K53">
        <v>610</v>
      </c>
    </row>
    <row r="54" spans="1:11" x14ac:dyDescent="0.35">
      <c r="A54" t="s">
        <v>168</v>
      </c>
      <c r="B54" t="s">
        <v>121</v>
      </c>
      <c r="C54" t="s">
        <v>171</v>
      </c>
      <c r="D54" t="s">
        <v>17</v>
      </c>
      <c r="E54">
        <v>-88.050694025347013</v>
      </c>
      <c r="F54">
        <v>94.1972486802444</v>
      </c>
      <c r="G54">
        <f t="shared" si="0"/>
        <v>-94.1972486802444</v>
      </c>
      <c r="H54">
        <v>94.1972486802444</v>
      </c>
      <c r="I54">
        <v>-59.067882472137789</v>
      </c>
      <c r="J54">
        <v>19</v>
      </c>
      <c r="K54">
        <v>240</v>
      </c>
    </row>
    <row r="55" spans="1:11" x14ac:dyDescent="0.35">
      <c r="A55" t="s">
        <v>168</v>
      </c>
      <c r="B55" t="s">
        <v>124</v>
      </c>
      <c r="C55" t="s">
        <v>172</v>
      </c>
      <c r="D55" t="s">
        <v>17</v>
      </c>
      <c r="E55">
        <v>-68.217054263565899</v>
      </c>
      <c r="F55">
        <v>98.802767025185176</v>
      </c>
      <c r="G55">
        <f t="shared" si="0"/>
        <v>-98.802767025185176</v>
      </c>
      <c r="H55">
        <v>98.80276702518519</v>
      </c>
      <c r="I55">
        <v>-53.895582329317271</v>
      </c>
      <c r="J55">
        <v>126.2</v>
      </c>
      <c r="K55">
        <v>887</v>
      </c>
    </row>
    <row r="56" spans="1:11" x14ac:dyDescent="0.35">
      <c r="A56" t="s">
        <v>168</v>
      </c>
      <c r="B56" t="s">
        <v>126</v>
      </c>
      <c r="C56" t="s">
        <v>173</v>
      </c>
      <c r="D56" t="s">
        <v>17</v>
      </c>
      <c r="E56">
        <v>-92.747559274755915</v>
      </c>
      <c r="F56">
        <v>98.732933094436731</v>
      </c>
      <c r="G56">
        <f t="shared" si="0"/>
        <v>-98.732933094436731</v>
      </c>
      <c r="H56">
        <v>98.732933094436731</v>
      </c>
      <c r="I56">
        <v>-54.76772616136919</v>
      </c>
      <c r="J56">
        <v>49.4</v>
      </c>
      <c r="K56">
        <v>546</v>
      </c>
    </row>
    <row r="57" spans="1:11" x14ac:dyDescent="0.35">
      <c r="A57" t="s">
        <v>168</v>
      </c>
      <c r="B57" t="s">
        <v>126</v>
      </c>
      <c r="C57" t="s">
        <v>174</v>
      </c>
      <c r="D57" t="s">
        <v>17</v>
      </c>
      <c r="E57">
        <v>-88.496583143507976</v>
      </c>
      <c r="F57">
        <v>98.6726332109493</v>
      </c>
      <c r="G57">
        <f t="shared" si="0"/>
        <v>-98.6726332109493</v>
      </c>
      <c r="H57">
        <v>98.6726332109493</v>
      </c>
      <c r="I57">
        <v>-60.694620923337574</v>
      </c>
      <c r="J57">
        <v>45.3</v>
      </c>
      <c r="K57">
        <v>410</v>
      </c>
    </row>
    <row r="58" spans="1:11" x14ac:dyDescent="0.35">
      <c r="A58" t="s">
        <v>168</v>
      </c>
      <c r="B58" t="s">
        <v>130</v>
      </c>
      <c r="C58" t="s">
        <v>175</v>
      </c>
      <c r="D58" t="s">
        <v>17</v>
      </c>
      <c r="E58">
        <v>-74.394904458598731</v>
      </c>
      <c r="F58">
        <v>26.359161233808099</v>
      </c>
      <c r="G58">
        <f t="shared" si="0"/>
        <v>-26.359161233808099</v>
      </c>
      <c r="H58">
        <v>26.359161233808102</v>
      </c>
      <c r="I58">
        <v>-39.672131147540988</v>
      </c>
      <c r="J58">
        <v>31</v>
      </c>
      <c r="K58">
        <v>452</v>
      </c>
    </row>
    <row r="59" spans="1:11" x14ac:dyDescent="0.35">
      <c r="A59" t="s">
        <v>168</v>
      </c>
      <c r="B59" t="s">
        <v>132</v>
      </c>
      <c r="C59" t="s">
        <v>146</v>
      </c>
      <c r="D59" t="s">
        <v>17</v>
      </c>
      <c r="E59">
        <v>-87.894288150042627</v>
      </c>
      <c r="F59">
        <v>67.66308117205331</v>
      </c>
      <c r="G59">
        <f t="shared" si="0"/>
        <v>-67.66308117205331</v>
      </c>
      <c r="H59">
        <v>67.66308117205331</v>
      </c>
      <c r="I59">
        <v>-53.952755905511808</v>
      </c>
      <c r="J59">
        <v>93.8</v>
      </c>
      <c r="K59">
        <v>803</v>
      </c>
    </row>
    <row r="60" spans="1:11" x14ac:dyDescent="0.35">
      <c r="A60" t="s">
        <v>168</v>
      </c>
      <c r="B60" t="s">
        <v>132</v>
      </c>
      <c r="C60" t="s">
        <v>141</v>
      </c>
      <c r="D60" t="s">
        <v>17</v>
      </c>
      <c r="E60">
        <v>-88.585099111414905</v>
      </c>
      <c r="F60">
        <v>67.831301857668208</v>
      </c>
      <c r="G60">
        <f t="shared" si="0"/>
        <v>-67.831301857668208</v>
      </c>
      <c r="H60">
        <v>67.831301857668208</v>
      </c>
      <c r="I60">
        <v>-71.868033883192155</v>
      </c>
      <c r="J60">
        <v>77.3</v>
      </c>
      <c r="K60">
        <v>705</v>
      </c>
    </row>
    <row r="61" spans="1:11" x14ac:dyDescent="0.35">
      <c r="A61" t="s">
        <v>168</v>
      </c>
      <c r="B61" t="s">
        <v>134</v>
      </c>
      <c r="C61" t="s">
        <v>176</v>
      </c>
      <c r="D61" t="s">
        <v>17</v>
      </c>
      <c r="E61">
        <v>-92.258940697148034</v>
      </c>
      <c r="F61">
        <v>60.475744030944</v>
      </c>
      <c r="G61">
        <f t="shared" si="0"/>
        <v>-60.475744030944</v>
      </c>
      <c r="H61">
        <v>60.475744030944</v>
      </c>
      <c r="I61">
        <v>-60.237298448433222</v>
      </c>
      <c r="J61">
        <v>85.7</v>
      </c>
      <c r="K61">
        <v>734</v>
      </c>
    </row>
    <row r="62" spans="1:11" x14ac:dyDescent="0.35">
      <c r="A62" t="s">
        <v>168</v>
      </c>
      <c r="B62" t="s">
        <v>136</v>
      </c>
      <c r="C62" t="s">
        <v>139</v>
      </c>
      <c r="D62" t="s">
        <v>17</v>
      </c>
      <c r="E62">
        <v>-81.89349112426035</v>
      </c>
      <c r="F62">
        <v>51.429002908054599</v>
      </c>
      <c r="G62">
        <f t="shared" si="0"/>
        <v>-51.429002908054599</v>
      </c>
      <c r="H62">
        <v>51.429002908054599</v>
      </c>
      <c r="I62">
        <v>-52.871939736346519</v>
      </c>
      <c r="J62">
        <v>55</v>
      </c>
      <c r="K62">
        <v>622</v>
      </c>
    </row>
    <row r="63" spans="1:11" x14ac:dyDescent="0.35">
      <c r="A63" t="s">
        <v>168</v>
      </c>
      <c r="B63" t="s">
        <v>138</v>
      </c>
      <c r="C63" t="s">
        <v>128</v>
      </c>
      <c r="D63" t="s">
        <v>17</v>
      </c>
      <c r="E63">
        <v>-85.594512195121951</v>
      </c>
      <c r="F63">
        <v>87.526479413633993</v>
      </c>
      <c r="G63">
        <f t="shared" si="0"/>
        <v>-87.526479413633993</v>
      </c>
      <c r="H63">
        <v>87.526479413634007</v>
      </c>
      <c r="I63">
        <v>-36.507936507936506</v>
      </c>
      <c r="J63">
        <v>43.6</v>
      </c>
      <c r="K63">
        <v>371</v>
      </c>
    </row>
    <row r="64" spans="1:11" x14ac:dyDescent="0.35">
      <c r="A64" t="s">
        <v>168</v>
      </c>
      <c r="B64" t="s">
        <v>138</v>
      </c>
      <c r="C64" t="s">
        <v>164</v>
      </c>
      <c r="D64" t="s">
        <v>17</v>
      </c>
      <c r="E64">
        <v>-36.248415716096318</v>
      </c>
      <c r="F64">
        <v>99.411741137566395</v>
      </c>
      <c r="G64">
        <f t="shared" si="0"/>
        <v>-99.411741137566395</v>
      </c>
      <c r="H64">
        <v>99.411741137566395</v>
      </c>
      <c r="I64">
        <v>-25.061425061425062</v>
      </c>
      <c r="J64">
        <v>75</v>
      </c>
      <c r="K64">
        <v>640</v>
      </c>
    </row>
    <row r="65" spans="1:11" x14ac:dyDescent="0.35">
      <c r="A65" t="s">
        <v>168</v>
      </c>
      <c r="B65" t="s">
        <v>140</v>
      </c>
      <c r="C65" t="s">
        <v>177</v>
      </c>
      <c r="D65" t="s">
        <v>17</v>
      </c>
      <c r="E65">
        <v>-80.478821362799266</v>
      </c>
      <c r="F65">
        <v>90.901921724318626</v>
      </c>
      <c r="G65">
        <f t="shared" si="0"/>
        <v>-90.901921724318626</v>
      </c>
      <c r="H65">
        <v>90.90192172431864</v>
      </c>
      <c r="I65">
        <v>-77.249175694771537</v>
      </c>
      <c r="J65">
        <v>22.6</v>
      </c>
      <c r="K65">
        <v>352</v>
      </c>
    </row>
    <row r="66" spans="1:11" x14ac:dyDescent="0.35">
      <c r="A66" t="s">
        <v>178</v>
      </c>
      <c r="B66" t="s">
        <v>144</v>
      </c>
      <c r="C66" t="s">
        <v>123</v>
      </c>
      <c r="D66" t="s">
        <v>11</v>
      </c>
      <c r="E66">
        <v>-78.920454545454547</v>
      </c>
      <c r="F66">
        <v>66.696337180107435</v>
      </c>
      <c r="G66">
        <f t="shared" si="0"/>
        <v>-66.696337180107435</v>
      </c>
      <c r="H66">
        <v>66.696337180107449</v>
      </c>
      <c r="I66">
        <v>-88.173913043478265</v>
      </c>
      <c r="J66">
        <v>58</v>
      </c>
      <c r="K66">
        <v>684</v>
      </c>
    </row>
    <row r="67" spans="1:11" x14ac:dyDescent="0.35">
      <c r="A67" t="s">
        <v>178</v>
      </c>
      <c r="B67" t="s">
        <v>144</v>
      </c>
      <c r="C67" t="s">
        <v>165</v>
      </c>
      <c r="D67" t="s">
        <v>11</v>
      </c>
      <c r="E67">
        <v>-76.418318523581689</v>
      </c>
      <c r="F67">
        <v>97.044968340200967</v>
      </c>
      <c r="G67">
        <f t="shared" ref="G67:G96" si="1">-F67</f>
        <v>-97.044968340200967</v>
      </c>
      <c r="H67">
        <v>97.044968340200981</v>
      </c>
      <c r="I67">
        <v>-80.246370435547732</v>
      </c>
      <c r="J67">
        <v>30</v>
      </c>
      <c r="K67">
        <v>350</v>
      </c>
    </row>
    <row r="68" spans="1:11" x14ac:dyDescent="0.35">
      <c r="A68" t="s">
        <v>178</v>
      </c>
      <c r="B68" t="s">
        <v>115</v>
      </c>
      <c r="C68" t="s">
        <v>155</v>
      </c>
      <c r="D68" t="s">
        <v>11</v>
      </c>
      <c r="E68">
        <v>-76.84833122095479</v>
      </c>
      <c r="F68">
        <v>68.088457964113587</v>
      </c>
      <c r="G68">
        <f t="shared" si="1"/>
        <v>-68.088457964113587</v>
      </c>
      <c r="H68">
        <v>68.088457964113587</v>
      </c>
      <c r="I68">
        <v>-72.948539638386649</v>
      </c>
      <c r="J68">
        <v>32.1</v>
      </c>
      <c r="K68">
        <v>370</v>
      </c>
    </row>
    <row r="69" spans="1:11" x14ac:dyDescent="0.35">
      <c r="A69" t="s">
        <v>178</v>
      </c>
      <c r="B69" t="s">
        <v>117</v>
      </c>
      <c r="C69" t="s">
        <v>161</v>
      </c>
      <c r="D69" t="s">
        <v>11</v>
      </c>
      <c r="E69">
        <v>-59.287925696594421</v>
      </c>
      <c r="F69">
        <v>48.468717395507781</v>
      </c>
      <c r="G69">
        <f t="shared" si="1"/>
        <v>-48.468717395507781</v>
      </c>
      <c r="H69">
        <v>48.468717395507781</v>
      </c>
      <c r="I69">
        <v>-97.22787385554426</v>
      </c>
      <c r="J69">
        <v>97</v>
      </c>
      <c r="K69">
        <v>770</v>
      </c>
    </row>
    <row r="70" spans="1:11" x14ac:dyDescent="0.35">
      <c r="A70" t="s">
        <v>178</v>
      </c>
      <c r="B70" t="s">
        <v>119</v>
      </c>
      <c r="C70" t="s">
        <v>179</v>
      </c>
      <c r="D70" t="s">
        <v>11</v>
      </c>
      <c r="E70">
        <v>-79.313131313131308</v>
      </c>
      <c r="F70">
        <v>86.193399146434885</v>
      </c>
      <c r="G70">
        <f t="shared" si="1"/>
        <v>-86.193399146434885</v>
      </c>
      <c r="H70">
        <v>86.193399146434885</v>
      </c>
      <c r="I70">
        <v>-85.803374908290536</v>
      </c>
      <c r="J70">
        <v>33.200000000000003</v>
      </c>
      <c r="K70">
        <v>460</v>
      </c>
    </row>
    <row r="71" spans="1:11" x14ac:dyDescent="0.35">
      <c r="A71" t="s">
        <v>178</v>
      </c>
      <c r="B71" t="s">
        <v>119</v>
      </c>
      <c r="C71" t="s">
        <v>180</v>
      </c>
      <c r="D71" t="s">
        <v>11</v>
      </c>
      <c r="E71">
        <v>-78.977681785457165</v>
      </c>
      <c r="F71">
        <v>76.970587169721</v>
      </c>
      <c r="G71">
        <f t="shared" si="1"/>
        <v>-76.970587169721</v>
      </c>
      <c r="H71">
        <v>76.970587169721</v>
      </c>
      <c r="I71">
        <v>-68.771842236645043</v>
      </c>
      <c r="J71">
        <v>42.8</v>
      </c>
      <c r="K71">
        <v>570</v>
      </c>
    </row>
    <row r="72" spans="1:11" x14ac:dyDescent="0.35">
      <c r="A72" t="s">
        <v>178</v>
      </c>
      <c r="B72" t="s">
        <v>121</v>
      </c>
      <c r="C72" t="s">
        <v>120</v>
      </c>
      <c r="D72" t="s">
        <v>11</v>
      </c>
      <c r="E72">
        <v>-85.116676152532719</v>
      </c>
      <c r="F72">
        <v>99.213237624802915</v>
      </c>
      <c r="G72">
        <f t="shared" si="1"/>
        <v>-99.213237624802915</v>
      </c>
      <c r="H72">
        <v>99.213237624802915</v>
      </c>
      <c r="I72">
        <v>-54.649464459591037</v>
      </c>
      <c r="J72">
        <v>13.9</v>
      </c>
      <c r="K72">
        <v>342</v>
      </c>
    </row>
    <row r="73" spans="1:11" x14ac:dyDescent="0.35">
      <c r="A73" t="s">
        <v>178</v>
      </c>
      <c r="B73" t="s">
        <v>121</v>
      </c>
      <c r="C73" t="s">
        <v>181</v>
      </c>
      <c r="D73" t="s">
        <v>11</v>
      </c>
      <c r="E73">
        <v>-81.178033658104525</v>
      </c>
      <c r="F73">
        <v>74.598908521367875</v>
      </c>
      <c r="G73">
        <f t="shared" si="1"/>
        <v>-74.598908521367875</v>
      </c>
      <c r="H73">
        <v>74.598908521367875</v>
      </c>
      <c r="I73">
        <v>-55.455600696459669</v>
      </c>
      <c r="J73">
        <v>20.3</v>
      </c>
      <c r="K73">
        <v>310</v>
      </c>
    </row>
    <row r="74" spans="1:11" x14ac:dyDescent="0.35">
      <c r="A74" t="s">
        <v>178</v>
      </c>
      <c r="B74" t="s">
        <v>124</v>
      </c>
      <c r="C74" t="s">
        <v>172</v>
      </c>
      <c r="D74" t="s">
        <v>11</v>
      </c>
      <c r="E74">
        <v>-79.060509554140125</v>
      </c>
      <c r="F74">
        <v>89.289386614084094</v>
      </c>
      <c r="G74">
        <f t="shared" si="1"/>
        <v>-89.289386614084094</v>
      </c>
      <c r="H74">
        <v>89.289386614084094</v>
      </c>
      <c r="I74">
        <v>-50.130095403295762</v>
      </c>
      <c r="J74">
        <v>55</v>
      </c>
      <c r="K74">
        <v>715</v>
      </c>
    </row>
    <row r="75" spans="1:11" x14ac:dyDescent="0.35">
      <c r="A75" t="s">
        <v>178</v>
      </c>
      <c r="B75" t="s">
        <v>132</v>
      </c>
      <c r="C75" t="s">
        <v>182</v>
      </c>
      <c r="D75" t="s">
        <v>11</v>
      </c>
      <c r="E75">
        <v>-78.75406787540679</v>
      </c>
      <c r="F75">
        <v>83.267548004041501</v>
      </c>
      <c r="G75">
        <f t="shared" si="1"/>
        <v>-83.267548004041501</v>
      </c>
      <c r="H75">
        <v>83.267548004041515</v>
      </c>
      <c r="I75">
        <v>-48.447854900592958</v>
      </c>
      <c r="J75">
        <v>80</v>
      </c>
      <c r="K75">
        <v>710</v>
      </c>
    </row>
    <row r="76" spans="1:11" x14ac:dyDescent="0.35">
      <c r="A76" t="s">
        <v>178</v>
      </c>
      <c r="B76" t="s">
        <v>132</v>
      </c>
      <c r="C76" t="s">
        <v>173</v>
      </c>
      <c r="D76" t="s">
        <v>11</v>
      </c>
      <c r="E76">
        <v>-73.399715504978673</v>
      </c>
      <c r="F76">
        <v>44.938219005323113</v>
      </c>
      <c r="G76">
        <f t="shared" si="1"/>
        <v>-44.938219005323113</v>
      </c>
      <c r="H76">
        <v>44.938219005323113</v>
      </c>
      <c r="I76">
        <v>-49.598163030998855</v>
      </c>
      <c r="J76">
        <v>94</v>
      </c>
      <c r="K76">
        <v>800</v>
      </c>
    </row>
    <row r="77" spans="1:11" x14ac:dyDescent="0.35">
      <c r="A77" t="s">
        <v>178</v>
      </c>
      <c r="B77" t="s">
        <v>134</v>
      </c>
      <c r="C77" t="s">
        <v>128</v>
      </c>
      <c r="D77" t="s">
        <v>11</v>
      </c>
      <c r="E77">
        <v>-81.02444703143189</v>
      </c>
      <c r="F77">
        <v>53.244095306219016</v>
      </c>
      <c r="G77">
        <f t="shared" si="1"/>
        <v>-53.244095306219016</v>
      </c>
      <c r="H77">
        <v>53.244095306219016</v>
      </c>
      <c r="I77">
        <v>-79.521876409562481</v>
      </c>
      <c r="J77">
        <v>37.700000000000003</v>
      </c>
      <c r="K77">
        <v>480</v>
      </c>
    </row>
    <row r="78" spans="1:11" x14ac:dyDescent="0.35">
      <c r="A78" t="s">
        <v>178</v>
      </c>
      <c r="B78" t="s">
        <v>134</v>
      </c>
      <c r="C78" t="s">
        <v>183</v>
      </c>
      <c r="D78" t="s">
        <v>11</v>
      </c>
      <c r="E78">
        <v>-67.679645457423234</v>
      </c>
      <c r="F78">
        <v>76.666191017236017</v>
      </c>
      <c r="G78">
        <f t="shared" si="1"/>
        <v>-76.666191017236017</v>
      </c>
      <c r="H78">
        <v>76.666191017236002</v>
      </c>
      <c r="I78">
        <v>-72.350791717417792</v>
      </c>
      <c r="J78">
        <v>45.4</v>
      </c>
      <c r="K78">
        <v>650</v>
      </c>
    </row>
    <row r="79" spans="1:11" x14ac:dyDescent="0.35">
      <c r="A79" t="s">
        <v>178</v>
      </c>
      <c r="B79" t="s">
        <v>136</v>
      </c>
      <c r="C79" t="s">
        <v>184</v>
      </c>
      <c r="D79" t="s">
        <v>11</v>
      </c>
      <c r="E79">
        <v>-87.277984304006623</v>
      </c>
      <c r="F79">
        <v>79.610538954994496</v>
      </c>
      <c r="G79">
        <f t="shared" si="1"/>
        <v>-79.610538954994496</v>
      </c>
      <c r="H79">
        <v>79.610538954994496</v>
      </c>
      <c r="I79">
        <v>-63.889845094664381</v>
      </c>
      <c r="J79">
        <v>52</v>
      </c>
      <c r="K79">
        <v>575</v>
      </c>
    </row>
    <row r="80" spans="1:11" x14ac:dyDescent="0.35">
      <c r="A80" t="s">
        <v>178</v>
      </c>
      <c r="B80" t="s">
        <v>138</v>
      </c>
      <c r="C80" t="s">
        <v>135</v>
      </c>
      <c r="D80" t="s">
        <v>11</v>
      </c>
      <c r="E80">
        <v>-52.249488752556225</v>
      </c>
      <c r="F80">
        <v>94.771396509431895</v>
      </c>
      <c r="G80">
        <f t="shared" si="1"/>
        <v>-94.771396509431895</v>
      </c>
      <c r="H80">
        <v>94.771396509431881</v>
      </c>
      <c r="I80">
        <v>-40.807498197548661</v>
      </c>
      <c r="J80">
        <v>23.8</v>
      </c>
      <c r="K80">
        <v>350</v>
      </c>
    </row>
    <row r="81" spans="1:11" x14ac:dyDescent="0.35">
      <c r="A81" t="s">
        <v>178</v>
      </c>
      <c r="B81" t="s">
        <v>140</v>
      </c>
      <c r="C81" t="s">
        <v>185</v>
      </c>
      <c r="D81" t="s">
        <v>11</v>
      </c>
      <c r="E81">
        <v>-77.679449360865291</v>
      </c>
      <c r="F81">
        <v>62.956883801746741</v>
      </c>
      <c r="G81">
        <f t="shared" si="1"/>
        <v>-62.956883801746741</v>
      </c>
      <c r="H81">
        <v>62.95688380174672</v>
      </c>
      <c r="I81">
        <v>-43.84</v>
      </c>
      <c r="J81">
        <v>51.2</v>
      </c>
      <c r="K81">
        <v>410</v>
      </c>
    </row>
    <row r="82" spans="1:11" x14ac:dyDescent="0.35">
      <c r="A82" t="s">
        <v>186</v>
      </c>
      <c r="B82" t="s">
        <v>115</v>
      </c>
      <c r="C82" t="s">
        <v>187</v>
      </c>
      <c r="D82" t="s">
        <v>17</v>
      </c>
      <c r="E82">
        <v>-94.159713945172825</v>
      </c>
      <c r="F82">
        <v>85.462852699364618</v>
      </c>
      <c r="G82">
        <f t="shared" si="1"/>
        <v>-85.462852699364618</v>
      </c>
      <c r="H82">
        <v>85.462852699364618</v>
      </c>
      <c r="I82">
        <v>-42.303493449781662</v>
      </c>
      <c r="J82">
        <v>90</v>
      </c>
      <c r="K82">
        <v>650</v>
      </c>
    </row>
    <row r="83" spans="1:11" x14ac:dyDescent="0.35">
      <c r="A83" t="s">
        <v>186</v>
      </c>
      <c r="B83" t="s">
        <v>117</v>
      </c>
      <c r="C83" t="s">
        <v>135</v>
      </c>
      <c r="D83" t="s">
        <v>17</v>
      </c>
      <c r="E83">
        <v>-86.970338983050837</v>
      </c>
      <c r="F83">
        <v>68.581133912348875</v>
      </c>
      <c r="G83">
        <f t="shared" si="1"/>
        <v>-68.581133912348875</v>
      </c>
      <c r="H83">
        <v>68.581133912348875</v>
      </c>
      <c r="I83">
        <v>-84.307065217391298</v>
      </c>
    </row>
    <row r="84" spans="1:11" x14ac:dyDescent="0.35">
      <c r="A84" t="s">
        <v>186</v>
      </c>
      <c r="B84" t="s">
        <v>119</v>
      </c>
      <c r="C84" t="s">
        <v>127</v>
      </c>
      <c r="D84" t="s">
        <v>17</v>
      </c>
      <c r="E84">
        <v>-69.984447900466563</v>
      </c>
      <c r="F84">
        <v>69.627995480004373</v>
      </c>
      <c r="G84">
        <f t="shared" si="1"/>
        <v>-69.627995480004373</v>
      </c>
      <c r="H84">
        <v>69.627995480004373</v>
      </c>
      <c r="I84">
        <v>-57.603092783505161</v>
      </c>
      <c r="J84">
        <v>39.299999999999997</v>
      </c>
      <c r="K84">
        <v>410</v>
      </c>
    </row>
    <row r="85" spans="1:11" x14ac:dyDescent="0.35">
      <c r="A85" t="s">
        <v>186</v>
      </c>
      <c r="B85" t="s">
        <v>119</v>
      </c>
      <c r="C85" t="s">
        <v>177</v>
      </c>
      <c r="D85" t="s">
        <v>17</v>
      </c>
      <c r="E85">
        <v>-70.256410256410248</v>
      </c>
      <c r="F85">
        <v>97.224133512130905</v>
      </c>
      <c r="G85">
        <f t="shared" si="1"/>
        <v>-97.224133512130905</v>
      </c>
      <c r="H85">
        <v>97.224133512130919</v>
      </c>
      <c r="I85">
        <v>-57.014157014157021</v>
      </c>
      <c r="J85">
        <v>65</v>
      </c>
      <c r="K85">
        <v>575</v>
      </c>
    </row>
    <row r="86" spans="1:11" x14ac:dyDescent="0.35">
      <c r="A86" t="s">
        <v>186</v>
      </c>
      <c r="B86" t="s">
        <v>121</v>
      </c>
      <c r="C86" t="s">
        <v>151</v>
      </c>
      <c r="D86" t="s">
        <v>17</v>
      </c>
      <c r="E86">
        <v>-84.313725490196077</v>
      </c>
      <c r="F86">
        <v>87.22085517725958</v>
      </c>
      <c r="G86">
        <f t="shared" si="1"/>
        <v>-87.22085517725958</v>
      </c>
      <c r="H86">
        <v>87.220855177259608</v>
      </c>
      <c r="I86">
        <v>-71.833512737710791</v>
      </c>
      <c r="J86">
        <v>12.9</v>
      </c>
      <c r="K86">
        <v>270</v>
      </c>
    </row>
    <row r="87" spans="1:11" x14ac:dyDescent="0.35">
      <c r="A87" t="s">
        <v>186</v>
      </c>
      <c r="B87" t="s">
        <v>121</v>
      </c>
      <c r="C87" t="s">
        <v>188</v>
      </c>
      <c r="D87" t="s">
        <v>17</v>
      </c>
      <c r="E87">
        <v>-74.285714285714278</v>
      </c>
      <c r="F87">
        <v>83.606735022154893</v>
      </c>
      <c r="G87">
        <f t="shared" si="1"/>
        <v>-83.606735022154893</v>
      </c>
      <c r="H87">
        <v>83.606735022154908</v>
      </c>
      <c r="I87">
        <v>-89.308462238398548</v>
      </c>
      <c r="J87">
        <v>17.7</v>
      </c>
      <c r="K87">
        <v>375</v>
      </c>
    </row>
    <row r="88" spans="1:11" x14ac:dyDescent="0.35">
      <c r="A88" t="s">
        <v>186</v>
      </c>
      <c r="B88" t="s">
        <v>124</v>
      </c>
      <c r="C88" t="s">
        <v>189</v>
      </c>
      <c r="D88" t="s">
        <v>17</v>
      </c>
      <c r="E88">
        <v>-62.658959537572258</v>
      </c>
      <c r="F88">
        <v>94.423023315438968</v>
      </c>
      <c r="G88">
        <f t="shared" si="1"/>
        <v>-94.423023315438968</v>
      </c>
      <c r="H88">
        <v>94.423023315438968</v>
      </c>
      <c r="I88">
        <v>-75.099206349206355</v>
      </c>
      <c r="J88">
        <v>85</v>
      </c>
      <c r="K88">
        <v>767</v>
      </c>
    </row>
    <row r="89" spans="1:11" x14ac:dyDescent="0.35">
      <c r="A89" t="s">
        <v>186</v>
      </c>
      <c r="B89" t="s">
        <v>126</v>
      </c>
      <c r="C89" t="s">
        <v>152</v>
      </c>
      <c r="D89" t="s">
        <v>17</v>
      </c>
      <c r="E89">
        <v>-84.802867383512549</v>
      </c>
      <c r="F89">
        <v>98.88810490576904</v>
      </c>
      <c r="G89">
        <f t="shared" si="1"/>
        <v>-98.88810490576904</v>
      </c>
      <c r="H89">
        <v>98.888104905769055</v>
      </c>
      <c r="I89">
        <v>-46.224556795797767</v>
      </c>
      <c r="J89">
        <v>59.2</v>
      </c>
      <c r="K89">
        <v>370</v>
      </c>
    </row>
    <row r="90" spans="1:11" x14ac:dyDescent="0.35">
      <c r="A90" t="s">
        <v>186</v>
      </c>
      <c r="B90" t="s">
        <v>130</v>
      </c>
      <c r="C90" t="s">
        <v>153</v>
      </c>
      <c r="D90" t="s">
        <v>17</v>
      </c>
      <c r="E90">
        <v>-87.267080745341616</v>
      </c>
      <c r="F90">
        <v>98.751056213498416</v>
      </c>
      <c r="G90">
        <f t="shared" si="1"/>
        <v>-98.751056213498416</v>
      </c>
      <c r="H90">
        <v>100</v>
      </c>
      <c r="I90">
        <v>-60.903814262023218</v>
      </c>
      <c r="J90">
        <v>40.299999999999997</v>
      </c>
      <c r="K90">
        <v>610</v>
      </c>
    </row>
    <row r="91" spans="1:11" x14ac:dyDescent="0.35">
      <c r="A91" t="s">
        <v>186</v>
      </c>
      <c r="B91" t="s">
        <v>132</v>
      </c>
      <c r="C91" t="s">
        <v>190</v>
      </c>
      <c r="D91" t="s">
        <v>17</v>
      </c>
      <c r="E91">
        <v>-84.121976866456365</v>
      </c>
      <c r="F91">
        <v>48.443069346474623</v>
      </c>
      <c r="G91">
        <f t="shared" si="1"/>
        <v>-48.443069346474623</v>
      </c>
      <c r="H91">
        <v>48.44306934647463</v>
      </c>
      <c r="I91">
        <v>-81.171950048030737</v>
      </c>
      <c r="J91">
        <v>73</v>
      </c>
      <c r="K91">
        <v>800</v>
      </c>
    </row>
    <row r="92" spans="1:11" x14ac:dyDescent="0.35">
      <c r="A92" t="s">
        <v>186</v>
      </c>
      <c r="B92" t="s">
        <v>134</v>
      </c>
      <c r="C92" t="s">
        <v>191</v>
      </c>
      <c r="D92" t="s">
        <v>17</v>
      </c>
      <c r="E92">
        <v>-89.668874172185426</v>
      </c>
      <c r="F92">
        <v>20.867665639299506</v>
      </c>
      <c r="G92">
        <f t="shared" si="1"/>
        <v>-20.867665639299506</v>
      </c>
      <c r="H92">
        <v>20.86766563929951</v>
      </c>
      <c r="I92">
        <v>-87.091121495327101</v>
      </c>
      <c r="J92">
        <v>55.9</v>
      </c>
      <c r="K92">
        <v>590</v>
      </c>
    </row>
    <row r="93" spans="1:11" x14ac:dyDescent="0.35">
      <c r="A93" t="s">
        <v>186</v>
      </c>
      <c r="B93" t="s">
        <v>136</v>
      </c>
      <c r="C93" t="s">
        <v>192</v>
      </c>
      <c r="D93" t="s">
        <v>17</v>
      </c>
      <c r="E93">
        <v>-80.349344978165931</v>
      </c>
      <c r="F93">
        <v>82.541941048686596</v>
      </c>
      <c r="G93">
        <f t="shared" si="1"/>
        <v>-82.541941048686596</v>
      </c>
      <c r="H93">
        <v>82.541941048686596</v>
      </c>
      <c r="I93">
        <v>-59.917864476386043</v>
      </c>
      <c r="J93">
        <v>57</v>
      </c>
      <c r="K93">
        <v>720</v>
      </c>
    </row>
    <row r="94" spans="1:11" x14ac:dyDescent="0.35">
      <c r="A94" t="s">
        <v>186</v>
      </c>
      <c r="B94" t="s">
        <v>136</v>
      </c>
      <c r="C94" t="s">
        <v>164</v>
      </c>
      <c r="D94" t="s">
        <v>17</v>
      </c>
      <c r="E94">
        <v>-81.977764774722061</v>
      </c>
      <c r="F94">
        <v>84.115737012906877</v>
      </c>
      <c r="G94">
        <f t="shared" si="1"/>
        <v>-84.115737012906877</v>
      </c>
      <c r="H94">
        <v>84.115737012906891</v>
      </c>
      <c r="I94">
        <v>-46.057571964956196</v>
      </c>
      <c r="J94">
        <v>80</v>
      </c>
      <c r="K94">
        <v>715</v>
      </c>
    </row>
    <row r="95" spans="1:11" x14ac:dyDescent="0.35">
      <c r="A95" t="s">
        <v>186</v>
      </c>
      <c r="B95" t="s">
        <v>138</v>
      </c>
      <c r="C95" t="s">
        <v>156</v>
      </c>
      <c r="D95" t="s">
        <v>17</v>
      </c>
      <c r="E95">
        <v>-70.031880977683315</v>
      </c>
      <c r="F95">
        <v>96.354594368831897</v>
      </c>
      <c r="G95">
        <f t="shared" si="1"/>
        <v>-96.354594368831897</v>
      </c>
      <c r="H95">
        <v>96.354594368831897</v>
      </c>
      <c r="I95">
        <v>-29.692832764505113</v>
      </c>
      <c r="J95">
        <v>60</v>
      </c>
      <c r="K95">
        <v>537</v>
      </c>
    </row>
    <row r="96" spans="1:11" x14ac:dyDescent="0.35">
      <c r="A96" t="s">
        <v>186</v>
      </c>
      <c r="B96" t="s">
        <v>140</v>
      </c>
      <c r="C96" t="s">
        <v>180</v>
      </c>
      <c r="D96" t="s">
        <v>17</v>
      </c>
      <c r="E96">
        <v>-85.874912157413902</v>
      </c>
      <c r="F96">
        <v>91.833824955567692</v>
      </c>
      <c r="G96">
        <f t="shared" si="1"/>
        <v>-91.833824955567692</v>
      </c>
      <c r="H96">
        <v>91.833824955567707</v>
      </c>
      <c r="I96">
        <v>-65.821447437929208</v>
      </c>
      <c r="J96">
        <v>33.9</v>
      </c>
      <c r="K96">
        <v>590</v>
      </c>
    </row>
  </sheetData>
  <autoFilter ref="B1:B96" xr:uid="{CB774D14-2142-4773-8F0B-B1E3D023A83F}"/>
  <sortState xmlns:xlrd2="http://schemas.microsoft.com/office/spreadsheetml/2017/richdata2" ref="A2:I103">
    <sortCondition ref="A1:A1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DD2F-9074-4DFB-8D9A-EF1176F214EB}">
  <dimension ref="A1:T25"/>
  <sheetViews>
    <sheetView workbookViewId="0">
      <selection activeCell="T2" sqref="T2:T5"/>
    </sheetView>
  </sheetViews>
  <sheetFormatPr defaultRowHeight="14.5" x14ac:dyDescent="0.35"/>
  <cols>
    <col min="2" max="2" width="9.7265625" bestFit="1" customWidth="1"/>
    <col min="3" max="3" width="3.54296875" bestFit="1" customWidth="1"/>
    <col min="4" max="4" width="12.453125" bestFit="1" customWidth="1"/>
    <col min="5" max="7" width="11.81640625" bestFit="1" customWidth="1"/>
    <col min="8" max="8" width="3.54296875" bestFit="1" customWidth="1"/>
    <col min="9" max="15" width="11.81640625" bestFit="1" customWidth="1"/>
    <col min="16" max="16" width="12.453125" bestFit="1" customWidth="1"/>
    <col min="17" max="17" width="14.6328125" bestFit="1" customWidth="1"/>
    <col min="18" max="18" width="15.81640625" bestFit="1" customWidth="1"/>
    <col min="19" max="19" width="12.453125" bestFit="1" customWidth="1"/>
  </cols>
  <sheetData>
    <row r="1" spans="1:20" x14ac:dyDescent="0.35">
      <c r="A1" s="1" t="s">
        <v>194</v>
      </c>
      <c r="B1" s="1" t="s">
        <v>1</v>
      </c>
      <c r="C1" s="1" t="s">
        <v>197</v>
      </c>
      <c r="D1" s="1" t="s">
        <v>110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113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2" t="s">
        <v>112</v>
      </c>
      <c r="P1" s="1" t="s">
        <v>207</v>
      </c>
      <c r="Q1" s="1" t="s">
        <v>229</v>
      </c>
      <c r="R1" s="1" t="s">
        <v>230</v>
      </c>
      <c r="S1" s="1" t="s">
        <v>111</v>
      </c>
      <c r="T1" s="1" t="s">
        <v>231</v>
      </c>
    </row>
    <row r="2" spans="1:20" x14ac:dyDescent="0.35">
      <c r="A2" t="s">
        <v>144</v>
      </c>
      <c r="B2" t="s">
        <v>11</v>
      </c>
      <c r="C2">
        <v>4</v>
      </c>
      <c r="D2">
        <v>-87.7465750809925</v>
      </c>
      <c r="E2">
        <v>14.50664345773647</v>
      </c>
      <c r="F2">
        <v>7.2533217288682366</v>
      </c>
      <c r="G2">
        <v>23.083306937070759</v>
      </c>
      <c r="H2">
        <v>4</v>
      </c>
      <c r="I2">
        <v>576.5</v>
      </c>
      <c r="J2">
        <v>155.18913192188</v>
      </c>
      <c r="K2">
        <v>77.594565960939988</v>
      </c>
      <c r="L2">
        <v>246.94053975248639</v>
      </c>
      <c r="M2">
        <v>0.91666666699999999</v>
      </c>
      <c r="N2">
        <v>6.973073136</v>
      </c>
      <c r="O2">
        <v>56.081481481481475</v>
      </c>
      <c r="P2">
        <v>-100</v>
      </c>
      <c r="Q2" s="12">
        <v>-84.195059288344225</v>
      </c>
      <c r="R2" s="12">
        <v>-84.670147499283331</v>
      </c>
      <c r="S2" s="12">
        <v>-87.7465750809925</v>
      </c>
      <c r="T2" t="s">
        <v>232</v>
      </c>
    </row>
    <row r="3" spans="1:20" x14ac:dyDescent="0.35">
      <c r="A3" t="s">
        <v>115</v>
      </c>
      <c r="B3" t="s">
        <v>11</v>
      </c>
      <c r="C3">
        <v>3</v>
      </c>
      <c r="D3">
        <v>-80.492879538373685</v>
      </c>
      <c r="E3">
        <v>16.088501522575349</v>
      </c>
      <c r="F3">
        <v>9.2887006849165843</v>
      </c>
      <c r="G3">
        <v>39.966053357782037</v>
      </c>
      <c r="H3">
        <v>3</v>
      </c>
      <c r="I3">
        <v>576.66666666666663</v>
      </c>
      <c r="J3">
        <v>215.48395145191981</v>
      </c>
      <c r="K3">
        <v>124.40971737681021</v>
      </c>
      <c r="L3">
        <v>535.29181007869136</v>
      </c>
      <c r="M3">
        <v>0.90277777800000003</v>
      </c>
      <c r="N3">
        <v>7.9135658759999998</v>
      </c>
      <c r="O3">
        <v>59.924999999999976</v>
      </c>
      <c r="P3">
        <v>-62.793197279191183</v>
      </c>
      <c r="Q3" s="12">
        <v>-69.701626189265482</v>
      </c>
      <c r="R3" s="12">
        <v>-82.901775720998899</v>
      </c>
      <c r="S3" s="12">
        <v>-80.492879538373685</v>
      </c>
      <c r="T3" t="s">
        <v>232</v>
      </c>
    </row>
    <row r="4" spans="1:20" x14ac:dyDescent="0.35">
      <c r="A4" t="s">
        <v>117</v>
      </c>
      <c r="B4" t="s">
        <v>11</v>
      </c>
      <c r="C4">
        <v>4</v>
      </c>
      <c r="D4">
        <v>-55.587651192571002</v>
      </c>
      <c r="E4">
        <v>29.73171523291558</v>
      </c>
      <c r="F4">
        <v>14.86585761645779</v>
      </c>
      <c r="G4">
        <v>47.309793646369762</v>
      </c>
      <c r="H4">
        <v>4</v>
      </c>
      <c r="I4">
        <v>731</v>
      </c>
      <c r="J4">
        <v>61.892379714038029</v>
      </c>
      <c r="K4">
        <v>30.946189857019011</v>
      </c>
      <c r="L4">
        <v>98.484587573078315</v>
      </c>
      <c r="M4">
        <v>0.48369451499999999</v>
      </c>
      <c r="N4">
        <v>5.3558472679999998</v>
      </c>
      <c r="O4">
        <v>79.04642857142855</v>
      </c>
      <c r="P4">
        <v>-36.4766041356404</v>
      </c>
      <c r="Q4" s="12">
        <v>-92.54536438569481</v>
      </c>
      <c r="R4" s="12">
        <v>-69.199693057687099</v>
      </c>
      <c r="S4" s="12">
        <v>-55.587651192570988</v>
      </c>
      <c r="T4" t="s">
        <v>232</v>
      </c>
    </row>
    <row r="5" spans="1:20" x14ac:dyDescent="0.35">
      <c r="A5" t="s">
        <v>119</v>
      </c>
      <c r="B5" t="s">
        <v>11</v>
      </c>
      <c r="C5">
        <v>4</v>
      </c>
      <c r="D5">
        <v>-84.433005626773493</v>
      </c>
      <c r="E5">
        <v>5.7930797854021776</v>
      </c>
      <c r="F5">
        <v>2.8965398927010888</v>
      </c>
      <c r="G5">
        <v>9.218082679633449</v>
      </c>
      <c r="H5">
        <v>4</v>
      </c>
      <c r="I5">
        <v>602.75</v>
      </c>
      <c r="J5">
        <v>113.41773817764719</v>
      </c>
      <c r="K5">
        <v>56.708869088823597</v>
      </c>
      <c r="L5">
        <v>180.4729309085441</v>
      </c>
      <c r="M5">
        <v>0.73566449599999995</v>
      </c>
      <c r="N5">
        <v>11.46685551</v>
      </c>
      <c r="O5">
        <v>56.632142857142853</v>
      </c>
      <c r="P5">
        <v>-50.263671513671511</v>
      </c>
      <c r="Q5" s="12">
        <v>-77.658977240527776</v>
      </c>
      <c r="R5" s="12">
        <v>-81.124904539625589</v>
      </c>
      <c r="S5" s="12">
        <v>-84.433005626773493</v>
      </c>
      <c r="T5" t="s">
        <v>232</v>
      </c>
    </row>
    <row r="6" spans="1:20" x14ac:dyDescent="0.35">
      <c r="A6" t="s">
        <v>121</v>
      </c>
      <c r="B6" t="s">
        <v>11</v>
      </c>
      <c r="C6">
        <v>4</v>
      </c>
      <c r="D6">
        <v>-80.809312480413524</v>
      </c>
      <c r="E6">
        <v>18.154937084457728</v>
      </c>
      <c r="F6">
        <v>9.0774685422288659</v>
      </c>
      <c r="G6">
        <v>28.88855622354534</v>
      </c>
      <c r="H6">
        <v>4</v>
      </c>
      <c r="I6">
        <v>296.5</v>
      </c>
      <c r="J6">
        <v>41.032507438208867</v>
      </c>
      <c r="K6">
        <v>20.516253719104441</v>
      </c>
      <c r="L6">
        <v>65.29187584662705</v>
      </c>
      <c r="M6">
        <v>0.34145366799999999</v>
      </c>
      <c r="N6">
        <v>4.6331839930000003</v>
      </c>
      <c r="O6">
        <v>18.25185185185185</v>
      </c>
      <c r="P6">
        <v>-16.355886821988516</v>
      </c>
      <c r="Q6" s="12">
        <v>-64.846529030374853</v>
      </c>
      <c r="R6" s="12">
        <v>-80.358890238787239</v>
      </c>
      <c r="S6" s="12">
        <v>-80.809312480413524</v>
      </c>
      <c r="T6" t="s">
        <v>233</v>
      </c>
    </row>
    <row r="7" spans="1:20" x14ac:dyDescent="0.35">
      <c r="A7" t="s">
        <v>124</v>
      </c>
      <c r="B7" t="s">
        <v>11</v>
      </c>
      <c r="C7">
        <v>4</v>
      </c>
      <c r="D7">
        <v>-89.286237223871524</v>
      </c>
      <c r="E7">
        <v>7.6673640617078203</v>
      </c>
      <c r="F7">
        <v>3.8336820308539101</v>
      </c>
      <c r="G7">
        <v>12.200487214723569</v>
      </c>
      <c r="H7">
        <v>4</v>
      </c>
      <c r="I7">
        <v>739.25</v>
      </c>
      <c r="J7">
        <v>131.63934315646921</v>
      </c>
      <c r="K7">
        <v>65.819671578234619</v>
      </c>
      <c r="L7">
        <v>209.4675706291398</v>
      </c>
      <c r="M7">
        <v>0.80808080800000004</v>
      </c>
      <c r="N7">
        <v>4.6706871630000002</v>
      </c>
      <c r="O7">
        <v>82.818518518518516</v>
      </c>
      <c r="P7">
        <v>-79.495224814063562</v>
      </c>
      <c r="Q7" s="12">
        <v>-49.426846474245934</v>
      </c>
      <c r="R7" s="12">
        <v>-61.01185050481908</v>
      </c>
      <c r="S7" s="12">
        <v>-91.07343228110993</v>
      </c>
      <c r="T7" t="s">
        <v>232</v>
      </c>
    </row>
    <row r="8" spans="1:20" x14ac:dyDescent="0.35">
      <c r="A8" t="s">
        <v>126</v>
      </c>
      <c r="B8" t="s">
        <v>11</v>
      </c>
      <c r="C8">
        <v>4</v>
      </c>
      <c r="D8">
        <v>-91.571412496291799</v>
      </c>
      <c r="E8">
        <v>9.5399224422217994</v>
      </c>
      <c r="F8">
        <v>4.7699612211108997</v>
      </c>
      <c r="G8">
        <v>15.18014546447095</v>
      </c>
      <c r="H8">
        <v>4</v>
      </c>
      <c r="I8">
        <v>538.75</v>
      </c>
      <c r="J8">
        <v>174.66038474708569</v>
      </c>
      <c r="K8">
        <v>87.330192373542843</v>
      </c>
      <c r="L8">
        <v>277.92364805889679</v>
      </c>
      <c r="M8">
        <v>1</v>
      </c>
      <c r="N8">
        <v>16.04331535</v>
      </c>
      <c r="O8">
        <v>58.849999999999966</v>
      </c>
      <c r="P8">
        <v>-97.777777777777771</v>
      </c>
      <c r="Q8" s="12">
        <v>-64.849904776243562</v>
      </c>
      <c r="R8" s="12">
        <v>-74.883041226310311</v>
      </c>
      <c r="S8" s="12">
        <v>-91.571412496291799</v>
      </c>
      <c r="T8" t="s">
        <v>232</v>
      </c>
    </row>
    <row r="9" spans="1:20" x14ac:dyDescent="0.35">
      <c r="A9" t="s">
        <v>132</v>
      </c>
      <c r="B9" t="s">
        <v>11</v>
      </c>
      <c r="C9">
        <v>4</v>
      </c>
      <c r="D9">
        <v>-67.455260649648721</v>
      </c>
      <c r="E9">
        <v>16.126013882445871</v>
      </c>
      <c r="F9">
        <v>8.0630069412229375</v>
      </c>
      <c r="G9">
        <v>25.660086649571831</v>
      </c>
      <c r="H9">
        <v>4</v>
      </c>
      <c r="I9">
        <v>768</v>
      </c>
      <c r="J9">
        <v>57.526805346145657</v>
      </c>
      <c r="K9">
        <v>28.763402673072829</v>
      </c>
      <c r="L9">
        <v>91.537984564308161</v>
      </c>
      <c r="M9">
        <v>0.90104166699999999</v>
      </c>
      <c r="N9">
        <v>8.303634035</v>
      </c>
      <c r="O9">
        <v>103.69230769230772</v>
      </c>
      <c r="P9">
        <v>-79.545454545454547</v>
      </c>
      <c r="Q9" s="12">
        <v>-54.772386725235052</v>
      </c>
      <c r="R9" s="12">
        <v>-77.240716412445579</v>
      </c>
      <c r="S9" s="12">
        <v>-67.455260649648721</v>
      </c>
      <c r="T9" t="s">
        <v>233</v>
      </c>
    </row>
    <row r="10" spans="1:20" x14ac:dyDescent="0.35">
      <c r="A10" t="s">
        <v>134</v>
      </c>
      <c r="B10" t="s">
        <v>11</v>
      </c>
      <c r="C10">
        <v>4</v>
      </c>
      <c r="D10">
        <v>-58.312409261442532</v>
      </c>
      <c r="E10">
        <v>14.486738904995409</v>
      </c>
      <c r="F10">
        <v>7.2433694524977046</v>
      </c>
      <c r="G10">
        <v>23.051634351906191</v>
      </c>
      <c r="H10">
        <v>4</v>
      </c>
      <c r="I10">
        <v>638.25</v>
      </c>
      <c r="J10">
        <v>162.10773166837751</v>
      </c>
      <c r="K10">
        <v>81.053865834188727</v>
      </c>
      <c r="L10">
        <v>257.94957585297527</v>
      </c>
      <c r="M10">
        <v>0.62404968500000002</v>
      </c>
      <c r="N10">
        <v>4.4458072719999997</v>
      </c>
      <c r="O10">
        <v>51.644000000000013</v>
      </c>
      <c r="P10">
        <v>-52.185941043083893</v>
      </c>
      <c r="Q10" s="12">
        <v>-67.990476896760981</v>
      </c>
      <c r="R10" s="12">
        <v>-76.37648734070541</v>
      </c>
      <c r="S10" s="12">
        <v>-58.312409261442532</v>
      </c>
      <c r="T10" t="s">
        <v>233</v>
      </c>
    </row>
    <row r="11" spans="1:20" x14ac:dyDescent="0.35">
      <c r="A11" t="s">
        <v>136</v>
      </c>
      <c r="B11" t="s">
        <v>11</v>
      </c>
      <c r="C11">
        <v>4</v>
      </c>
      <c r="D11">
        <v>-83.635933017628432</v>
      </c>
      <c r="E11">
        <v>10.24237296763048</v>
      </c>
      <c r="F11">
        <v>5.1211864838152419</v>
      </c>
      <c r="G11">
        <v>16.297901004086679</v>
      </c>
      <c r="H11">
        <v>3</v>
      </c>
      <c r="I11">
        <v>576.66666666666663</v>
      </c>
      <c r="J11">
        <v>67.51543033509698</v>
      </c>
      <c r="K11">
        <v>38.980051878421669</v>
      </c>
      <c r="L11">
        <v>167.7176266204666</v>
      </c>
      <c r="M11">
        <v>0.12675614800000001</v>
      </c>
      <c r="N11">
        <v>4.8469792719999996</v>
      </c>
      <c r="O11">
        <v>55.270370370370394</v>
      </c>
      <c r="P11">
        <v>-8.6847903776419084</v>
      </c>
      <c r="Q11" s="12">
        <v>-54.535678294175426</v>
      </c>
      <c r="R11" s="12">
        <v>-78.908178771790688</v>
      </c>
      <c r="S11" s="12">
        <v>-88.635933017628417</v>
      </c>
      <c r="T11" t="s">
        <v>233</v>
      </c>
    </row>
    <row r="12" spans="1:20" x14ac:dyDescent="0.35">
      <c r="A12" t="s">
        <v>138</v>
      </c>
      <c r="B12" t="s">
        <v>11</v>
      </c>
      <c r="C12">
        <v>4</v>
      </c>
      <c r="D12">
        <v>-85.95401257467438</v>
      </c>
      <c r="E12">
        <v>12.51473522958424</v>
      </c>
      <c r="F12">
        <v>6.2573676147921189</v>
      </c>
      <c r="G12">
        <v>19.913736446497101</v>
      </c>
      <c r="H12">
        <v>4</v>
      </c>
      <c r="I12">
        <v>651.5</v>
      </c>
      <c r="J12">
        <v>201.50847790270919</v>
      </c>
      <c r="K12">
        <v>100.75423895135459</v>
      </c>
      <c r="L12">
        <v>320.64495549241042</v>
      </c>
      <c r="M12">
        <v>0.84736842099999998</v>
      </c>
      <c r="N12">
        <v>2.7744539709999998</v>
      </c>
      <c r="O12">
        <v>108.02499999999998</v>
      </c>
      <c r="P12">
        <v>-36.226175028352891</v>
      </c>
      <c r="Q12" s="12">
        <v>-45.872026367139149</v>
      </c>
      <c r="R12" s="12">
        <v>-54.810251816265101</v>
      </c>
      <c r="S12" s="12">
        <v>-93.45401257467438</v>
      </c>
      <c r="T12" t="s">
        <v>232</v>
      </c>
    </row>
    <row r="13" spans="1:20" x14ac:dyDescent="0.35">
      <c r="A13" t="s">
        <v>140</v>
      </c>
      <c r="B13" t="s">
        <v>11</v>
      </c>
      <c r="C13">
        <v>4</v>
      </c>
      <c r="D13">
        <v>-79.41248480615846</v>
      </c>
      <c r="E13">
        <v>22.669502084735502</v>
      </c>
      <c r="F13">
        <v>11.334751042367751</v>
      </c>
      <c r="G13">
        <v>36.0722365760939</v>
      </c>
      <c r="H13">
        <v>4</v>
      </c>
      <c r="I13">
        <v>401</v>
      </c>
      <c r="J13">
        <v>70.36097403153731</v>
      </c>
      <c r="K13">
        <v>35.180487015768662</v>
      </c>
      <c r="L13">
        <v>111.96001092141439</v>
      </c>
      <c r="M13">
        <v>0.32133852400000001</v>
      </c>
      <c r="N13">
        <v>7.6251453329999999</v>
      </c>
      <c r="O13">
        <v>22.12592592592593</v>
      </c>
      <c r="P13">
        <v>-24.101372615069934</v>
      </c>
      <c r="Q13" s="12">
        <v>-59.969600282150388</v>
      </c>
      <c r="R13" s="12">
        <v>-85.729951897855258</v>
      </c>
      <c r="S13" s="12">
        <v>-79.412484806158446</v>
      </c>
      <c r="T13" t="s">
        <v>233</v>
      </c>
    </row>
    <row r="14" spans="1:20" x14ac:dyDescent="0.35">
      <c r="A14" t="s">
        <v>115</v>
      </c>
      <c r="B14" t="s">
        <v>17</v>
      </c>
      <c r="C14">
        <v>4</v>
      </c>
      <c r="D14">
        <v>-67.880679501344929</v>
      </c>
      <c r="E14">
        <v>23.249289018528991</v>
      </c>
      <c r="F14">
        <v>11.624644509264501</v>
      </c>
      <c r="G14">
        <v>36.994806968745337</v>
      </c>
      <c r="H14">
        <v>4</v>
      </c>
      <c r="I14">
        <v>692.25</v>
      </c>
      <c r="J14">
        <v>38.055879966176057</v>
      </c>
      <c r="K14">
        <v>19.027939983088029</v>
      </c>
      <c r="L14">
        <v>60.555397296338633</v>
      </c>
      <c r="O14">
        <v>87.307692307692292</v>
      </c>
      <c r="P14">
        <v>-13.929152144673004</v>
      </c>
      <c r="Q14" s="12">
        <v>-58.207068568875734</v>
      </c>
      <c r="R14">
        <v>-86.475819970059689</v>
      </c>
      <c r="S14" s="12">
        <v>-67.880679501344929</v>
      </c>
      <c r="T14" t="s">
        <v>232</v>
      </c>
    </row>
    <row r="15" spans="1:20" x14ac:dyDescent="0.35">
      <c r="A15" t="s">
        <v>117</v>
      </c>
      <c r="B15" t="s">
        <v>17</v>
      </c>
      <c r="C15">
        <v>4</v>
      </c>
      <c r="D15">
        <v>-53.186714138605304</v>
      </c>
      <c r="E15">
        <v>22.083514232077501</v>
      </c>
      <c r="F15">
        <v>11.041757116038751</v>
      </c>
      <c r="G15">
        <v>35.139799137777622</v>
      </c>
      <c r="H15">
        <v>3</v>
      </c>
      <c r="I15">
        <v>805.33333333333337</v>
      </c>
      <c r="J15">
        <v>32.331615074619037</v>
      </c>
      <c r="K15">
        <v>18.666666666666671</v>
      </c>
      <c r="L15">
        <v>80.316184288656629</v>
      </c>
      <c r="O15">
        <v>108.18846153846151</v>
      </c>
      <c r="P15">
        <v>-32.478668674320851</v>
      </c>
      <c r="Q15" s="12">
        <v>-88.014322836827873</v>
      </c>
      <c r="R15">
        <v>-76.478743885825338</v>
      </c>
      <c r="S15" s="12">
        <v>-53.186714138605296</v>
      </c>
      <c r="T15" t="s">
        <v>232</v>
      </c>
    </row>
    <row r="16" spans="1:20" x14ac:dyDescent="0.35">
      <c r="A16" t="s">
        <v>119</v>
      </c>
      <c r="B16" t="s">
        <v>17</v>
      </c>
      <c r="C16">
        <v>4</v>
      </c>
      <c r="D16">
        <v>-84.650011091991104</v>
      </c>
      <c r="E16">
        <v>11.57546865549074</v>
      </c>
      <c r="F16">
        <v>5.7877343277453681</v>
      </c>
      <c r="G16">
        <v>18.41915372729693</v>
      </c>
      <c r="H16">
        <v>4</v>
      </c>
      <c r="I16">
        <v>577.75</v>
      </c>
      <c r="J16">
        <v>126.8867605386787</v>
      </c>
      <c r="K16">
        <v>63.443380269339372</v>
      </c>
      <c r="L16">
        <v>201.90515113286841</v>
      </c>
      <c r="O16">
        <v>66.526923076923069</v>
      </c>
      <c r="P16">
        <v>-35.288724685276414</v>
      </c>
      <c r="Q16" s="12">
        <v>-70.095893679250153</v>
      </c>
      <c r="R16">
        <v>-74.191075112303238</v>
      </c>
      <c r="S16" s="12">
        <v>-84.650011091991104</v>
      </c>
      <c r="T16" t="s">
        <v>232</v>
      </c>
    </row>
    <row r="17" spans="1:20" x14ac:dyDescent="0.35">
      <c r="A17" t="s">
        <v>121</v>
      </c>
      <c r="B17" t="s">
        <v>17</v>
      </c>
      <c r="C17">
        <v>4</v>
      </c>
      <c r="D17">
        <v>-89.985608309758234</v>
      </c>
      <c r="E17">
        <v>5.4892709080798223</v>
      </c>
      <c r="F17">
        <v>2.7446354540399112</v>
      </c>
      <c r="G17">
        <v>8.7346549600599861</v>
      </c>
      <c r="H17">
        <v>4</v>
      </c>
      <c r="I17">
        <v>274.5</v>
      </c>
      <c r="J17">
        <v>70.929542505221335</v>
      </c>
      <c r="K17">
        <v>35.464771252610667</v>
      </c>
      <c r="L17">
        <v>112.8647302406027</v>
      </c>
      <c r="O17">
        <v>16.338888888888889</v>
      </c>
      <c r="P17">
        <v>-15.931623931623932</v>
      </c>
      <c r="Q17" s="12">
        <v>-70.915129352633741</v>
      </c>
      <c r="R17">
        <v>-83.465749376807452</v>
      </c>
      <c r="S17" s="12">
        <v>-89.985608309758248</v>
      </c>
      <c r="T17" t="s">
        <v>233</v>
      </c>
    </row>
    <row r="18" spans="1:20" x14ac:dyDescent="0.35">
      <c r="A18" t="s">
        <v>124</v>
      </c>
      <c r="B18" t="s">
        <v>17</v>
      </c>
      <c r="C18">
        <v>4</v>
      </c>
      <c r="D18">
        <v>-93.683006288937918</v>
      </c>
      <c r="E18">
        <v>4.306893943436644</v>
      </c>
      <c r="F18">
        <v>2.153446971718322</v>
      </c>
      <c r="G18">
        <v>6.8532293587693633</v>
      </c>
      <c r="H18">
        <v>4</v>
      </c>
      <c r="I18">
        <v>771.75</v>
      </c>
      <c r="J18">
        <v>185.33820437243909</v>
      </c>
      <c r="K18">
        <v>92.669102186219547</v>
      </c>
      <c r="L18">
        <v>294.91444186649278</v>
      </c>
      <c r="O18">
        <v>111.76249999999999</v>
      </c>
      <c r="P18">
        <v>27.311348781937017</v>
      </c>
      <c r="Q18" s="12">
        <v>-63.199494309816664</v>
      </c>
      <c r="R18">
        <v>-60.000884061953116</v>
      </c>
      <c r="S18" s="12">
        <v>-85.349683075838811</v>
      </c>
      <c r="T18" t="s">
        <v>232</v>
      </c>
    </row>
    <row r="19" spans="1:20" x14ac:dyDescent="0.35">
      <c r="A19" t="s">
        <v>126</v>
      </c>
      <c r="B19" t="s">
        <v>17</v>
      </c>
      <c r="C19">
        <v>4</v>
      </c>
      <c r="D19">
        <v>-88.78676258802858</v>
      </c>
      <c r="E19">
        <v>19.955795373150199</v>
      </c>
      <c r="F19">
        <v>9.9778976865751012</v>
      </c>
      <c r="G19">
        <v>31.754123627139791</v>
      </c>
      <c r="H19">
        <v>4</v>
      </c>
      <c r="I19">
        <v>465</v>
      </c>
      <c r="J19">
        <v>88.264753252171204</v>
      </c>
      <c r="K19">
        <v>44.132376626085602</v>
      </c>
      <c r="L19">
        <v>140.44891893707521</v>
      </c>
      <c r="O19">
        <v>53.392307692307675</v>
      </c>
      <c r="P19">
        <v>-35.084380886479835</v>
      </c>
      <c r="Q19" s="12">
        <v>-56.347413255349494</v>
      </c>
      <c r="R19">
        <v>-88.588896676606055</v>
      </c>
      <c r="S19" s="12">
        <v>-88.78676258802858</v>
      </c>
      <c r="T19" t="s">
        <v>232</v>
      </c>
    </row>
    <row r="20" spans="1:20" x14ac:dyDescent="0.35">
      <c r="A20" t="s">
        <v>130</v>
      </c>
      <c r="B20" t="s">
        <v>17</v>
      </c>
      <c r="C20">
        <v>4</v>
      </c>
      <c r="D20">
        <v>-81.166153110604924</v>
      </c>
      <c r="E20">
        <v>36.541541789091603</v>
      </c>
      <c r="F20">
        <v>18.270770894545802</v>
      </c>
      <c r="G20">
        <v>58.145747328032392</v>
      </c>
      <c r="H20">
        <v>4</v>
      </c>
      <c r="I20">
        <v>505.75</v>
      </c>
      <c r="J20">
        <v>102.3274971191354</v>
      </c>
      <c r="K20">
        <v>51.163748559567708</v>
      </c>
      <c r="L20">
        <v>162.8258825678609</v>
      </c>
      <c r="O20">
        <v>34.75</v>
      </c>
      <c r="P20">
        <v>6.2850958565244275</v>
      </c>
      <c r="Q20" s="12">
        <v>-62.322415032946274</v>
      </c>
      <c r="R20">
        <v>-82.410720376806651</v>
      </c>
      <c r="S20" s="12">
        <v>-99.851464998371057</v>
      </c>
      <c r="T20" t="s">
        <v>232</v>
      </c>
    </row>
    <row r="21" spans="1:20" x14ac:dyDescent="0.35">
      <c r="A21" t="s">
        <v>132</v>
      </c>
      <c r="B21" t="s">
        <v>17</v>
      </c>
      <c r="C21">
        <v>4</v>
      </c>
      <c r="D21">
        <v>-65.392919230830998</v>
      </c>
      <c r="E21">
        <v>12.223560747224321</v>
      </c>
      <c r="F21">
        <v>6.1117803736121612</v>
      </c>
      <c r="G21">
        <v>19.450412868707499</v>
      </c>
      <c r="H21">
        <v>4</v>
      </c>
      <c r="I21">
        <v>761</v>
      </c>
      <c r="J21">
        <v>48.46304433964778</v>
      </c>
      <c r="K21">
        <v>24.23152216982389</v>
      </c>
      <c r="L21">
        <v>77.115518200756298</v>
      </c>
      <c r="O21">
        <v>80.629629629629619</v>
      </c>
      <c r="P21">
        <v>-20.265966112740308</v>
      </c>
      <c r="Q21" s="12">
        <v>-64.790433167406988</v>
      </c>
      <c r="R21">
        <v>-86.010306168526981</v>
      </c>
      <c r="S21" s="12">
        <v>-65.392919230831012</v>
      </c>
      <c r="T21" t="s">
        <v>233</v>
      </c>
    </row>
    <row r="22" spans="1:20" x14ac:dyDescent="0.35">
      <c r="A22" t="s">
        <v>134</v>
      </c>
      <c r="B22" t="s">
        <v>17</v>
      </c>
      <c r="C22">
        <v>4</v>
      </c>
      <c r="D22">
        <v>-56.933357688800783</v>
      </c>
      <c r="E22">
        <v>25.025572628863902</v>
      </c>
      <c r="F22">
        <v>12.512786314431951</v>
      </c>
      <c r="G22">
        <v>39.821270575168498</v>
      </c>
      <c r="H22">
        <v>4</v>
      </c>
      <c r="I22">
        <v>710.5</v>
      </c>
      <c r="J22">
        <v>82.661962231730257</v>
      </c>
      <c r="K22">
        <v>41.330981115865129</v>
      </c>
      <c r="L22">
        <v>131.53362814593569</v>
      </c>
      <c r="O22">
        <v>71.180000000000035</v>
      </c>
      <c r="P22">
        <v>13.014346764346763</v>
      </c>
      <c r="Q22" s="12">
        <v>-65.544740468073186</v>
      </c>
      <c r="R22">
        <v>-91.008867869925638</v>
      </c>
      <c r="S22" s="12">
        <v>-56.933357688800783</v>
      </c>
      <c r="T22" t="s">
        <v>233</v>
      </c>
    </row>
    <row r="23" spans="1:20" x14ac:dyDescent="0.35">
      <c r="A23" t="s">
        <v>136</v>
      </c>
      <c r="B23" t="s">
        <v>17</v>
      </c>
      <c r="C23">
        <v>4</v>
      </c>
      <c r="D23">
        <v>-63.466784123799989</v>
      </c>
      <c r="E23">
        <v>23.816533717664349</v>
      </c>
      <c r="F23">
        <v>11.908266858832169</v>
      </c>
      <c r="G23">
        <v>37.897419867222879</v>
      </c>
      <c r="H23">
        <v>4</v>
      </c>
      <c r="I23">
        <v>706.75</v>
      </c>
      <c r="J23">
        <v>61.716421369572828</v>
      </c>
      <c r="K23">
        <v>30.858210684786421</v>
      </c>
      <c r="L23">
        <v>98.204598581464765</v>
      </c>
      <c r="O23">
        <v>66.00833333333334</v>
      </c>
      <c r="P23">
        <v>-5.9162122451042505</v>
      </c>
      <c r="Q23" s="12">
        <v>-47.413222854291561</v>
      </c>
      <c r="R23">
        <v>-81.169252033213354</v>
      </c>
      <c r="S23" s="12">
        <v>-63.466784123799997</v>
      </c>
      <c r="T23" t="s">
        <v>233</v>
      </c>
    </row>
    <row r="24" spans="1:20" x14ac:dyDescent="0.35">
      <c r="A24" t="s">
        <v>138</v>
      </c>
      <c r="B24" t="s">
        <v>17</v>
      </c>
      <c r="C24">
        <v>4</v>
      </c>
      <c r="D24">
        <v>-95.186911298598318</v>
      </c>
      <c r="E24">
        <v>5.2611261172727266</v>
      </c>
      <c r="F24">
        <v>2.6305630586363642</v>
      </c>
      <c r="G24">
        <v>8.3716256867731058</v>
      </c>
      <c r="H24">
        <v>4</v>
      </c>
      <c r="I24">
        <v>562</v>
      </c>
      <c r="J24">
        <v>144.0300894489296</v>
      </c>
      <c r="K24">
        <v>72.015044724464815</v>
      </c>
      <c r="L24">
        <v>229.18401300821401</v>
      </c>
      <c r="O24">
        <v>67.496296296296293</v>
      </c>
      <c r="P24">
        <v>-86.470588235294102</v>
      </c>
      <c r="Q24" s="12">
        <v>-33.175624388899394</v>
      </c>
      <c r="R24">
        <v>-56.931498163600821</v>
      </c>
      <c r="S24" s="12">
        <v>-95.186911298598332</v>
      </c>
      <c r="T24" t="s">
        <v>232</v>
      </c>
    </row>
    <row r="25" spans="1:20" x14ac:dyDescent="0.35">
      <c r="A25" t="s">
        <v>140</v>
      </c>
      <c r="B25" t="s">
        <v>17</v>
      </c>
      <c r="C25">
        <v>4</v>
      </c>
      <c r="D25">
        <v>-80.163267187697016</v>
      </c>
      <c r="E25">
        <v>18.616336685955361</v>
      </c>
      <c r="F25">
        <v>9.3081683429776785</v>
      </c>
      <c r="G25">
        <v>29.62274595206809</v>
      </c>
      <c r="H25">
        <v>4</v>
      </c>
      <c r="I25">
        <v>478</v>
      </c>
      <c r="J25">
        <v>107.3436848010476</v>
      </c>
      <c r="K25">
        <v>53.671842400523822</v>
      </c>
      <c r="L25">
        <v>170.80775654531649</v>
      </c>
      <c r="O25">
        <v>32.192307692307686</v>
      </c>
      <c r="P25">
        <v>-19.468599033816425</v>
      </c>
      <c r="Q25" s="12">
        <v>-65.113166126051453</v>
      </c>
      <c r="R25">
        <v>-80.584803958936192</v>
      </c>
      <c r="S25" s="12">
        <v>-80.163267187697031</v>
      </c>
      <c r="T25" t="s">
        <v>233</v>
      </c>
    </row>
  </sheetData>
  <sortState xmlns:xlrd2="http://schemas.microsoft.com/office/spreadsheetml/2017/richdata2" ref="A2:N27">
    <sortCondition ref="B2:B27"/>
    <sortCondition ref="A2:A2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D4A7-3CD7-4BFC-A774-C8FA09123B50}">
  <dimension ref="A1:E97"/>
  <sheetViews>
    <sheetView workbookViewId="0">
      <selection activeCell="G10" sqref="G10"/>
    </sheetView>
  </sheetViews>
  <sheetFormatPr defaultRowHeight="14.5" x14ac:dyDescent="0.35"/>
  <sheetData>
    <row r="1" spans="1:5" x14ac:dyDescent="0.35">
      <c r="A1" s="1" t="s">
        <v>194</v>
      </c>
      <c r="B1" s="1" t="s">
        <v>1</v>
      </c>
      <c r="C1" t="s">
        <v>234</v>
      </c>
      <c r="D1" t="s">
        <v>235</v>
      </c>
      <c r="E1" t="s">
        <v>231</v>
      </c>
    </row>
    <row r="2" spans="1:5" x14ac:dyDescent="0.35">
      <c r="A2" t="s">
        <v>144</v>
      </c>
      <c r="B2" t="s">
        <v>11</v>
      </c>
      <c r="C2">
        <v>-87.7465750809925</v>
      </c>
      <c r="D2" t="s">
        <v>236</v>
      </c>
      <c r="E2" t="s">
        <v>232</v>
      </c>
    </row>
    <row r="3" spans="1:5" x14ac:dyDescent="0.35">
      <c r="A3" t="s">
        <v>115</v>
      </c>
      <c r="B3" t="s">
        <v>11</v>
      </c>
      <c r="C3">
        <v>-80.492879538373685</v>
      </c>
      <c r="D3" t="s">
        <v>236</v>
      </c>
      <c r="E3" t="s">
        <v>232</v>
      </c>
    </row>
    <row r="4" spans="1:5" x14ac:dyDescent="0.35">
      <c r="A4" t="s">
        <v>117</v>
      </c>
      <c r="B4" t="s">
        <v>11</v>
      </c>
      <c r="C4">
        <v>-55.587651192571002</v>
      </c>
      <c r="D4" t="s">
        <v>236</v>
      </c>
      <c r="E4" t="s">
        <v>232</v>
      </c>
    </row>
    <row r="5" spans="1:5" x14ac:dyDescent="0.35">
      <c r="A5" t="s">
        <v>119</v>
      </c>
      <c r="B5" t="s">
        <v>11</v>
      </c>
      <c r="C5">
        <v>-84.433005626773493</v>
      </c>
      <c r="D5" t="s">
        <v>236</v>
      </c>
      <c r="E5" t="s">
        <v>232</v>
      </c>
    </row>
    <row r="6" spans="1:5" x14ac:dyDescent="0.35">
      <c r="A6" t="s">
        <v>121</v>
      </c>
      <c r="B6" t="s">
        <v>11</v>
      </c>
      <c r="C6">
        <v>-80.809312480413524</v>
      </c>
      <c r="D6" t="s">
        <v>236</v>
      </c>
      <c r="E6" t="s">
        <v>233</v>
      </c>
    </row>
    <row r="7" spans="1:5" x14ac:dyDescent="0.35">
      <c r="A7" t="s">
        <v>124</v>
      </c>
      <c r="B7" t="s">
        <v>11</v>
      </c>
      <c r="C7">
        <v>-89.286237223871524</v>
      </c>
      <c r="D7" t="s">
        <v>236</v>
      </c>
      <c r="E7" t="s">
        <v>232</v>
      </c>
    </row>
    <row r="8" spans="1:5" x14ac:dyDescent="0.35">
      <c r="A8" t="s">
        <v>126</v>
      </c>
      <c r="B8" t="s">
        <v>11</v>
      </c>
      <c r="C8">
        <v>-91.571412496291799</v>
      </c>
      <c r="D8" t="s">
        <v>236</v>
      </c>
      <c r="E8" t="s">
        <v>232</v>
      </c>
    </row>
    <row r="9" spans="1:5" x14ac:dyDescent="0.35">
      <c r="A9" t="s">
        <v>132</v>
      </c>
      <c r="B9" t="s">
        <v>11</v>
      </c>
      <c r="C9">
        <v>-67.455260649648721</v>
      </c>
      <c r="D9" t="s">
        <v>236</v>
      </c>
      <c r="E9" t="s">
        <v>233</v>
      </c>
    </row>
    <row r="10" spans="1:5" x14ac:dyDescent="0.35">
      <c r="A10" t="s">
        <v>134</v>
      </c>
      <c r="B10" t="s">
        <v>11</v>
      </c>
      <c r="C10">
        <v>-58.312409261442532</v>
      </c>
      <c r="D10" t="s">
        <v>236</v>
      </c>
      <c r="E10" t="s">
        <v>233</v>
      </c>
    </row>
    <row r="11" spans="1:5" x14ac:dyDescent="0.35">
      <c r="A11" t="s">
        <v>136</v>
      </c>
      <c r="B11" t="s">
        <v>11</v>
      </c>
      <c r="C11">
        <v>-83.635933017628432</v>
      </c>
      <c r="D11" t="s">
        <v>236</v>
      </c>
      <c r="E11" t="s">
        <v>233</v>
      </c>
    </row>
    <row r="12" spans="1:5" x14ac:dyDescent="0.35">
      <c r="A12" t="s">
        <v>138</v>
      </c>
      <c r="B12" t="s">
        <v>11</v>
      </c>
      <c r="C12">
        <v>-85.95401257467438</v>
      </c>
      <c r="D12" t="s">
        <v>236</v>
      </c>
      <c r="E12" t="s">
        <v>232</v>
      </c>
    </row>
    <row r="13" spans="1:5" x14ac:dyDescent="0.35">
      <c r="A13" t="s">
        <v>140</v>
      </c>
      <c r="B13" t="s">
        <v>11</v>
      </c>
      <c r="C13">
        <v>-79.41248480615846</v>
      </c>
      <c r="D13" t="s">
        <v>236</v>
      </c>
      <c r="E13" t="s">
        <v>233</v>
      </c>
    </row>
    <row r="14" spans="1:5" x14ac:dyDescent="0.35">
      <c r="A14" t="s">
        <v>115</v>
      </c>
      <c r="B14" t="s">
        <v>17</v>
      </c>
      <c r="C14">
        <v>-67.880679501344929</v>
      </c>
      <c r="D14" t="s">
        <v>236</v>
      </c>
      <c r="E14" t="s">
        <v>232</v>
      </c>
    </row>
    <row r="15" spans="1:5" x14ac:dyDescent="0.35">
      <c r="A15" t="s">
        <v>117</v>
      </c>
      <c r="B15" t="s">
        <v>17</v>
      </c>
      <c r="C15">
        <v>-53.186714138605304</v>
      </c>
      <c r="D15" t="s">
        <v>236</v>
      </c>
      <c r="E15" t="s">
        <v>232</v>
      </c>
    </row>
    <row r="16" spans="1:5" x14ac:dyDescent="0.35">
      <c r="A16" t="s">
        <v>119</v>
      </c>
      <c r="B16" t="s">
        <v>17</v>
      </c>
      <c r="C16">
        <v>-84.650011091991104</v>
      </c>
      <c r="D16" t="s">
        <v>236</v>
      </c>
      <c r="E16" t="s">
        <v>232</v>
      </c>
    </row>
    <row r="17" spans="1:5" x14ac:dyDescent="0.35">
      <c r="A17" t="s">
        <v>121</v>
      </c>
      <c r="B17" t="s">
        <v>17</v>
      </c>
      <c r="C17">
        <v>-89.985608309758234</v>
      </c>
      <c r="D17" t="s">
        <v>236</v>
      </c>
      <c r="E17" t="s">
        <v>233</v>
      </c>
    </row>
    <row r="18" spans="1:5" x14ac:dyDescent="0.35">
      <c r="A18" t="s">
        <v>124</v>
      </c>
      <c r="B18" t="s">
        <v>17</v>
      </c>
      <c r="C18">
        <v>-93.683006288937918</v>
      </c>
      <c r="D18" t="s">
        <v>236</v>
      </c>
      <c r="E18" t="s">
        <v>232</v>
      </c>
    </row>
    <row r="19" spans="1:5" x14ac:dyDescent="0.35">
      <c r="A19" t="s">
        <v>126</v>
      </c>
      <c r="B19" t="s">
        <v>17</v>
      </c>
      <c r="C19">
        <v>-88.78676258802858</v>
      </c>
      <c r="D19" t="s">
        <v>236</v>
      </c>
      <c r="E19" t="s">
        <v>232</v>
      </c>
    </row>
    <row r="20" spans="1:5" x14ac:dyDescent="0.35">
      <c r="A20" t="s">
        <v>130</v>
      </c>
      <c r="B20" t="s">
        <v>17</v>
      </c>
      <c r="C20">
        <v>-81.166153110604924</v>
      </c>
      <c r="D20" t="s">
        <v>236</v>
      </c>
      <c r="E20" t="s">
        <v>232</v>
      </c>
    </row>
    <row r="21" spans="1:5" x14ac:dyDescent="0.35">
      <c r="A21" t="s">
        <v>132</v>
      </c>
      <c r="B21" t="s">
        <v>17</v>
      </c>
      <c r="C21">
        <v>-65.392919230830998</v>
      </c>
      <c r="D21" t="s">
        <v>236</v>
      </c>
      <c r="E21" t="s">
        <v>233</v>
      </c>
    </row>
    <row r="22" spans="1:5" x14ac:dyDescent="0.35">
      <c r="A22" t="s">
        <v>134</v>
      </c>
      <c r="B22" t="s">
        <v>17</v>
      </c>
      <c r="C22">
        <v>-56.933357688800783</v>
      </c>
      <c r="D22" t="s">
        <v>236</v>
      </c>
      <c r="E22" t="s">
        <v>233</v>
      </c>
    </row>
    <row r="23" spans="1:5" x14ac:dyDescent="0.35">
      <c r="A23" t="s">
        <v>136</v>
      </c>
      <c r="B23" t="s">
        <v>17</v>
      </c>
      <c r="C23">
        <v>-63.466784123799989</v>
      </c>
      <c r="D23" t="s">
        <v>236</v>
      </c>
      <c r="E23" t="s">
        <v>233</v>
      </c>
    </row>
    <row r="24" spans="1:5" x14ac:dyDescent="0.35">
      <c r="A24" t="s">
        <v>138</v>
      </c>
      <c r="B24" t="s">
        <v>17</v>
      </c>
      <c r="C24">
        <v>-95.186911298598318</v>
      </c>
      <c r="D24" t="s">
        <v>236</v>
      </c>
      <c r="E24" t="s">
        <v>232</v>
      </c>
    </row>
    <row r="25" spans="1:5" x14ac:dyDescent="0.35">
      <c r="A25" t="s">
        <v>140</v>
      </c>
      <c r="B25" t="s">
        <v>17</v>
      </c>
      <c r="C25">
        <v>-80.163267187697016</v>
      </c>
      <c r="D25" t="s">
        <v>236</v>
      </c>
      <c r="E25" t="s">
        <v>233</v>
      </c>
    </row>
    <row r="26" spans="1:5" x14ac:dyDescent="0.35">
      <c r="A26" t="s">
        <v>144</v>
      </c>
      <c r="B26" t="s">
        <v>11</v>
      </c>
      <c r="C26" s="12">
        <v>-84.195059288344225</v>
      </c>
      <c r="D26" t="s">
        <v>237</v>
      </c>
      <c r="E26" t="s">
        <v>232</v>
      </c>
    </row>
    <row r="27" spans="1:5" x14ac:dyDescent="0.35">
      <c r="A27" t="s">
        <v>115</v>
      </c>
      <c r="B27" t="s">
        <v>11</v>
      </c>
      <c r="C27" s="12">
        <v>-69.701626189265482</v>
      </c>
      <c r="D27" t="s">
        <v>237</v>
      </c>
      <c r="E27" t="s">
        <v>232</v>
      </c>
    </row>
    <row r="28" spans="1:5" x14ac:dyDescent="0.35">
      <c r="A28" t="s">
        <v>117</v>
      </c>
      <c r="B28" t="s">
        <v>11</v>
      </c>
      <c r="C28" s="12">
        <v>-92.54536438569481</v>
      </c>
      <c r="D28" t="s">
        <v>237</v>
      </c>
      <c r="E28" t="s">
        <v>232</v>
      </c>
    </row>
    <row r="29" spans="1:5" x14ac:dyDescent="0.35">
      <c r="A29" t="s">
        <v>119</v>
      </c>
      <c r="B29" t="s">
        <v>11</v>
      </c>
      <c r="C29" s="12">
        <v>-77.658977240527776</v>
      </c>
      <c r="D29" t="s">
        <v>237</v>
      </c>
      <c r="E29" t="s">
        <v>232</v>
      </c>
    </row>
    <row r="30" spans="1:5" x14ac:dyDescent="0.35">
      <c r="A30" t="s">
        <v>121</v>
      </c>
      <c r="B30" t="s">
        <v>11</v>
      </c>
      <c r="C30" s="12">
        <v>-64.846529030374853</v>
      </c>
      <c r="D30" t="s">
        <v>237</v>
      </c>
      <c r="E30" t="s">
        <v>233</v>
      </c>
    </row>
    <row r="31" spans="1:5" x14ac:dyDescent="0.35">
      <c r="A31" t="s">
        <v>124</v>
      </c>
      <c r="B31" t="s">
        <v>11</v>
      </c>
      <c r="C31" s="12">
        <v>-49.426846474245934</v>
      </c>
      <c r="D31" t="s">
        <v>237</v>
      </c>
      <c r="E31" t="s">
        <v>232</v>
      </c>
    </row>
    <row r="32" spans="1:5" x14ac:dyDescent="0.35">
      <c r="A32" t="s">
        <v>126</v>
      </c>
      <c r="B32" t="s">
        <v>11</v>
      </c>
      <c r="C32" s="12">
        <v>-64.849904776243562</v>
      </c>
      <c r="D32" t="s">
        <v>237</v>
      </c>
      <c r="E32" t="s">
        <v>232</v>
      </c>
    </row>
    <row r="33" spans="1:5" x14ac:dyDescent="0.35">
      <c r="A33" t="s">
        <v>132</v>
      </c>
      <c r="B33" t="s">
        <v>11</v>
      </c>
      <c r="C33" s="12">
        <v>-54.772386725235052</v>
      </c>
      <c r="D33" t="s">
        <v>237</v>
      </c>
      <c r="E33" t="s">
        <v>233</v>
      </c>
    </row>
    <row r="34" spans="1:5" x14ac:dyDescent="0.35">
      <c r="A34" t="s">
        <v>134</v>
      </c>
      <c r="B34" t="s">
        <v>11</v>
      </c>
      <c r="C34" s="12">
        <v>-67.990476896760981</v>
      </c>
      <c r="D34" t="s">
        <v>237</v>
      </c>
      <c r="E34" t="s">
        <v>233</v>
      </c>
    </row>
    <row r="35" spans="1:5" x14ac:dyDescent="0.35">
      <c r="A35" t="s">
        <v>136</v>
      </c>
      <c r="B35" t="s">
        <v>11</v>
      </c>
      <c r="C35" s="12">
        <v>-54.535678294175426</v>
      </c>
      <c r="D35" t="s">
        <v>237</v>
      </c>
      <c r="E35" t="s">
        <v>233</v>
      </c>
    </row>
    <row r="36" spans="1:5" x14ac:dyDescent="0.35">
      <c r="A36" t="s">
        <v>138</v>
      </c>
      <c r="B36" t="s">
        <v>11</v>
      </c>
      <c r="C36" s="12">
        <v>-45.872026367139149</v>
      </c>
      <c r="D36" t="s">
        <v>237</v>
      </c>
      <c r="E36" t="s">
        <v>232</v>
      </c>
    </row>
    <row r="37" spans="1:5" x14ac:dyDescent="0.35">
      <c r="A37" t="s">
        <v>140</v>
      </c>
      <c r="B37" t="s">
        <v>11</v>
      </c>
      <c r="C37" s="12">
        <v>-59.969600282150388</v>
      </c>
      <c r="D37" t="s">
        <v>237</v>
      </c>
      <c r="E37" t="s">
        <v>233</v>
      </c>
    </row>
    <row r="38" spans="1:5" x14ac:dyDescent="0.35">
      <c r="A38" t="s">
        <v>115</v>
      </c>
      <c r="B38" t="s">
        <v>17</v>
      </c>
      <c r="C38" s="12">
        <v>-58.207068568875734</v>
      </c>
      <c r="D38" t="s">
        <v>237</v>
      </c>
      <c r="E38" t="s">
        <v>232</v>
      </c>
    </row>
    <row r="39" spans="1:5" x14ac:dyDescent="0.35">
      <c r="A39" t="s">
        <v>117</v>
      </c>
      <c r="B39" t="s">
        <v>17</v>
      </c>
      <c r="C39" s="12">
        <v>-88.014322836827873</v>
      </c>
      <c r="D39" t="s">
        <v>237</v>
      </c>
      <c r="E39" t="s">
        <v>232</v>
      </c>
    </row>
    <row r="40" spans="1:5" x14ac:dyDescent="0.35">
      <c r="A40" t="s">
        <v>119</v>
      </c>
      <c r="B40" t="s">
        <v>17</v>
      </c>
      <c r="C40" s="12">
        <v>-70.095893679250153</v>
      </c>
      <c r="D40" t="s">
        <v>237</v>
      </c>
      <c r="E40" t="s">
        <v>232</v>
      </c>
    </row>
    <row r="41" spans="1:5" x14ac:dyDescent="0.35">
      <c r="A41" t="s">
        <v>121</v>
      </c>
      <c r="B41" t="s">
        <v>17</v>
      </c>
      <c r="C41" s="12">
        <v>-70.915129352633741</v>
      </c>
      <c r="D41" t="s">
        <v>237</v>
      </c>
      <c r="E41" t="s">
        <v>233</v>
      </c>
    </row>
    <row r="42" spans="1:5" x14ac:dyDescent="0.35">
      <c r="A42" t="s">
        <v>124</v>
      </c>
      <c r="B42" t="s">
        <v>17</v>
      </c>
      <c r="C42" s="12">
        <v>-63.199494309816664</v>
      </c>
      <c r="D42" t="s">
        <v>237</v>
      </c>
      <c r="E42" t="s">
        <v>232</v>
      </c>
    </row>
    <row r="43" spans="1:5" x14ac:dyDescent="0.35">
      <c r="A43" t="s">
        <v>126</v>
      </c>
      <c r="B43" t="s">
        <v>17</v>
      </c>
      <c r="C43" s="12">
        <v>-56.347413255349494</v>
      </c>
      <c r="D43" t="s">
        <v>237</v>
      </c>
      <c r="E43" t="s">
        <v>232</v>
      </c>
    </row>
    <row r="44" spans="1:5" x14ac:dyDescent="0.35">
      <c r="A44" t="s">
        <v>130</v>
      </c>
      <c r="B44" t="s">
        <v>17</v>
      </c>
      <c r="C44" s="12">
        <v>-62.322415032946274</v>
      </c>
      <c r="D44" t="s">
        <v>237</v>
      </c>
      <c r="E44" t="s">
        <v>232</v>
      </c>
    </row>
    <row r="45" spans="1:5" x14ac:dyDescent="0.35">
      <c r="A45" t="s">
        <v>132</v>
      </c>
      <c r="B45" t="s">
        <v>17</v>
      </c>
      <c r="C45" s="12">
        <v>-64.790433167406988</v>
      </c>
      <c r="D45" t="s">
        <v>237</v>
      </c>
      <c r="E45" t="s">
        <v>233</v>
      </c>
    </row>
    <row r="46" spans="1:5" x14ac:dyDescent="0.35">
      <c r="A46" t="s">
        <v>134</v>
      </c>
      <c r="B46" t="s">
        <v>17</v>
      </c>
      <c r="C46" s="12">
        <v>-65.544740468073186</v>
      </c>
      <c r="D46" t="s">
        <v>237</v>
      </c>
      <c r="E46" t="s">
        <v>233</v>
      </c>
    </row>
    <row r="47" spans="1:5" x14ac:dyDescent="0.35">
      <c r="A47" t="s">
        <v>136</v>
      </c>
      <c r="B47" t="s">
        <v>17</v>
      </c>
      <c r="C47" s="12">
        <v>-47.413222854291561</v>
      </c>
      <c r="D47" t="s">
        <v>237</v>
      </c>
      <c r="E47" t="s">
        <v>233</v>
      </c>
    </row>
    <row r="48" spans="1:5" x14ac:dyDescent="0.35">
      <c r="A48" t="s">
        <v>138</v>
      </c>
      <c r="B48" t="s">
        <v>17</v>
      </c>
      <c r="C48" s="12">
        <v>-33.175624388899394</v>
      </c>
      <c r="D48" t="s">
        <v>237</v>
      </c>
      <c r="E48" t="s">
        <v>232</v>
      </c>
    </row>
    <row r="49" spans="1:5" x14ac:dyDescent="0.35">
      <c r="A49" t="s">
        <v>140</v>
      </c>
      <c r="B49" t="s">
        <v>17</v>
      </c>
      <c r="C49" s="12">
        <v>-65.113166126051453</v>
      </c>
      <c r="D49" t="s">
        <v>237</v>
      </c>
      <c r="E49" t="s">
        <v>233</v>
      </c>
    </row>
    <row r="50" spans="1:5" x14ac:dyDescent="0.35">
      <c r="A50" t="s">
        <v>144</v>
      </c>
      <c r="B50" t="s">
        <v>11</v>
      </c>
      <c r="C50" s="12">
        <v>-84.670147499283331</v>
      </c>
      <c r="D50" t="s">
        <v>238</v>
      </c>
      <c r="E50" t="s">
        <v>232</v>
      </c>
    </row>
    <row r="51" spans="1:5" x14ac:dyDescent="0.35">
      <c r="A51" t="s">
        <v>115</v>
      </c>
      <c r="B51" t="s">
        <v>11</v>
      </c>
      <c r="C51" s="12">
        <v>-82.901775720998899</v>
      </c>
      <c r="D51" t="s">
        <v>238</v>
      </c>
      <c r="E51" t="s">
        <v>232</v>
      </c>
    </row>
    <row r="52" spans="1:5" x14ac:dyDescent="0.35">
      <c r="A52" t="s">
        <v>117</v>
      </c>
      <c r="B52" t="s">
        <v>11</v>
      </c>
      <c r="C52" s="12">
        <v>-69.199693057687099</v>
      </c>
      <c r="D52" t="s">
        <v>238</v>
      </c>
      <c r="E52" t="s">
        <v>232</v>
      </c>
    </row>
    <row r="53" spans="1:5" x14ac:dyDescent="0.35">
      <c r="A53" t="s">
        <v>119</v>
      </c>
      <c r="B53" t="s">
        <v>11</v>
      </c>
      <c r="C53" s="12">
        <v>-81.124904539625589</v>
      </c>
      <c r="D53" t="s">
        <v>238</v>
      </c>
      <c r="E53" t="s">
        <v>232</v>
      </c>
    </row>
    <row r="54" spans="1:5" x14ac:dyDescent="0.35">
      <c r="A54" t="s">
        <v>121</v>
      </c>
      <c r="B54" t="s">
        <v>11</v>
      </c>
      <c r="C54" s="12">
        <v>-80.358890238787239</v>
      </c>
      <c r="D54" t="s">
        <v>238</v>
      </c>
      <c r="E54" t="s">
        <v>233</v>
      </c>
    </row>
    <row r="55" spans="1:5" x14ac:dyDescent="0.35">
      <c r="A55" t="s">
        <v>124</v>
      </c>
      <c r="B55" t="s">
        <v>11</v>
      </c>
      <c r="C55" s="12">
        <v>-61.01185050481908</v>
      </c>
      <c r="D55" t="s">
        <v>238</v>
      </c>
      <c r="E55" t="s">
        <v>232</v>
      </c>
    </row>
    <row r="56" spans="1:5" x14ac:dyDescent="0.35">
      <c r="A56" t="s">
        <v>126</v>
      </c>
      <c r="B56" t="s">
        <v>11</v>
      </c>
      <c r="C56" s="12">
        <v>-74.883041226310311</v>
      </c>
      <c r="D56" t="s">
        <v>238</v>
      </c>
      <c r="E56" t="s">
        <v>232</v>
      </c>
    </row>
    <row r="57" spans="1:5" x14ac:dyDescent="0.35">
      <c r="A57" t="s">
        <v>132</v>
      </c>
      <c r="B57" t="s">
        <v>11</v>
      </c>
      <c r="C57" s="12">
        <v>-77.240716412445579</v>
      </c>
      <c r="D57" t="s">
        <v>238</v>
      </c>
      <c r="E57" t="s">
        <v>233</v>
      </c>
    </row>
    <row r="58" spans="1:5" x14ac:dyDescent="0.35">
      <c r="A58" t="s">
        <v>134</v>
      </c>
      <c r="B58" t="s">
        <v>11</v>
      </c>
      <c r="C58" s="12">
        <v>-76.37648734070541</v>
      </c>
      <c r="D58" t="s">
        <v>238</v>
      </c>
      <c r="E58" t="s">
        <v>233</v>
      </c>
    </row>
    <row r="59" spans="1:5" x14ac:dyDescent="0.35">
      <c r="A59" t="s">
        <v>136</v>
      </c>
      <c r="B59" t="s">
        <v>11</v>
      </c>
      <c r="C59" s="12">
        <v>-78.908178771790688</v>
      </c>
      <c r="D59" t="s">
        <v>238</v>
      </c>
      <c r="E59" t="s">
        <v>233</v>
      </c>
    </row>
    <row r="60" spans="1:5" x14ac:dyDescent="0.35">
      <c r="A60" t="s">
        <v>138</v>
      </c>
      <c r="B60" t="s">
        <v>11</v>
      </c>
      <c r="C60" s="12">
        <v>-54.810251816265101</v>
      </c>
      <c r="D60" t="s">
        <v>238</v>
      </c>
      <c r="E60" t="s">
        <v>232</v>
      </c>
    </row>
    <row r="61" spans="1:5" x14ac:dyDescent="0.35">
      <c r="A61" t="s">
        <v>140</v>
      </c>
      <c r="B61" t="s">
        <v>11</v>
      </c>
      <c r="C61" s="12">
        <v>-85.729951897855258</v>
      </c>
      <c r="D61" t="s">
        <v>238</v>
      </c>
      <c r="E61" t="s">
        <v>233</v>
      </c>
    </row>
    <row r="62" spans="1:5" x14ac:dyDescent="0.35">
      <c r="A62" t="s">
        <v>115</v>
      </c>
      <c r="B62" t="s">
        <v>17</v>
      </c>
      <c r="C62">
        <v>-86.475819970059689</v>
      </c>
      <c r="D62" t="s">
        <v>238</v>
      </c>
      <c r="E62" t="s">
        <v>232</v>
      </c>
    </row>
    <row r="63" spans="1:5" x14ac:dyDescent="0.35">
      <c r="A63" t="s">
        <v>117</v>
      </c>
      <c r="B63" t="s">
        <v>17</v>
      </c>
      <c r="C63">
        <v>-76.478743885825338</v>
      </c>
      <c r="D63" t="s">
        <v>238</v>
      </c>
      <c r="E63" t="s">
        <v>232</v>
      </c>
    </row>
    <row r="64" spans="1:5" x14ac:dyDescent="0.35">
      <c r="A64" t="s">
        <v>119</v>
      </c>
      <c r="B64" t="s">
        <v>17</v>
      </c>
      <c r="C64">
        <v>-74.191075112303238</v>
      </c>
      <c r="D64" t="s">
        <v>238</v>
      </c>
      <c r="E64" t="s">
        <v>232</v>
      </c>
    </row>
    <row r="65" spans="1:5" x14ac:dyDescent="0.35">
      <c r="A65" t="s">
        <v>121</v>
      </c>
      <c r="B65" t="s">
        <v>17</v>
      </c>
      <c r="C65">
        <v>-83.465749376807452</v>
      </c>
      <c r="D65" t="s">
        <v>238</v>
      </c>
      <c r="E65" t="s">
        <v>233</v>
      </c>
    </row>
    <row r="66" spans="1:5" x14ac:dyDescent="0.35">
      <c r="A66" t="s">
        <v>124</v>
      </c>
      <c r="B66" t="s">
        <v>17</v>
      </c>
      <c r="C66">
        <v>-60.000884061953116</v>
      </c>
      <c r="D66" t="s">
        <v>238</v>
      </c>
      <c r="E66" t="s">
        <v>232</v>
      </c>
    </row>
    <row r="67" spans="1:5" x14ac:dyDescent="0.35">
      <c r="A67" t="s">
        <v>126</v>
      </c>
      <c r="B67" t="s">
        <v>17</v>
      </c>
      <c r="C67">
        <v>-88.588896676606055</v>
      </c>
      <c r="D67" t="s">
        <v>238</v>
      </c>
      <c r="E67" t="s">
        <v>232</v>
      </c>
    </row>
    <row r="68" spans="1:5" x14ac:dyDescent="0.35">
      <c r="A68" t="s">
        <v>130</v>
      </c>
      <c r="B68" t="s">
        <v>17</v>
      </c>
      <c r="C68">
        <v>-82.410720376806651</v>
      </c>
      <c r="D68" t="s">
        <v>238</v>
      </c>
      <c r="E68" t="s">
        <v>232</v>
      </c>
    </row>
    <row r="69" spans="1:5" x14ac:dyDescent="0.35">
      <c r="A69" t="s">
        <v>132</v>
      </c>
      <c r="B69" t="s">
        <v>17</v>
      </c>
      <c r="C69">
        <v>-86.010306168526981</v>
      </c>
      <c r="D69" t="s">
        <v>238</v>
      </c>
      <c r="E69" t="s">
        <v>233</v>
      </c>
    </row>
    <row r="70" spans="1:5" x14ac:dyDescent="0.35">
      <c r="A70" t="s">
        <v>134</v>
      </c>
      <c r="B70" t="s">
        <v>17</v>
      </c>
      <c r="C70">
        <v>-91.008867869925638</v>
      </c>
      <c r="D70" t="s">
        <v>238</v>
      </c>
      <c r="E70" t="s">
        <v>233</v>
      </c>
    </row>
    <row r="71" spans="1:5" x14ac:dyDescent="0.35">
      <c r="A71" t="s">
        <v>136</v>
      </c>
      <c r="B71" t="s">
        <v>17</v>
      </c>
      <c r="C71">
        <v>-81.169252033213354</v>
      </c>
      <c r="D71" t="s">
        <v>238</v>
      </c>
      <c r="E71" t="s">
        <v>233</v>
      </c>
    </row>
    <row r="72" spans="1:5" x14ac:dyDescent="0.35">
      <c r="A72" t="s">
        <v>138</v>
      </c>
      <c r="B72" t="s">
        <v>17</v>
      </c>
      <c r="C72">
        <v>-56.931498163600821</v>
      </c>
      <c r="D72" t="s">
        <v>238</v>
      </c>
      <c r="E72" t="s">
        <v>232</v>
      </c>
    </row>
    <row r="73" spans="1:5" x14ac:dyDescent="0.35">
      <c r="A73" t="s">
        <v>140</v>
      </c>
      <c r="B73" t="s">
        <v>17</v>
      </c>
      <c r="C73">
        <v>-80.584803958936192</v>
      </c>
      <c r="D73" t="s">
        <v>238</v>
      </c>
      <c r="E73" t="s">
        <v>233</v>
      </c>
    </row>
    <row r="74" spans="1:5" x14ac:dyDescent="0.35">
      <c r="A74" t="s">
        <v>144</v>
      </c>
      <c r="B74" t="s">
        <v>11</v>
      </c>
      <c r="C74" s="12">
        <v>-87.7465750809925</v>
      </c>
      <c r="D74" t="s">
        <v>239</v>
      </c>
      <c r="E74" t="s">
        <v>232</v>
      </c>
    </row>
    <row r="75" spans="1:5" x14ac:dyDescent="0.35">
      <c r="A75" t="s">
        <v>115</v>
      </c>
      <c r="B75" t="s">
        <v>11</v>
      </c>
      <c r="C75" s="12">
        <v>-80.492879538373685</v>
      </c>
      <c r="D75" t="s">
        <v>239</v>
      </c>
      <c r="E75" t="s">
        <v>232</v>
      </c>
    </row>
    <row r="76" spans="1:5" x14ac:dyDescent="0.35">
      <c r="A76" t="s">
        <v>117</v>
      </c>
      <c r="B76" t="s">
        <v>11</v>
      </c>
      <c r="C76" s="12">
        <v>-55.587651192570988</v>
      </c>
      <c r="D76" t="s">
        <v>239</v>
      </c>
      <c r="E76" t="s">
        <v>232</v>
      </c>
    </row>
    <row r="77" spans="1:5" x14ac:dyDescent="0.35">
      <c r="A77" t="s">
        <v>119</v>
      </c>
      <c r="B77" t="s">
        <v>11</v>
      </c>
      <c r="C77" s="12">
        <v>-84.433005626773493</v>
      </c>
      <c r="D77" t="s">
        <v>239</v>
      </c>
      <c r="E77" t="s">
        <v>232</v>
      </c>
    </row>
    <row r="78" spans="1:5" x14ac:dyDescent="0.35">
      <c r="A78" t="s">
        <v>121</v>
      </c>
      <c r="B78" t="s">
        <v>11</v>
      </c>
      <c r="C78" s="12">
        <v>-80.809312480413524</v>
      </c>
      <c r="D78" t="s">
        <v>239</v>
      </c>
      <c r="E78" t="s">
        <v>233</v>
      </c>
    </row>
    <row r="79" spans="1:5" x14ac:dyDescent="0.35">
      <c r="A79" t="s">
        <v>124</v>
      </c>
      <c r="B79" t="s">
        <v>11</v>
      </c>
      <c r="C79" s="12">
        <v>-91.07343228110993</v>
      </c>
      <c r="D79" t="s">
        <v>239</v>
      </c>
      <c r="E79" t="s">
        <v>232</v>
      </c>
    </row>
    <row r="80" spans="1:5" x14ac:dyDescent="0.35">
      <c r="A80" t="s">
        <v>126</v>
      </c>
      <c r="B80" t="s">
        <v>11</v>
      </c>
      <c r="C80" s="12">
        <v>-91.571412496291799</v>
      </c>
      <c r="D80" t="s">
        <v>239</v>
      </c>
      <c r="E80" t="s">
        <v>232</v>
      </c>
    </row>
    <row r="81" spans="1:5" x14ac:dyDescent="0.35">
      <c r="A81" t="s">
        <v>132</v>
      </c>
      <c r="B81" t="s">
        <v>11</v>
      </c>
      <c r="C81" s="12">
        <v>-67.455260649648721</v>
      </c>
      <c r="D81" t="s">
        <v>239</v>
      </c>
      <c r="E81" t="s">
        <v>233</v>
      </c>
    </row>
    <row r="82" spans="1:5" x14ac:dyDescent="0.35">
      <c r="A82" t="s">
        <v>134</v>
      </c>
      <c r="B82" t="s">
        <v>11</v>
      </c>
      <c r="C82" s="12">
        <v>-58.312409261442532</v>
      </c>
      <c r="D82" t="s">
        <v>239</v>
      </c>
      <c r="E82" t="s">
        <v>233</v>
      </c>
    </row>
    <row r="83" spans="1:5" x14ac:dyDescent="0.35">
      <c r="A83" t="s">
        <v>136</v>
      </c>
      <c r="B83" t="s">
        <v>11</v>
      </c>
      <c r="C83" s="12">
        <v>-88.635933017628417</v>
      </c>
      <c r="D83" t="s">
        <v>239</v>
      </c>
      <c r="E83" t="s">
        <v>233</v>
      </c>
    </row>
    <row r="84" spans="1:5" x14ac:dyDescent="0.35">
      <c r="A84" t="s">
        <v>138</v>
      </c>
      <c r="B84" t="s">
        <v>11</v>
      </c>
      <c r="C84" s="12">
        <v>-93.45401257467438</v>
      </c>
      <c r="D84" t="s">
        <v>239</v>
      </c>
      <c r="E84" t="s">
        <v>232</v>
      </c>
    </row>
    <row r="85" spans="1:5" x14ac:dyDescent="0.35">
      <c r="A85" t="s">
        <v>140</v>
      </c>
      <c r="B85" t="s">
        <v>11</v>
      </c>
      <c r="C85" s="12">
        <v>-79.412484806158446</v>
      </c>
      <c r="D85" t="s">
        <v>239</v>
      </c>
      <c r="E85" t="s">
        <v>233</v>
      </c>
    </row>
    <row r="86" spans="1:5" x14ac:dyDescent="0.35">
      <c r="A86" t="s">
        <v>115</v>
      </c>
      <c r="B86" t="s">
        <v>17</v>
      </c>
      <c r="C86" s="12">
        <v>-67.880679501344929</v>
      </c>
      <c r="D86" t="s">
        <v>239</v>
      </c>
      <c r="E86" t="s">
        <v>232</v>
      </c>
    </row>
    <row r="87" spans="1:5" x14ac:dyDescent="0.35">
      <c r="A87" t="s">
        <v>117</v>
      </c>
      <c r="B87" t="s">
        <v>17</v>
      </c>
      <c r="C87" s="12">
        <v>-53.186714138605296</v>
      </c>
      <c r="D87" t="s">
        <v>239</v>
      </c>
      <c r="E87" t="s">
        <v>232</v>
      </c>
    </row>
    <row r="88" spans="1:5" x14ac:dyDescent="0.35">
      <c r="A88" t="s">
        <v>119</v>
      </c>
      <c r="B88" t="s">
        <v>17</v>
      </c>
      <c r="C88" s="12">
        <v>-84.650011091991104</v>
      </c>
      <c r="D88" t="s">
        <v>239</v>
      </c>
      <c r="E88" t="s">
        <v>232</v>
      </c>
    </row>
    <row r="89" spans="1:5" x14ac:dyDescent="0.35">
      <c r="A89" t="s">
        <v>121</v>
      </c>
      <c r="B89" t="s">
        <v>17</v>
      </c>
      <c r="C89" s="12">
        <v>-89.985608309758248</v>
      </c>
      <c r="D89" t="s">
        <v>239</v>
      </c>
      <c r="E89" t="s">
        <v>233</v>
      </c>
    </row>
    <row r="90" spans="1:5" x14ac:dyDescent="0.35">
      <c r="A90" t="s">
        <v>124</v>
      </c>
      <c r="B90" t="s">
        <v>17</v>
      </c>
      <c r="C90" s="12">
        <v>-85.349683075838811</v>
      </c>
      <c r="D90" t="s">
        <v>239</v>
      </c>
      <c r="E90" t="s">
        <v>232</v>
      </c>
    </row>
    <row r="91" spans="1:5" x14ac:dyDescent="0.35">
      <c r="A91" t="s">
        <v>126</v>
      </c>
      <c r="B91" t="s">
        <v>17</v>
      </c>
      <c r="C91" s="12">
        <v>-88.78676258802858</v>
      </c>
      <c r="D91" t="s">
        <v>239</v>
      </c>
      <c r="E91" t="s">
        <v>232</v>
      </c>
    </row>
    <row r="92" spans="1:5" x14ac:dyDescent="0.35">
      <c r="A92" t="s">
        <v>130</v>
      </c>
      <c r="B92" t="s">
        <v>17</v>
      </c>
      <c r="C92" s="12">
        <v>-99.851464998371057</v>
      </c>
      <c r="D92" t="s">
        <v>239</v>
      </c>
      <c r="E92" t="s">
        <v>232</v>
      </c>
    </row>
    <row r="93" spans="1:5" x14ac:dyDescent="0.35">
      <c r="A93" t="s">
        <v>132</v>
      </c>
      <c r="B93" t="s">
        <v>17</v>
      </c>
      <c r="C93" s="12">
        <v>-65.392919230831012</v>
      </c>
      <c r="D93" t="s">
        <v>239</v>
      </c>
      <c r="E93" t="s">
        <v>233</v>
      </c>
    </row>
    <row r="94" spans="1:5" x14ac:dyDescent="0.35">
      <c r="A94" t="s">
        <v>134</v>
      </c>
      <c r="B94" t="s">
        <v>17</v>
      </c>
      <c r="C94" s="12">
        <v>-56.933357688800783</v>
      </c>
      <c r="D94" t="s">
        <v>239</v>
      </c>
      <c r="E94" t="s">
        <v>233</v>
      </c>
    </row>
    <row r="95" spans="1:5" x14ac:dyDescent="0.35">
      <c r="A95" t="s">
        <v>136</v>
      </c>
      <c r="B95" t="s">
        <v>17</v>
      </c>
      <c r="C95" s="12">
        <v>-63.466784123799997</v>
      </c>
      <c r="D95" t="s">
        <v>239</v>
      </c>
      <c r="E95" t="s">
        <v>233</v>
      </c>
    </row>
    <row r="96" spans="1:5" x14ac:dyDescent="0.35">
      <c r="A96" t="s">
        <v>138</v>
      </c>
      <c r="B96" t="s">
        <v>17</v>
      </c>
      <c r="C96" s="12">
        <v>-95.186911298598332</v>
      </c>
      <c r="D96" t="s">
        <v>239</v>
      </c>
      <c r="E96" t="s">
        <v>232</v>
      </c>
    </row>
    <row r="97" spans="1:5" x14ac:dyDescent="0.35">
      <c r="A97" t="s">
        <v>140</v>
      </c>
      <c r="B97" t="s">
        <v>17</v>
      </c>
      <c r="C97" s="12">
        <v>-80.163267187697031</v>
      </c>
      <c r="D97" t="s">
        <v>239</v>
      </c>
      <c r="E97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Sheet1</vt:lpstr>
      <vt:lpstr>Sheet4</vt:lpstr>
      <vt:lpstr>Sheet2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Jean Leonce Manzi</cp:lastModifiedBy>
  <dcterms:created xsi:type="dcterms:W3CDTF">2024-11-11T17:07:59Z</dcterms:created>
  <dcterms:modified xsi:type="dcterms:W3CDTF">2026-04-16T14:46:34Z</dcterms:modified>
</cp:coreProperties>
</file>