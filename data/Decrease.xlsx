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thenburg\Data\Hydraulic\Publication\"/>
    </mc:Choice>
  </mc:AlternateContent>
  <xr:revisionPtr revIDLastSave="0" documentId="13_ncr:1_{5B65E19E-3D54-4E98-A93E-8CC537AF845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3" sheetId="3" r:id="rId1"/>
    <sheet name="Sheet1" sheetId="1" r:id="rId2"/>
    <sheet name="Sheet2" sheetId="2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1" l="1"/>
  <c r="Q73" i="1"/>
  <c r="Q38" i="1"/>
  <c r="Q77" i="1"/>
  <c r="Q18" i="1"/>
  <c r="Q69" i="1"/>
  <c r="Q62" i="1"/>
  <c r="Q3" i="1"/>
  <c r="Q65" i="1"/>
  <c r="Q5" i="1"/>
  <c r="Q43" i="1"/>
  <c r="Q4" i="1"/>
  <c r="Q51" i="1"/>
  <c r="Q19" i="1"/>
  <c r="Q48" i="1"/>
  <c r="Q35" i="1"/>
  <c r="Q81" i="1"/>
  <c r="Q40" i="1"/>
  <c r="Q75" i="1"/>
  <c r="Q36" i="1"/>
  <c r="Q87" i="1"/>
  <c r="Q59" i="1"/>
  <c r="Q63" i="1"/>
  <c r="Q30" i="1"/>
  <c r="Q53" i="1"/>
  <c r="Q27" i="1"/>
  <c r="Q50" i="1"/>
  <c r="Q64" i="1"/>
  <c r="Q47" i="1"/>
  <c r="Q55" i="1"/>
  <c r="Q84" i="1"/>
  <c r="Q31" i="1"/>
  <c r="Q13" i="1"/>
  <c r="Q72" i="1"/>
  <c r="Q32" i="1"/>
  <c r="Q25" i="1"/>
  <c r="Q61" i="1"/>
  <c r="Q76" i="1"/>
  <c r="Q24" i="1"/>
  <c r="Q46" i="1"/>
  <c r="Q7" i="1"/>
  <c r="Q66" i="1"/>
  <c r="Q22" i="1"/>
  <c r="Q71" i="1"/>
  <c r="Q97" i="1"/>
  <c r="Q44" i="1"/>
  <c r="Q96" i="1"/>
  <c r="Q15" i="1"/>
  <c r="Q78" i="1"/>
  <c r="Q45" i="1"/>
  <c r="Q21" i="1"/>
  <c r="Q95" i="1"/>
  <c r="Q12" i="1"/>
  <c r="Q90" i="1"/>
  <c r="Q82" i="1"/>
  <c r="Q20" i="1"/>
  <c r="Q2" i="1"/>
  <c r="Q74" i="1"/>
  <c r="Q79" i="1"/>
  <c r="Q80" i="1"/>
  <c r="Q60" i="1"/>
  <c r="Q23" i="1"/>
  <c r="Q28" i="1"/>
  <c r="Q52" i="1"/>
  <c r="Q93" i="1"/>
  <c r="Q56" i="1"/>
  <c r="Q58" i="1"/>
  <c r="Q67" i="1"/>
  <c r="Q6" i="1"/>
  <c r="Q91" i="1"/>
  <c r="Q70" i="1"/>
  <c r="Q37" i="1"/>
  <c r="Q92" i="1"/>
  <c r="Q49" i="1"/>
  <c r="Q34" i="1"/>
  <c r="Q39" i="1"/>
  <c r="Q94" i="1"/>
  <c r="Q17" i="1"/>
  <c r="Q83" i="1"/>
  <c r="Q41" i="1"/>
  <c r="Q14" i="1"/>
  <c r="Q88" i="1"/>
  <c r="Q10" i="1"/>
  <c r="Q26" i="1"/>
  <c r="Q85" i="1"/>
  <c r="Q33" i="1"/>
  <c r="Q57" i="1"/>
  <c r="Q89" i="1"/>
  <c r="Q86" i="1"/>
  <c r="Q42" i="1"/>
  <c r="Q16" i="1"/>
  <c r="Q9" i="1"/>
  <c r="Q68" i="1"/>
  <c r="Q11" i="1"/>
  <c r="Q8" i="1"/>
  <c r="Q29" i="1"/>
  <c r="H54" i="1"/>
  <c r="H73" i="1"/>
  <c r="H38" i="1"/>
  <c r="H77" i="1"/>
  <c r="H18" i="1"/>
  <c r="H69" i="1"/>
  <c r="H62" i="1"/>
  <c r="H3" i="1"/>
  <c r="H65" i="1"/>
  <c r="H5" i="1"/>
  <c r="H43" i="1"/>
  <c r="H4" i="1"/>
  <c r="H51" i="1"/>
  <c r="H19" i="1"/>
  <c r="H48" i="1"/>
  <c r="H35" i="1"/>
  <c r="H81" i="1"/>
  <c r="H40" i="1"/>
  <c r="H75" i="1"/>
  <c r="H36" i="1"/>
  <c r="H87" i="1"/>
  <c r="H59" i="1"/>
  <c r="H63" i="1"/>
  <c r="H30" i="1"/>
  <c r="H53" i="1"/>
  <c r="H27" i="1"/>
  <c r="H50" i="1"/>
  <c r="H64" i="1"/>
  <c r="H47" i="1"/>
  <c r="H55" i="1"/>
  <c r="H84" i="1"/>
  <c r="H31" i="1"/>
  <c r="H13" i="1"/>
  <c r="H72" i="1"/>
  <c r="H32" i="1"/>
  <c r="H25" i="1"/>
  <c r="H61" i="1"/>
  <c r="H76" i="1"/>
  <c r="H24" i="1"/>
  <c r="H46" i="1"/>
  <c r="H7" i="1"/>
  <c r="H66" i="1"/>
  <c r="H22" i="1"/>
  <c r="H71" i="1"/>
  <c r="H97" i="1"/>
  <c r="H44" i="1"/>
  <c r="H96" i="1"/>
  <c r="H15" i="1"/>
  <c r="H78" i="1"/>
  <c r="H45" i="1"/>
  <c r="H21" i="1"/>
  <c r="H95" i="1"/>
  <c r="H12" i="1"/>
  <c r="H90" i="1"/>
  <c r="H82" i="1"/>
  <c r="H20" i="1"/>
  <c r="H2" i="1"/>
  <c r="H74" i="1"/>
  <c r="H79" i="1"/>
  <c r="H80" i="1"/>
  <c r="H60" i="1"/>
  <c r="H23" i="1"/>
  <c r="H28" i="1"/>
  <c r="H52" i="1"/>
  <c r="H93" i="1"/>
  <c r="H56" i="1"/>
  <c r="H58" i="1"/>
  <c r="H67" i="1"/>
  <c r="H6" i="1"/>
  <c r="H91" i="1"/>
  <c r="H70" i="1"/>
  <c r="H37" i="1"/>
  <c r="H92" i="1"/>
  <c r="H49" i="1"/>
  <c r="H34" i="1"/>
  <c r="H39" i="1"/>
  <c r="H94" i="1"/>
  <c r="H17" i="1"/>
  <c r="H83" i="1"/>
  <c r="H41" i="1"/>
  <c r="H14" i="1"/>
  <c r="H88" i="1"/>
  <c r="H10" i="1"/>
  <c r="H26" i="1"/>
  <c r="H85" i="1"/>
  <c r="H33" i="1"/>
  <c r="H57" i="1"/>
  <c r="H89" i="1"/>
  <c r="H86" i="1"/>
  <c r="H42" i="1"/>
  <c r="H16" i="1"/>
  <c r="H9" i="1"/>
  <c r="H68" i="1"/>
  <c r="H11" i="1"/>
  <c r="H8" i="1"/>
  <c r="H29" i="1"/>
  <c r="N54" i="1"/>
  <c r="N73" i="1"/>
  <c r="N38" i="1"/>
  <c r="N77" i="1"/>
  <c r="N18" i="1"/>
  <c r="N69" i="1"/>
  <c r="N62" i="1"/>
  <c r="N3" i="1"/>
  <c r="N65" i="1"/>
  <c r="N5" i="1"/>
  <c r="N43" i="1"/>
  <c r="N4" i="1"/>
  <c r="N51" i="1"/>
  <c r="N19" i="1"/>
  <c r="N48" i="1"/>
  <c r="N35" i="1"/>
  <c r="N81" i="1"/>
  <c r="N40" i="1"/>
  <c r="N75" i="1"/>
  <c r="N36" i="1"/>
  <c r="N87" i="1"/>
  <c r="N59" i="1"/>
  <c r="N63" i="1"/>
  <c r="N30" i="1"/>
  <c r="N53" i="1"/>
  <c r="N27" i="1"/>
  <c r="N50" i="1"/>
  <c r="N64" i="1"/>
  <c r="N47" i="1"/>
  <c r="N55" i="1"/>
  <c r="N84" i="1"/>
  <c r="N31" i="1"/>
  <c r="N13" i="1"/>
  <c r="N72" i="1"/>
  <c r="N32" i="1"/>
  <c r="N25" i="1"/>
  <c r="N61" i="1"/>
  <c r="N76" i="1"/>
  <c r="N24" i="1"/>
  <c r="N46" i="1"/>
  <c r="N7" i="1"/>
  <c r="N66" i="1"/>
  <c r="N22" i="1"/>
  <c r="N71" i="1"/>
  <c r="N97" i="1"/>
  <c r="N44" i="1"/>
  <c r="N96" i="1"/>
  <c r="N15" i="1"/>
  <c r="N78" i="1"/>
  <c r="N45" i="1"/>
  <c r="N21" i="1"/>
  <c r="N95" i="1"/>
  <c r="N12" i="1"/>
  <c r="N90" i="1"/>
  <c r="N82" i="1"/>
  <c r="N20" i="1"/>
  <c r="N2" i="1"/>
  <c r="N74" i="1"/>
  <c r="N79" i="1"/>
  <c r="N80" i="1"/>
  <c r="N60" i="1"/>
  <c r="N23" i="1"/>
  <c r="N28" i="1"/>
  <c r="N52" i="1"/>
  <c r="N93" i="1"/>
  <c r="N56" i="1"/>
  <c r="N58" i="1"/>
  <c r="N67" i="1"/>
  <c r="N6" i="1"/>
  <c r="N91" i="1"/>
  <c r="N70" i="1"/>
  <c r="N37" i="1"/>
  <c r="N92" i="1"/>
  <c r="N49" i="1"/>
  <c r="N34" i="1"/>
  <c r="N39" i="1"/>
  <c r="N94" i="1"/>
  <c r="N17" i="1"/>
  <c r="N83" i="1"/>
  <c r="N41" i="1"/>
  <c r="N14" i="1"/>
  <c r="N88" i="1"/>
  <c r="N10" i="1"/>
  <c r="N26" i="1"/>
  <c r="N85" i="1"/>
  <c r="N33" i="1"/>
  <c r="N57" i="1"/>
  <c r="N89" i="1"/>
  <c r="N86" i="1"/>
  <c r="N42" i="1"/>
  <c r="N16" i="1"/>
  <c r="N9" i="1"/>
  <c r="N68" i="1"/>
  <c r="N11" i="1"/>
  <c r="N8" i="1"/>
  <c r="N29" i="1"/>
  <c r="K54" i="1"/>
  <c r="K73" i="1"/>
  <c r="K38" i="1"/>
  <c r="K77" i="1"/>
  <c r="K18" i="1"/>
  <c r="K69" i="1"/>
  <c r="K62" i="1"/>
  <c r="K3" i="1"/>
  <c r="K65" i="1"/>
  <c r="K5" i="1"/>
  <c r="K43" i="1"/>
  <c r="K4" i="1"/>
  <c r="K51" i="1"/>
  <c r="K19" i="1"/>
  <c r="K48" i="1"/>
  <c r="K35" i="1"/>
  <c r="K81" i="1"/>
  <c r="K40" i="1"/>
  <c r="K75" i="1"/>
  <c r="K36" i="1"/>
  <c r="K87" i="1"/>
  <c r="K59" i="1"/>
  <c r="K63" i="1"/>
  <c r="K30" i="1"/>
  <c r="K53" i="1"/>
  <c r="K27" i="1"/>
  <c r="K50" i="1"/>
  <c r="K64" i="1"/>
  <c r="K47" i="1"/>
  <c r="K55" i="1"/>
  <c r="K84" i="1"/>
  <c r="K31" i="1"/>
  <c r="K13" i="1"/>
  <c r="K72" i="1"/>
  <c r="K32" i="1"/>
  <c r="K25" i="1"/>
  <c r="K61" i="1"/>
  <c r="K76" i="1"/>
  <c r="K24" i="1"/>
  <c r="K46" i="1"/>
  <c r="K7" i="1"/>
  <c r="K66" i="1"/>
  <c r="K22" i="1"/>
  <c r="K71" i="1"/>
  <c r="K97" i="1"/>
  <c r="K44" i="1"/>
  <c r="K96" i="1"/>
  <c r="K15" i="1"/>
  <c r="K78" i="1"/>
  <c r="K45" i="1"/>
  <c r="K21" i="1"/>
  <c r="K95" i="1"/>
  <c r="K12" i="1"/>
  <c r="K90" i="1"/>
  <c r="K82" i="1"/>
  <c r="K20" i="1"/>
  <c r="K2" i="1"/>
  <c r="K74" i="1"/>
  <c r="K79" i="1"/>
  <c r="K80" i="1"/>
  <c r="K60" i="1"/>
  <c r="K23" i="1"/>
  <c r="K28" i="1"/>
  <c r="K52" i="1"/>
  <c r="K93" i="1"/>
  <c r="K56" i="1"/>
  <c r="K58" i="1"/>
  <c r="K67" i="1"/>
  <c r="K6" i="1"/>
  <c r="K91" i="1"/>
  <c r="K70" i="1"/>
  <c r="K37" i="1"/>
  <c r="K92" i="1"/>
  <c r="K49" i="1"/>
  <c r="K34" i="1"/>
  <c r="K39" i="1"/>
  <c r="K94" i="1"/>
  <c r="K17" i="1"/>
  <c r="K83" i="1"/>
  <c r="K41" i="1"/>
  <c r="K14" i="1"/>
  <c r="K88" i="1"/>
  <c r="K10" i="1"/>
  <c r="K26" i="1"/>
  <c r="K85" i="1"/>
  <c r="K33" i="1"/>
  <c r="K57" i="1"/>
  <c r="K89" i="1"/>
  <c r="K86" i="1"/>
  <c r="K42" i="1"/>
  <c r="K16" i="1"/>
  <c r="K9" i="1"/>
  <c r="K68" i="1"/>
  <c r="K11" i="1"/>
  <c r="K8" i="1"/>
  <c r="K29" i="1"/>
</calcChain>
</file>

<file path=xl/sharedStrings.xml><?xml version="1.0" encoding="utf-8"?>
<sst xmlns="http://schemas.openxmlformats.org/spreadsheetml/2006/main" count="620" uniqueCount="212">
  <si>
    <t>Individu22</t>
  </si>
  <si>
    <t>Treatment</t>
  </si>
  <si>
    <t>max_PredawnWP</t>
  </si>
  <si>
    <t>min_PredawnWP</t>
  </si>
  <si>
    <t>max_F</t>
  </si>
  <si>
    <t>min_F</t>
  </si>
  <si>
    <t>max_u</t>
  </si>
  <si>
    <t>min_u</t>
  </si>
  <si>
    <t>max_MiddayWP</t>
  </si>
  <si>
    <t>min_MiddayWP</t>
  </si>
  <si>
    <t>K5PfaF3</t>
  </si>
  <si>
    <t>Control</t>
  </si>
  <si>
    <t>L3FsaA7</t>
  </si>
  <si>
    <t>HWLN</t>
  </si>
  <si>
    <t>L4FsaI1</t>
  </si>
  <si>
    <t>K6FsaA10</t>
  </si>
  <si>
    <t>L4PafA6</t>
  </si>
  <si>
    <t>K5AguF10</t>
  </si>
  <si>
    <t>L4CmeC8</t>
  </si>
  <si>
    <t>L3PfaG7</t>
  </si>
  <si>
    <t>K1CmeG8</t>
  </si>
  <si>
    <t>L3SguH3</t>
  </si>
  <si>
    <t>K1FsaB9</t>
  </si>
  <si>
    <t>K6MluI8</t>
  </si>
  <si>
    <t>K1DtoD10</t>
  </si>
  <si>
    <t>L3BbrI7</t>
  </si>
  <si>
    <t>K5AguH7</t>
  </si>
  <si>
    <t>K6SguA8</t>
  </si>
  <si>
    <t>K6CmeD4</t>
  </si>
  <si>
    <t>L4PfuF9</t>
  </si>
  <si>
    <t>K6FthH10</t>
  </si>
  <si>
    <t>L4MluE5</t>
  </si>
  <si>
    <t>K6CmeI2</t>
  </si>
  <si>
    <t>M1FsaF3</t>
  </si>
  <si>
    <t>L3MluB10</t>
  </si>
  <si>
    <t>L3PfuA6</t>
  </si>
  <si>
    <t>K5PfaJ1</t>
  </si>
  <si>
    <t>L3DtoA4</t>
  </si>
  <si>
    <t>K5MluF9</t>
  </si>
  <si>
    <t>L3BbrA10</t>
  </si>
  <si>
    <t>L3PfuH5</t>
  </si>
  <si>
    <t>K6PfuD10</t>
  </si>
  <si>
    <t>L3FthC7</t>
  </si>
  <si>
    <t>M1CmeF9</t>
  </si>
  <si>
    <t>K5PfuB9</t>
  </si>
  <si>
    <t>K1PafF9</t>
  </si>
  <si>
    <t>L4FsaD10</t>
  </si>
  <si>
    <t>K5PfuC6</t>
  </si>
  <si>
    <t>K5FthC5</t>
  </si>
  <si>
    <t>L3PafI10</t>
  </si>
  <si>
    <t>L4MluE8</t>
  </si>
  <si>
    <t>K5FthA4</t>
  </si>
  <si>
    <t>K6PfaA6</t>
  </si>
  <si>
    <t>K1FthH1</t>
  </si>
  <si>
    <t>L4AguH9</t>
  </si>
  <si>
    <t>K5CmeI6</t>
  </si>
  <si>
    <t>L4DtoG6</t>
  </si>
  <si>
    <t>M1SguG6</t>
  </si>
  <si>
    <t>K6PafH5</t>
  </si>
  <si>
    <t>M1PfuD4</t>
  </si>
  <si>
    <t>K1PfuG7</t>
  </si>
  <si>
    <t>L4PafB8</t>
  </si>
  <si>
    <t>K6PafI4</t>
  </si>
  <si>
    <t>K5CmeB10</t>
  </si>
  <si>
    <t>M1PfaH5</t>
  </si>
  <si>
    <t>K1MluD7</t>
  </si>
  <si>
    <t>M1HmaJ1</t>
  </si>
  <si>
    <t>L4SguG1</t>
  </si>
  <si>
    <t>K5BbrA3</t>
  </si>
  <si>
    <t>K1BbrF10</t>
  </si>
  <si>
    <t>L4FthC7</t>
  </si>
  <si>
    <t>L4PfaJ8</t>
  </si>
  <si>
    <t>L4Pfaj8</t>
  </si>
  <si>
    <t>L3MluG10</t>
  </si>
  <si>
    <t>K5DtoJ7</t>
  </si>
  <si>
    <t>K5PafA5</t>
  </si>
  <si>
    <t>L3CmeF6</t>
  </si>
  <si>
    <t>M1PafJ5</t>
  </si>
  <si>
    <t>L3HmaE8</t>
  </si>
  <si>
    <t>L3MlaI3</t>
  </si>
  <si>
    <t>L4AguI4</t>
  </si>
  <si>
    <t>K1FsaH9</t>
  </si>
  <si>
    <t>M1MlaC6</t>
  </si>
  <si>
    <t>L4DtoA1</t>
  </si>
  <si>
    <t>K6DtoC6</t>
  </si>
  <si>
    <t>M1MluB3</t>
  </si>
  <si>
    <t>K6SguC9</t>
  </si>
  <si>
    <t>K6BbrG4</t>
  </si>
  <si>
    <t>K6FthE10</t>
  </si>
  <si>
    <t>M1PfaD5</t>
  </si>
  <si>
    <t>K1SguH8</t>
  </si>
  <si>
    <t>M1BbrJ3</t>
  </si>
  <si>
    <t>K6HmaC8</t>
  </si>
  <si>
    <t>K1PfaI6</t>
  </si>
  <si>
    <t>M1FsaH4</t>
  </si>
  <si>
    <t>K1HmaD9</t>
  </si>
  <si>
    <t>K5HmaA6</t>
  </si>
  <si>
    <t>M1DtoA2</t>
  </si>
  <si>
    <t>K5SguH9</t>
  </si>
  <si>
    <t>L3HmaJ9</t>
  </si>
  <si>
    <t>M1FthD8</t>
  </si>
  <si>
    <t>M1DtoH3</t>
  </si>
  <si>
    <t>K6MlaC2</t>
  </si>
  <si>
    <t>K1SguG10</t>
  </si>
  <si>
    <t>K1HmaA6</t>
  </si>
  <si>
    <t>L4BbrG4</t>
  </si>
  <si>
    <t>K1MlaH7</t>
  </si>
  <si>
    <t>K1HmaA2</t>
  </si>
  <si>
    <t>PercentWP</t>
  </si>
  <si>
    <t>Percent_F</t>
  </si>
  <si>
    <t>Percent_U</t>
  </si>
  <si>
    <t>Percent_MP</t>
  </si>
  <si>
    <t>Species</t>
  </si>
  <si>
    <t>K1</t>
  </si>
  <si>
    <t>Bbr</t>
  </si>
  <si>
    <t>F10</t>
  </si>
  <si>
    <t>Cme</t>
  </si>
  <si>
    <t>G8</t>
  </si>
  <si>
    <t>Dto</t>
  </si>
  <si>
    <t>D10</t>
  </si>
  <si>
    <t>Fsa</t>
  </si>
  <si>
    <t>B9</t>
  </si>
  <si>
    <t>H9</t>
  </si>
  <si>
    <t>Fth</t>
  </si>
  <si>
    <t>H1</t>
  </si>
  <si>
    <t>Hma</t>
  </si>
  <si>
    <t>A2</t>
  </si>
  <si>
    <t>A6</t>
  </si>
  <si>
    <t>D9</t>
  </si>
  <si>
    <t>Mla</t>
  </si>
  <si>
    <t>H7</t>
  </si>
  <si>
    <t>Mlu</t>
  </si>
  <si>
    <t>D7</t>
  </si>
  <si>
    <t>Paf</t>
  </si>
  <si>
    <t>F9</t>
  </si>
  <si>
    <t>Pfa</t>
  </si>
  <si>
    <t>I6</t>
  </si>
  <si>
    <t>Pfu</t>
  </si>
  <si>
    <t>G7</t>
  </si>
  <si>
    <t>Sgu</t>
  </si>
  <si>
    <t>G10</t>
  </si>
  <si>
    <t>H8</t>
  </si>
  <si>
    <t>K5</t>
  </si>
  <si>
    <t>Agu</t>
  </si>
  <si>
    <t>A3</t>
  </si>
  <si>
    <t>B10</t>
  </si>
  <si>
    <t>J7</t>
  </si>
  <si>
    <t>A4</t>
  </si>
  <si>
    <t>C5</t>
  </si>
  <si>
    <t>A5</t>
  </si>
  <si>
    <t>F3</t>
  </si>
  <si>
    <t>J1</t>
  </si>
  <si>
    <t>C6</t>
  </si>
  <si>
    <t>K6</t>
  </si>
  <si>
    <t>G4</t>
  </si>
  <si>
    <t>D4</t>
  </si>
  <si>
    <t>I2</t>
  </si>
  <si>
    <t>A10</t>
  </si>
  <si>
    <t>E10</t>
  </si>
  <si>
    <t>H10</t>
  </si>
  <si>
    <t>C8</t>
  </si>
  <si>
    <t>C2</t>
  </si>
  <si>
    <t>I8</t>
  </si>
  <si>
    <t>H5</t>
  </si>
  <si>
    <t>I4</t>
  </si>
  <si>
    <t>A8</t>
  </si>
  <si>
    <t>C9</t>
  </si>
  <si>
    <t>L3</t>
  </si>
  <si>
    <t>I7</t>
  </si>
  <si>
    <t>F6</t>
  </si>
  <si>
    <t>A7</t>
  </si>
  <si>
    <t>C7</t>
  </si>
  <si>
    <t>E8</t>
  </si>
  <si>
    <t>J9</t>
  </si>
  <si>
    <t>I3</t>
  </si>
  <si>
    <t>I10</t>
  </si>
  <si>
    <t>H3</t>
  </si>
  <si>
    <t>L4</t>
  </si>
  <si>
    <t>A1</t>
  </si>
  <si>
    <t>G6</t>
  </si>
  <si>
    <t>I1</t>
  </si>
  <si>
    <t>E5</t>
  </si>
  <si>
    <t>B8</t>
  </si>
  <si>
    <t>J8</t>
  </si>
  <si>
    <t>j8</t>
  </si>
  <si>
    <t>G1</t>
  </si>
  <si>
    <t>M1</t>
  </si>
  <si>
    <t>J3</t>
  </si>
  <si>
    <t>H4</t>
  </si>
  <si>
    <t>D8</t>
  </si>
  <si>
    <t>B3</t>
  </si>
  <si>
    <t>J5</t>
  </si>
  <si>
    <t>D5</t>
  </si>
  <si>
    <t>Plot</t>
  </si>
  <si>
    <t>Position</t>
  </si>
  <si>
    <t>Row Labels</t>
  </si>
  <si>
    <t>(blank)</t>
  </si>
  <si>
    <t>Grand Total</t>
  </si>
  <si>
    <t>Average of PercentWP</t>
  </si>
  <si>
    <t>Average of Percent_F</t>
  </si>
  <si>
    <t>Average of Percent_U</t>
  </si>
  <si>
    <t>Average of Percent_MP</t>
  </si>
  <si>
    <t>Defoliation11</t>
  </si>
  <si>
    <t>gmin</t>
  </si>
  <si>
    <t>SA</t>
  </si>
  <si>
    <t>DBH</t>
  </si>
  <si>
    <t>Height</t>
  </si>
  <si>
    <t>Irrigated</t>
  </si>
  <si>
    <t>Defoliation22</t>
  </si>
  <si>
    <t>PFT</t>
  </si>
  <si>
    <t>Semi-deciduous</t>
  </si>
  <si>
    <t>Evergreen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</si>
</sst>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3" borderId="1" xfId="0" applyFont="1" applyFill="1" applyBorder="1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er Jean Leonce Manzi" refreshedDate="45597.669452430557" createdVersion="8" refreshedVersion="8" minRefreshableVersion="3" recordCount="110" xr:uid="{D36E1F24-713A-4748-BF49-CC9DFD8AD5E5}">
  <cacheSource type="worksheet">
    <worksheetSource ref="A1:Q1048576" sheet="Sheet1"/>
  </cacheSource>
  <cacheFields count="17">
    <cacheField name="Plot" numFmtId="0">
      <sharedItems containsBlank="1"/>
    </cacheField>
    <cacheField name="Species" numFmtId="0">
      <sharedItems containsBlank="1" count="14">
        <s v="Bbr"/>
        <s v="Cme"/>
        <s v="Dto"/>
        <s v="Fsa"/>
        <s v="Fth"/>
        <s v="Hma"/>
        <s v="Mla"/>
        <s v="Mlu"/>
        <s v="Paf"/>
        <s v="Pfa"/>
        <s v="Pfu"/>
        <s v="Sgu"/>
        <s v="Agu"/>
        <m/>
      </sharedItems>
    </cacheField>
    <cacheField name="Position" numFmtId="0">
      <sharedItems containsBlank="1"/>
    </cacheField>
    <cacheField name="Individu22" numFmtId="0">
      <sharedItems containsBlank="1"/>
    </cacheField>
    <cacheField name="Treatment" numFmtId="0">
      <sharedItems containsBlank="1" count="3">
        <s v="Control"/>
        <s v="HWLN"/>
        <m/>
      </sharedItems>
    </cacheField>
    <cacheField name="max_PredawnWP" numFmtId="0">
      <sharedItems containsString="0" containsBlank="1" containsNumber="1" minValue="-2.2759999999999998" maxValue="-8.1000000000000003E-2"/>
    </cacheField>
    <cacheField name="min_PredawnWP" numFmtId="0">
      <sharedItems containsString="0" containsBlank="1" containsNumber="1" minValue="-3.871" maxValue="-0.29499999999999998"/>
    </cacheField>
    <cacheField name="PercentWP" numFmtId="0">
      <sharedItems containsString="0" containsBlank="1" containsNumber="1" minValue="-95.034246575342465" maxValue="0"/>
    </cacheField>
    <cacheField name="max_F" numFmtId="0">
      <sharedItems containsString="0" containsBlank="1" containsNumber="1" minValue="0.21656837185173899" maxValue="90.708808703819741"/>
    </cacheField>
    <cacheField name="min_F" numFmtId="0">
      <sharedItems containsString="0" containsBlank="1" containsNumber="1" minValue="0" maxValue="59.695142083164718"/>
    </cacheField>
    <cacheField name="Percent_F" numFmtId="0">
      <sharedItems containsString="0" containsBlank="1" containsNumber="1" minValue="-100" maxValue="0"/>
    </cacheField>
    <cacheField name="max_u" numFmtId="0">
      <sharedItems containsString="0" containsBlank="1" containsNumber="1" minValue="1.360362199945492" maxValue="119.4565160954096"/>
    </cacheField>
    <cacheField name="min_u" numFmtId="0">
      <sharedItems containsString="0" containsBlank="1" containsNumber="1" minValue="0" maxValue="56.856229996789303"/>
    </cacheField>
    <cacheField name="Percent_U" numFmtId="0">
      <sharedItems containsString="0" containsBlank="1" containsNumber="1" minValue="-100" maxValue="0"/>
    </cacheField>
    <cacheField name="max_MiddayWP" numFmtId="0">
      <sharedItems containsString="0" containsBlank="1" containsNumber="1" minValue="-3.3849999999999998" maxValue="-0.109"/>
    </cacheField>
    <cacheField name="min_MiddayWP" numFmtId="0">
      <sharedItems containsString="0" containsBlank="1" containsNumber="1" minValue="-5.3340000000000014" maxValue="-0.8869999999999999"/>
    </cacheField>
    <cacheField name="Percent_MP" numFmtId="0">
      <sharedItems containsString="0" containsBlank="1" containsNumber="1" minValue="-97.22787385554426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K1"/>
    <x v="0"/>
    <s v="F10"/>
    <s v="K1BbrF10"/>
    <x v="0"/>
    <n v="-0.22800000000000001"/>
    <n v="-2.1259999999999999"/>
    <n v="-89.275634995296329"/>
    <n v="24.28513336358969"/>
    <n v="0.32259518181796631"/>
    <n v="-98.671635123480002"/>
    <n v="32.443398484359129"/>
    <n v="0.43096671021564992"/>
    <n v="-98.671635123480002"/>
    <n v="-1.1479999999999999"/>
    <n v="-2.4540000000000002"/>
    <n v="-53.219233903830485"/>
  </r>
  <r>
    <s v="K1"/>
    <x v="1"/>
    <s v="G8"/>
    <s v="K1CmeG8"/>
    <x v="0"/>
    <n v="-8.1000000000000003E-2"/>
    <n v="-0.41799999999999998"/>
    <n v="-80.62200956937798"/>
    <n v="33.80793248201006"/>
    <n v="26.093237811790019"/>
    <n v="-22.819185036899842"/>
    <n v="44.660746713126102"/>
    <n v="34.469528281796691"/>
    <n v="-22.819185036899846"/>
    <n v="-0.13400000000000001"/>
    <n v="-1.96"/>
    <n v="-93.163265306122454"/>
  </r>
  <r>
    <s v="K1"/>
    <x v="2"/>
    <s v="D10"/>
    <s v="K1DtoD10"/>
    <x v="0"/>
    <n v="-0.54800000000000004"/>
    <n v="-2.4510000000000001"/>
    <n v="-77.641778865769069"/>
    <n v="14.72792857965924"/>
    <n v="2.4000945299734751"/>
    <n v="-83.703787555785354"/>
    <n v="29.315144465882248"/>
    <n v="4.7772582204886067"/>
    <n v="-83.703787555785354"/>
    <n v="-0.69400000000000006"/>
    <n v="-2.6829999999999998"/>
    <n v="-74.133432724562056"/>
  </r>
  <r>
    <s v="K1"/>
    <x v="3"/>
    <s v="B9"/>
    <s v="K1FsaB9"/>
    <x v="0"/>
    <n v="-0.38800000000000001"/>
    <n v="-2.9209999999999998"/>
    <n v="-86.716877781581644"/>
    <n v="2.7191033337813342"/>
    <n v="1.133222380978621"/>
    <n v="-58.323673583868555"/>
    <n v="12.934074178276861"/>
    <n v="5.390446973443237"/>
    <n v="-58.323673583868541"/>
    <n v="-0.36799999999999999"/>
    <n v="-4.1229999999999993"/>
    <n v="-91.074460344409417"/>
  </r>
  <r>
    <s v="K1"/>
    <x v="3"/>
    <s v="H9"/>
    <s v="K1FsaH9"/>
    <x v="0"/>
    <n v="-0.56900000000000006"/>
    <n v="-1.802"/>
    <n v="-68.423973362930084"/>
    <n v="0.21656837185173899"/>
    <n v="1.9271487752110371E-2"/>
    <n v="-91.101430191614739"/>
    <n v="2.9463376932403511"/>
    <n v="0.26218191642376049"/>
    <n v="-91.101430191614739"/>
    <n v="-1.319"/>
    <n v="-3.1560000000000001"/>
    <n v="-58.20659062103929"/>
  </r>
  <r>
    <s v="K1"/>
    <x v="4"/>
    <s v="H1"/>
    <s v="K1FthH1"/>
    <x v="0"/>
    <n v="-0.38200000000000001"/>
    <n v="-0.79800000000000004"/>
    <n v="-52.130325814536334"/>
    <n v="8.8232378090282992"/>
    <n v="0.3202493349770939"/>
    <n v="-96.370387584369524"/>
    <n v="10.35196726664099"/>
    <n v="0.3757362891720048"/>
    <n v="-96.37038758436951"/>
    <n v="-0.54600000000000004"/>
    <n v="-0.8869999999999999"/>
    <n v="-38.44419391206312"/>
  </r>
  <r>
    <s v="K1"/>
    <x v="5"/>
    <s v="A2"/>
    <s v="K1HmaA2"/>
    <x v="0"/>
    <n v="-0.49099999999999999"/>
    <n v="-1.024"/>
    <n v="-52.05078125"/>
    <n v="6.4089517256280839"/>
    <n v="1.4458089132485681"/>
    <n v="-77.440789459108032"/>
    <n v="14.4756298555781"/>
    <n v="3.2655878162400769"/>
    <n v="-77.440789459108046"/>
    <n v="-0.78300000000000003"/>
    <n v="-1.665"/>
    <n v="-52.972972972972975"/>
  </r>
  <r>
    <s v="K1"/>
    <x v="5"/>
    <s v="A6"/>
    <s v="K1HmaA6"/>
    <x v="0"/>
    <n v="-0.36499999999999999"/>
    <n v="-2.7229999999999999"/>
    <n v="-86.595666544252651"/>
    <n v="14.7232810714646"/>
    <n v="0.50443569022523838"/>
    <n v="-96.573890780344527"/>
    <n v="26.644711644573761"/>
    <n v="0.91287692220535777"/>
    <n v="-96.573890780344527"/>
    <n v="-0.80399999999999994"/>
    <n v="-2.984"/>
    <n v="-73.056300268096521"/>
  </r>
  <r>
    <s v="K1"/>
    <x v="5"/>
    <s v="D9"/>
    <s v="K1HmaD9"/>
    <x v="0"/>
    <n v="-0.312"/>
    <n v="-2.5190000000000001"/>
    <n v="-87.614132592298546"/>
    <n v="11.798363841274689"/>
    <n v="0.2404952968648475"/>
    <n v="-97.961621627369112"/>
    <n v="26.366848568268061"/>
    <n v="0.53745613875991594"/>
    <n v="-97.961621627369112"/>
    <n v="-0.753"/>
    <n v="-2.8340000000000001"/>
    <n v="-73.429781227946364"/>
  </r>
  <r>
    <s v="K1"/>
    <x v="6"/>
    <s v="H7"/>
    <s v="K1MlaH7"/>
    <x v="1"/>
    <n v="-0.39200000000000002"/>
    <n v="-2.1230000000000002"/>
    <n v="-81.535562882713151"/>
    <n v="0.9504775333962624"/>
    <n v="3.9669333620632949E-3"/>
    <n v="-99.582637861213968"/>
    <n v="8.211258989802614"/>
    <n v="3.4270686141099932E-2"/>
    <n v="-99.582637861213968"/>
    <n v="-1.208"/>
    <n v="-2.448"/>
    <n v="-50.653594771241828"/>
  </r>
  <r>
    <s v="K1"/>
    <x v="6"/>
    <s v="H7"/>
    <s v="K1MlaH7"/>
    <x v="0"/>
    <n v="-0.29499999999999998"/>
    <n v="-0.29499999999999998"/>
    <n v="0"/>
    <n v="0.31659760396374342"/>
    <n v="0.31659760396374342"/>
    <n v="0"/>
    <n v="2.7351145401702319"/>
    <n v="2.7351145401702319"/>
    <n v="0"/>
    <n v="-1.1459999999999999"/>
    <n v="-1.1459999999999999"/>
    <n v="0"/>
  </r>
  <r>
    <s v="K1"/>
    <x v="7"/>
    <s v="D7"/>
    <s v="K1MluD7"/>
    <x v="0"/>
    <n v="-0.46899999999999997"/>
    <n v="-1.8260000000000001"/>
    <n v="-74.315443592552029"/>
    <n v="26.274590484381971"/>
    <n v="7.8167602166667054"/>
    <n v="-70.249735304863805"/>
    <n v="19.355963453958449"/>
    <n v="5.7584503618464664"/>
    <n v="-70.24973530486379"/>
    <n v="-0.88400000000000001"/>
    <n v="-2.7240000000000002"/>
    <n v="-67.547723935389143"/>
  </r>
  <r>
    <s v="K1"/>
    <x v="8"/>
    <s v="F9"/>
    <s v="K1PafF9"/>
    <x v="0"/>
    <n v="-0.52699999999999991"/>
    <n v="-2.714"/>
    <n v="-80.582166543846739"/>
    <n v="29.673565322247949"/>
    <n v="11.535680540847389"/>
    <n v="-61.124723586220227"/>
    <n v="42.82590062906975"/>
    <n v="16.648687246241519"/>
    <n v="-61.12472358622022"/>
    <n v="-1.593"/>
    <n v="-3.6890000000000001"/>
    <n v="-56.817565735971812"/>
  </r>
  <r>
    <s v="K1"/>
    <x v="9"/>
    <s v="I6"/>
    <s v="K1PfaI6"/>
    <x v="0"/>
    <n v="-0.497"/>
    <n v="-1.6759999999999999"/>
    <n v="-70.346062052505971"/>
    <n v="4.1886686031923768"/>
    <n v="2.2840230539759289E-2"/>
    <n v="-99.454713831446313"/>
    <n v="15.88910606476442"/>
    <n v="8.6641097677986695E-2"/>
    <n v="-99.454713831446313"/>
    <n v="-1.456"/>
    <n v="-2.754"/>
    <n v="-47.131445170660854"/>
  </r>
  <r>
    <s v="K1"/>
    <x v="10"/>
    <s v="G7"/>
    <s v="K1PfuG7"/>
    <x v="0"/>
    <n v="-0.42199999999999999"/>
    <n v="-1.1870000000000001"/>
    <n v="-64.448188711036238"/>
    <n v="7.6273882041696481"/>
    <n v="0.1139917018661675"/>
    <n v="-98.505494950370405"/>
    <n v="12.170742678949569"/>
    <n v="0.18189236391432559"/>
    <n v="-98.505494950370405"/>
    <n v="-0.84600000000000009"/>
    <n v="-1.5669999999999999"/>
    <n v="-46.011486917677082"/>
  </r>
  <r>
    <s v="K1"/>
    <x v="11"/>
    <s v="G10"/>
    <s v="K1SguG10"/>
    <x v="0"/>
    <n v="-0.40799999999999997"/>
    <n v="-2.6230000000000002"/>
    <n v="-84.445291650781556"/>
    <n v="1.2843977411552581"/>
    <n v="1.1463969467660999E-2"/>
    <n v="-99.107443971573034"/>
    <n v="14.03792257628843"/>
    <n v="0.1252963242205721"/>
    <n v="-99.107443971573034"/>
    <n v="-1.2050000000000001"/>
    <n v="-2.7679999999999998"/>
    <n v="-56.466763005780344"/>
  </r>
  <r>
    <s v="K1"/>
    <x v="11"/>
    <s v="H8"/>
    <s v="K1SguH8"/>
    <x v="0"/>
    <n v="-0.13500000000000001"/>
    <n v="-2.319"/>
    <n v="-94.17852522639069"/>
    <n v="1.053847640548178"/>
    <n v="0.45480969436497037"/>
    <n v="-56.842936600551397"/>
    <n v="16.58607516979513"/>
    <n v="7.1580629765086874"/>
    <n v="-56.842936600551383"/>
    <n v="-0.63100000000000001"/>
    <n v="-2.6459999999999999"/>
    <n v="-76.152683295540427"/>
  </r>
  <r>
    <s v="K5"/>
    <x v="12"/>
    <s v="F10"/>
    <s v="K5AguF10"/>
    <x v="0"/>
    <n v="-0.11600000000000001"/>
    <n v="-2.3359999999999999"/>
    <n v="-95.034246575342465"/>
    <n v="11.26709078611114"/>
    <n v="1.1741631166803379"/>
    <n v="-89.578826167552322"/>
    <n v="22.795455503716919"/>
    <n v="2.3755540439406042"/>
    <n v="-89.578826167552322"/>
    <n v="-0.35799999999999998"/>
    <n v="-3.2749999999999999"/>
    <n v="-89.068702290076331"/>
  </r>
  <r>
    <s v="K5"/>
    <x v="12"/>
    <s v="H7"/>
    <s v="K5AguH7"/>
    <x v="0"/>
    <n v="-0.29499999999999998"/>
    <n v="-2.5230000000000001"/>
    <n v="-88.307570352754666"/>
    <n v="17.35395063089252"/>
    <n v="0.4050119426978826"/>
    <n v="-97.666168636109276"/>
    <n v="33.694472609120517"/>
    <n v="0.78637216964922541"/>
    <n v="-97.666168636109276"/>
    <n v="-0.748"/>
    <n v="-3.6120000000000001"/>
    <n v="-79.291251384274631"/>
  </r>
  <r>
    <s v="K5"/>
    <x v="0"/>
    <s v="A3"/>
    <s v="K5BbrA3"/>
    <x v="0"/>
    <n v="-0.47099999999999997"/>
    <n v="-2.7040000000000002"/>
    <n v="-82.581360946745562"/>
    <n v="16.6080435372523"/>
    <n v="4.1987549656388614"/>
    <n v="-74.718545527527439"/>
    <n v="34.552551700324912"/>
    <n v="8.7353876271951822"/>
    <n v="-74.718545527527453"/>
    <n v="-0.56699999999999995"/>
    <n v="-3.323"/>
    <n v="-82.937105025579299"/>
  </r>
  <r>
    <s v="K5"/>
    <x v="1"/>
    <s v="B10"/>
    <s v="K5CmeB10"/>
    <x v="0"/>
    <n v="-0.14899999999999999"/>
    <n v="-0.32300000000000001"/>
    <n v="-53.869969040247682"/>
    <n v="22.390501361909902"/>
    <n v="9.7621226748523178"/>
    <n v="-56.40060703839633"/>
    <n v="34.255350477730524"/>
    <n v="14.93512486516031"/>
    <n v="-56.40060703839633"/>
    <n v="-0.34799999999999998"/>
    <n v="-3.605"/>
    <n v="-90.346740638002771"/>
  </r>
  <r>
    <s v="K5"/>
    <x v="1"/>
    <s v="I6"/>
    <s v="K5CmeI6"/>
    <x v="0"/>
    <n v="-0.153"/>
    <n v="-0.90100000000000002"/>
    <n v="-83.018867924528294"/>
    <n v="23.26456054951446"/>
    <n v="1.241840071127849"/>
    <n v="-94.662095299480015"/>
    <n v="36.874369982071947"/>
    <n v="1.968318728560146"/>
    <n v="-94.662095299480015"/>
    <n v="-0.20300000000000001"/>
    <n v="-1.923"/>
    <n v="-89.443577743109728"/>
  </r>
  <r>
    <s v="K5"/>
    <x v="2"/>
    <s v="J7"/>
    <s v="K5DtoJ7"/>
    <x v="0"/>
    <n v="-0.371"/>
    <n v="-3.2450000000000001"/>
    <n v="-88.567026194144844"/>
    <n v="9.829588260812681"/>
    <n v="0.89800674369606104"/>
    <n v="-90.864248635152734"/>
    <n v="20.634348181997741"/>
    <n v="1.885102745664196"/>
    <n v="-90.864248635152734"/>
    <n v="-0.96400000000000008"/>
    <n v="-5.3340000000000014"/>
    <n v="-81.927259092613426"/>
  </r>
  <r>
    <s v="K5"/>
    <x v="4"/>
    <s v="A4"/>
    <s v="K5FthA4"/>
    <x v="0"/>
    <n v="-0.44600000000000001"/>
    <n v="-1.167"/>
    <n v="-61.782347900599831"/>
    <n v="11.232437647012951"/>
    <n v="0"/>
    <n v="-100"/>
    <n v="20.62122006098307"/>
    <n v="0"/>
    <n v="-100"/>
    <n v="-0.43200000000000011"/>
    <n v="-1.1060000000000001"/>
    <n v="-60.940325497287503"/>
  </r>
  <r>
    <s v="K5"/>
    <x v="4"/>
    <s v="A4"/>
    <s v="K5FthA4"/>
    <x v="0"/>
    <n v="-0.44600000000000001"/>
    <n v="-1.167"/>
    <n v="-61.782347900599831"/>
    <n v="11.232437647012951"/>
    <n v="0"/>
    <n v="-100"/>
    <n v="20.62122006098307"/>
    <n v="0"/>
    <n v="-100"/>
    <n v="-0.43200000000000011"/>
    <n v="-1.1060000000000001"/>
    <n v="-60.940325497287503"/>
  </r>
  <r>
    <s v="K5"/>
    <x v="4"/>
    <s v="A4"/>
    <s v="K5FthA4"/>
    <x v="0"/>
    <n v="-0.44600000000000001"/>
    <n v="-1.167"/>
    <n v="-61.782347900599831"/>
    <n v="11.232437647012951"/>
    <n v="0"/>
    <n v="-100"/>
    <n v="20.62122006098307"/>
    <n v="0"/>
    <n v="-100"/>
    <n v="-0.43200000000000011"/>
    <n v="-1.1060000000000001"/>
    <n v="-60.940325497287503"/>
  </r>
  <r>
    <s v="K5"/>
    <x v="4"/>
    <s v="A4"/>
    <s v="K5FthA4"/>
    <x v="0"/>
    <n v="-0.44600000000000001"/>
    <n v="-1.167"/>
    <n v="-61.782347900599831"/>
    <n v="11.232437647012951"/>
    <n v="0"/>
    <n v="-100"/>
    <n v="20.62122006098307"/>
    <n v="0"/>
    <n v="-100"/>
    <n v="-0.43200000000000011"/>
    <n v="-1.1060000000000001"/>
    <n v="-60.940325497287503"/>
  </r>
  <r>
    <s v="K5"/>
    <x v="4"/>
    <s v="C5"/>
    <s v="K5FthC5"/>
    <x v="0"/>
    <n v="-0.501"/>
    <n v="-1.024"/>
    <n v="-51.07421875"/>
    <n v="5.4661610760657018"/>
    <n v="1.1679024393303981"/>
    <n v="-78.633954925986146"/>
    <n v="10.8665103006454"/>
    <n v="2.321743488808254"/>
    <n v="-78.633954925986146"/>
    <n v="-0.51600000000000001"/>
    <n v="-0.99600000000000011"/>
    <n v="-48.192771084337352"/>
  </r>
  <r>
    <s v="K5"/>
    <x v="5"/>
    <s v="A6"/>
    <s v="K5HmaA6"/>
    <x v="0"/>
    <n v="-0.80800000000000005"/>
    <n v="-3.0230000000000001"/>
    <n v="-73.271584518690034"/>
    <n v="1.799933656683707"/>
    <n v="0.1024279585026035"/>
    <n v="-94.309348118345525"/>
    <n v="9.9726279733713348"/>
    <n v="0.56750754141705617"/>
    <n v="-94.309348118345525"/>
    <n v="-1.3480000000000001"/>
    <n v="-3.3650000000000002"/>
    <n v="-59.940564635958403"/>
  </r>
  <r>
    <s v="K5"/>
    <x v="7"/>
    <s v="F9"/>
    <s v="K5MluF9"/>
    <x v="0"/>
    <n v="-0.34399999999999997"/>
    <n v="-1.9650000000000001"/>
    <n v="-82.493638676844782"/>
    <n v="83.896483059776742"/>
    <n v="24.023304644585082"/>
    <n v="-71.365540284366475"/>
    <n v="77.740690913819378"/>
    <n v="22.260626822372782"/>
    <n v="-71.365540284366475"/>
    <n v="-1.1639999999999999"/>
    <n v="-2.5030000000000001"/>
    <n v="-53.495805033959257"/>
  </r>
  <r>
    <s v="K5"/>
    <x v="8"/>
    <s v="A5"/>
    <s v="K5PafA5"/>
    <x v="0"/>
    <n v="-0.81400000000000006"/>
    <n v="-3.423"/>
    <n v="-76.219690330119775"/>
    <n v="6.3621706941222813"/>
    <n v="3.6764040578366601"/>
    <n v="-42.21462713609489"/>
    <n v="30.088528196241761"/>
    <n v="17.386768207459522"/>
    <n v="-42.214627136094904"/>
    <n v="-1.6479999999999999"/>
    <n v="-4.4870000000000001"/>
    <n v="-63.271673724091826"/>
  </r>
  <r>
    <s v="K5"/>
    <x v="9"/>
    <s v="F3"/>
    <s v="K5PfaF3"/>
    <x v="0"/>
    <n v="-0.48699999999999999"/>
    <n v="-2.375"/>
    <n v="-79.494736842105269"/>
    <n v="20.381618809228829"/>
    <n v="4.7656027476156781"/>
    <n v="-76.618134250171508"/>
    <n v="30.775895371352039"/>
    <n v="7.1959785390372151"/>
    <n v="-76.618134250171494"/>
    <n v="-0.95600000000000007"/>
    <n v="-2.6760000000000002"/>
    <n v="-64.27503736920778"/>
  </r>
  <r>
    <s v="K5"/>
    <x v="9"/>
    <s v="J1"/>
    <s v="K5PfaJ1"/>
    <x v="0"/>
    <n v="-0.34699999999999998"/>
    <n v="-1.615"/>
    <n v="-78.513931888544903"/>
    <n v="4.5981193714517072"/>
    <n v="5.2402695763890311E-2"/>
    <n v="-98.860345033901424"/>
    <n v="23.243587031586429"/>
    <n v="0.26489669390492082"/>
    <n v="-98.860345033901424"/>
    <n v="-1.518"/>
    <n v="-2.6560000000000001"/>
    <n v="-42.846385542168676"/>
  </r>
  <r>
    <s v="K5"/>
    <x v="10"/>
    <s v="B9"/>
    <s v="K5PfuB9"/>
    <x v="0"/>
    <n v="-0.47499999999999998"/>
    <n v="-1.0820000000000001"/>
    <n v="-56.099815157116453"/>
    <n v="43.307843523969183"/>
    <n v="2.0397716777924728"/>
    <n v="-95.290064081201507"/>
    <n v="23.383766775796261"/>
    <n v="1.101360430541297"/>
    <n v="-95.290064081201493"/>
    <n v="-0.41299999999999998"/>
    <n v="-1.254"/>
    <n v="-67.065390749601278"/>
  </r>
  <r>
    <s v="K5"/>
    <x v="10"/>
    <s v="C6"/>
    <s v="K5PfuC6"/>
    <x v="0"/>
    <n v="-0.51200000000000001"/>
    <n v="-0.95600000000000007"/>
    <n v="-46.443514644351467"/>
    <n v="34.421539318840161"/>
    <n v="5.077488647865307"/>
    <n v="-85.249094757693726"/>
    <n v="23.10880118243707"/>
    <n v="3.4087573650542429"/>
    <n v="-85.24909475769374"/>
    <n v="-0.90600000000000003"/>
    <n v="-1.2869999999999999"/>
    <n v="-29.603729603729594"/>
  </r>
  <r>
    <s v="K5"/>
    <x v="11"/>
    <s v="H9"/>
    <s v="K5SguH9"/>
    <x v="0"/>
    <n v="-0.26700000000000002"/>
    <n v="-1.9950000000000001"/>
    <n v="-86.616541353383468"/>
    <n v="0.60465345081465527"/>
    <n v="7.6024599028238736E-3"/>
    <n v="-98.742674850762697"/>
    <n v="5.4628213284182099"/>
    <n v="6.8685426420101545E-2"/>
    <n v="-98.742674850762697"/>
    <n v="-1.2390000000000001"/>
    <n v="-3.387"/>
    <n v="-63.418954827280771"/>
  </r>
  <r>
    <s v="K6"/>
    <x v="0"/>
    <s v="G4"/>
    <s v="K6BbrG4"/>
    <x v="1"/>
    <n v="-0.23400000000000001"/>
    <n v="-2.4319999999999999"/>
    <n v="-90.37828947368422"/>
    <n v="8.9994228126213969"/>
    <n v="0.92787199011044552"/>
    <n v="-89.689649998340613"/>
    <n v="23.802690999676621"/>
    <n v="2.454140751880137"/>
    <n v="-89.689649998340613"/>
    <n v="-0.87899999999999989"/>
    <n v="-2.4649999999999999"/>
    <n v="-64.340770791075059"/>
  </r>
  <r>
    <s v="K6"/>
    <x v="1"/>
    <s v="D4"/>
    <s v="K6CmeD4"/>
    <x v="1"/>
    <n v="-0.185"/>
    <n v="-0.55599999999999994"/>
    <n v="-66.72661870503596"/>
    <n v="90.708808703819741"/>
    <n v="59.695142083164718"/>
    <n v="-34.190358206467153"/>
    <n v="86.394984757957758"/>
    <n v="56.856229996789303"/>
    <n v="-34.190358206467153"/>
    <n v="-0.159"/>
    <n v="-2.7559999999999998"/>
    <n v="-94.230769230769241"/>
  </r>
  <r>
    <s v="K6"/>
    <x v="1"/>
    <s v="I2"/>
    <s v="K6CmeI2"/>
    <x v="1"/>
    <n v="-0.158"/>
    <n v="-0.497"/>
    <n v="-68.209255533199183"/>
    <n v="49.420276559664813"/>
    <n v="12.004905298405371"/>
    <n v="-75.708542861123178"/>
    <n v="40.550800325435837"/>
    <n v="9.8503802805247691"/>
    <n v="-75.708542861123192"/>
    <n v="-0.224"/>
    <n v="-1.0009999999999999"/>
    <n v="-77.622377622377627"/>
  </r>
  <r>
    <s v="K6"/>
    <x v="2"/>
    <s v="C6"/>
    <s v="K6DtoC6"/>
    <x v="1"/>
    <n v="-0.54600000000000004"/>
    <n v="-2.5979999999999999"/>
    <n v="-78.983833718244796"/>
    <n v="43.012608035155402"/>
    <n v="4.8898592404429699"/>
    <n v="-88.631567663959487"/>
    <n v="84.975754455931948"/>
    <n v="9.6604111473625629"/>
    <n v="-88.631567663959473"/>
    <n v="-0.51400000000000001"/>
    <n v="-3.0739999999999998"/>
    <n v="-83.279115159401414"/>
  </r>
  <r>
    <s v="K6"/>
    <x v="3"/>
    <s v="A10"/>
    <s v="K6FsaA10"/>
    <x v="1"/>
    <n v="-0.33400000000000002"/>
    <n v="-2.6120000000000001"/>
    <n v="-87.212863705972438"/>
    <n v="17.149328523101332"/>
    <n v="0.87159844018757726"/>
    <n v="-94.917594359374064"/>
    <n v="103.2432815377008"/>
    <n v="5.2472423644394377"/>
    <n v="-94.91759435937405"/>
    <n v="-1.163"/>
    <n v="-3.1819999999999999"/>
    <n v="-63.450659962287872"/>
  </r>
  <r>
    <s v="K6"/>
    <x v="4"/>
    <s v="E10"/>
    <s v="K6FthE10"/>
    <x v="1"/>
    <n v="-0.36199999999999999"/>
    <n v="-1.121"/>
    <n v="-67.707404103479035"/>
    <n v="11.38589308833224"/>
    <n v="0.77721766080514043"/>
    <n v="-93.173854217886529"/>
    <n v="5.3960330721106349"/>
    <n v="0.36834108395332821"/>
    <n v="-93.173854217886529"/>
    <n v="-0.53899999999999992"/>
    <n v="-1.423"/>
    <n v="-62.122276879831354"/>
  </r>
  <r>
    <s v="K6"/>
    <x v="4"/>
    <s v="H10"/>
    <s v="K6FthH10"/>
    <x v="1"/>
    <n v="-0.495"/>
    <n v="-0.84499999999999997"/>
    <n v="-41.42011834319527"/>
    <n v="16.089960694355891"/>
    <n v="1.877315375870968"/>
    <n v="-88.332380597240984"/>
    <n v="11.475985834958729"/>
    <n v="5.1642983160038476"/>
    <n v="-54.999087744844545"/>
    <n v="-0.53800000000000003"/>
    <n v="-1.4039999999999999"/>
    <n v="-61.680911680911677"/>
  </r>
  <r>
    <s v="K6"/>
    <x v="4"/>
    <s v="H10"/>
    <s v="K6FthH10"/>
    <x v="1"/>
    <n v="-0.495"/>
    <n v="-0.84499999999999997"/>
    <n v="-41.42011834319527"/>
    <n v="16.089960694355891"/>
    <n v="1.877315375870968"/>
    <n v="-88.332380597240984"/>
    <n v="11.475985834958729"/>
    <n v="5.1642983160038476"/>
    <n v="-54.999087744844545"/>
    <n v="-0.53800000000000003"/>
    <n v="-1.4039999999999999"/>
    <n v="-61.680911680911677"/>
  </r>
  <r>
    <s v="K6"/>
    <x v="5"/>
    <s v="C8"/>
    <s v="K6HmaC8"/>
    <x v="1"/>
    <n v="-0.24399999999999999"/>
    <n v="-2.0870000000000002"/>
    <n v="-88.308576904647822"/>
    <n v="9.5252747734264283"/>
    <n v="3.9193286968036261"/>
    <n v="-58.853379140959241"/>
    <n v="28.719782228700641"/>
    <n v="11.81721990518562"/>
    <n v="-58.853379140959241"/>
    <n v="-0.84499999999999997"/>
    <n v="-2.3279999999999998"/>
    <n v="-63.702749140893467"/>
  </r>
  <r>
    <s v="K6"/>
    <x v="6"/>
    <s v="C2"/>
    <s v="K6MlaC2"/>
    <x v="1"/>
    <n v="-0.45600000000000002"/>
    <n v="-2.1139999999999999"/>
    <n v="-78.429517502365186"/>
    <n v="9.3435028506708377"/>
    <n v="2.6388729992363261E-3"/>
    <n v="-99.971757133899231"/>
    <n v="93.916104359680403"/>
    <n v="2.6524599601361269E-2"/>
    <n v="-99.971757133899231"/>
    <n v="-0.64500000000000002"/>
    <n v="-2.6230000000000002"/>
    <n v="-75.409836065573771"/>
  </r>
  <r>
    <s v="K6"/>
    <x v="7"/>
    <s v="I8"/>
    <s v="K6MluI8"/>
    <x v="1"/>
    <n v="-0.28499999999999998"/>
    <n v="-1.7210000000000001"/>
    <n v="-83.439860546194083"/>
    <n v="42.22447176579437"/>
    <n v="9.4438305412989667"/>
    <n v="-77.634224547127857"/>
    <n v="37.63530219179399"/>
    <n v="8.4174271792265127"/>
    <n v="-77.634224547127843"/>
    <n v="-1.268"/>
    <n v="-2.6509999999999998"/>
    <n v="-52.168992832893245"/>
  </r>
  <r>
    <s v="K6"/>
    <x v="8"/>
    <s v="H5"/>
    <s v="K6PafH5"/>
    <x v="1"/>
    <n v="-0.20899999999999999"/>
    <n v="-2.109"/>
    <n v="-90.090090090090087"/>
    <n v="47.927961281935602"/>
    <n v="10.79476889328212"/>
    <n v="-77.477095614849901"/>
    <n v="107.10885969508119"/>
    <n v="24.124026057147731"/>
    <n v="-77.477095614849873"/>
    <n v="-1.75"/>
    <n v="-3.415"/>
    <n v="-48.755490483162518"/>
  </r>
  <r>
    <s v="K6"/>
    <x v="8"/>
    <s v="I4"/>
    <s v="K6PafI4"/>
    <x v="1"/>
    <n v="-0.309"/>
    <n v="-3.871"/>
    <n v="-92.01756652027899"/>
    <n v="19.820569258861259"/>
    <n v="6.1616351377507126"/>
    <n v="-68.912925470109769"/>
    <n v="39.011654554745448"/>
    <n v="12.127582126777041"/>
    <n v="-68.912925470109741"/>
    <n v="-1.3839999999999999"/>
    <n v="-4.0819999999999999"/>
    <n v="-66.095051445369918"/>
  </r>
  <r>
    <s v="K6"/>
    <x v="9"/>
    <s v="A6"/>
    <s v="K6PfaA6"/>
    <x v="1"/>
    <n v="-0.33400000000000002"/>
    <n v="-1.7090000000000001"/>
    <n v="-80.456407255705088"/>
    <n v="17.867014103981731"/>
    <n v="11.474115068762471"/>
    <n v="-35.780455525551851"/>
    <n v="35.122915814969851"/>
    <n v="22.555776542517531"/>
    <n v="-35.780455525551893"/>
    <n v="-1.907"/>
    <n v="-2.7559999999999998"/>
    <n v="-30.805515239477501"/>
  </r>
  <r>
    <s v="K6"/>
    <x v="10"/>
    <s v="D10"/>
    <s v="K6PfuD10"/>
    <x v="1"/>
    <n v="-0.56900000000000006"/>
    <n v="-0.8869999999999999"/>
    <n v="-35.851183765501673"/>
    <n v="12.952006286813701"/>
    <n v="0.32965054287484319"/>
    <n v="-97.454830274360987"/>
    <n v="14.894405755783101"/>
    <n v="0.37908790611002552"/>
    <n v="-97.454830274360987"/>
    <n v="-0.92699999999999994"/>
    <n v="-1.583"/>
    <n v="-41.440303221730893"/>
  </r>
  <r>
    <s v="K6"/>
    <x v="11"/>
    <s v="A8"/>
    <s v="K6SguA8"/>
    <x v="1"/>
    <n v="-0.247"/>
    <n v="-1.323"/>
    <n v="-81.330309901738488"/>
    <n v="23.494945000991269"/>
    <n v="3.4429234327120311"/>
    <n v="-85.346109843769497"/>
    <n v="119.4565160954096"/>
    <n v="17.505026653081131"/>
    <n v="-85.346109843769497"/>
    <n v="-0.68099999999999994"/>
    <n v="-2.4039999999999999"/>
    <n v="-71.672212978369373"/>
  </r>
  <r>
    <s v="K6"/>
    <x v="11"/>
    <s v="C9"/>
    <s v="K6SguC9"/>
    <x v="1"/>
    <n v="-0.29399999999999998"/>
    <n v="-1.1599999999999999"/>
    <n v="-74.655172413793096"/>
    <n v="5.952201822770296"/>
    <n v="2.8230571703344882"/>
    <n v="-52.571212227132271"/>
    <n v="22.865949995905069"/>
    <n v="10.84504289580787"/>
    <n v="-52.571212227132278"/>
    <n v="-0.69599999999999995"/>
    <n v="-1.282"/>
    <n v="-45.70982839313573"/>
  </r>
  <r>
    <s v="L3"/>
    <x v="0"/>
    <s v="A10"/>
    <s v="L3BbrA10"/>
    <x v="1"/>
    <n v="-0.20100000000000001"/>
    <n v="-1.361"/>
    <n v="-85.23144746509918"/>
    <n v="30.61915774462571"/>
    <n v="17.556187767074491"/>
    <n v="-42.662734509227441"/>
    <n v="42.103878822027653"/>
    <n v="24.14121278209916"/>
    <n v="-42.662734509227434"/>
    <n v="-0.72399999999999998"/>
    <n v="-2.0070000000000001"/>
    <n v="-63.926258096661691"/>
  </r>
  <r>
    <s v="L3"/>
    <x v="0"/>
    <s v="I7"/>
    <s v="L3BbrI7"/>
    <x v="1"/>
    <n v="-0.32100000000000001"/>
    <n v="-1.345"/>
    <n v="-76.133828996282531"/>
    <n v="28.506512269309098"/>
    <n v="13.196382665962981"/>
    <n v="-53.70748079844698"/>
    <n v="49.675494502303778"/>
    <n v="22.996037830945379"/>
    <n v="-53.707480798447008"/>
    <n v="-0.77900000000000003"/>
    <n v="-2.0640000000000001"/>
    <n v="-62.257751937984509"/>
  </r>
  <r>
    <s v="L3"/>
    <x v="1"/>
    <s v="F6"/>
    <s v="L3CmeF6"/>
    <x v="1"/>
    <n v="-0.14599999999999999"/>
    <n v="-0.91300000000000003"/>
    <n v="-84.008762322015329"/>
    <n v="28.23893305211519"/>
    <n v="18.562348248609471"/>
    <n v="-34.266821574481938"/>
    <n v="43.202898103165161"/>
    <n v="28.398638095148311"/>
    <n v="-34.266821574481945"/>
    <n v="-0.11799999999999999"/>
    <n v="-2.8759999999999999"/>
    <n v="-95.897079276773297"/>
  </r>
  <r>
    <s v="L3"/>
    <x v="2"/>
    <s v="A4"/>
    <s v="L3DtoA4"/>
    <x v="1"/>
    <n v="-0.24099999999999999"/>
    <n v="-1.073"/>
    <n v="-77.539608574091332"/>
    <n v="4.7986335547509986"/>
    <n v="0.81018460396570646"/>
    <n v="-83.116347711869679"/>
    <n v="21.51758423220873"/>
    <n v="3.6329541025716798"/>
    <n v="-83.116347711869665"/>
    <n v="-0.44500000000000001"/>
    <n v="-2.5409999999999999"/>
    <n v="-82.487209759937045"/>
  </r>
  <r>
    <s v="L3"/>
    <x v="3"/>
    <s v="A7"/>
    <s v="L3FsaA7"/>
    <x v="1"/>
    <n v="-0.19800000000000001"/>
    <n v="-1.657"/>
    <n v="-88.050694025347013"/>
    <n v="1.6896946771413071"/>
    <n v="9.8048780177657405E-2"/>
    <n v="-94.1972486802444"/>
    <n v="13.62273514953624"/>
    <n v="0.79049344367652485"/>
    <n v="-94.1972486802444"/>
    <n v="-1.212"/>
    <n v="-2.9609999999999999"/>
    <n v="-59.067882472137789"/>
  </r>
  <r>
    <s v="L3"/>
    <x v="4"/>
    <s v="C7"/>
    <s v="L3FthC7"/>
    <x v="1"/>
    <n v="-0.20499999999999999"/>
    <n v="-0.64500000000000002"/>
    <n v="-68.217054263565899"/>
    <n v="34.755469608210021"/>
    <n v="0.41610394270123108"/>
    <n v="-98.802767025185176"/>
    <n v="20.488909055179601"/>
    <n v="0.2452999753884284"/>
    <n v="-98.80276702518519"/>
    <n v="-0.57400000000000007"/>
    <n v="-1.2450000000000001"/>
    <n v="-53.895582329317271"/>
  </r>
  <r>
    <s v="L3"/>
    <x v="5"/>
    <s v="E8"/>
    <s v="L3HmaE8"/>
    <x v="1"/>
    <n v="-0.104"/>
    <n v="-1.4339999999999999"/>
    <n v="-92.747559274755915"/>
    <n v="7.5314064803538443"/>
    <n v="9.5427959036011284E-2"/>
    <n v="-98.732933094436731"/>
    <n v="29.581417035926691"/>
    <n v="0.3748163454588832"/>
    <n v="-98.732933094436731"/>
    <n v="-0.92500000000000004"/>
    <n v="-2.0449999999999999"/>
    <n v="-54.76772616136919"/>
  </r>
  <r>
    <s v="L3"/>
    <x v="5"/>
    <s v="J9"/>
    <s v="L3HmaJ9"/>
    <x v="1"/>
    <n v="-0.20200000000000001"/>
    <n v="-1.756"/>
    <n v="-88.496583143507976"/>
    <n v="6.9487922820592107"/>
    <n v="9.2235960992171809E-2"/>
    <n v="-98.672633210949314"/>
    <n v="24.22406719529442"/>
    <n v="0.32154222290766221"/>
    <n v="-98.6726332109493"/>
    <n v="-0.92799999999999994"/>
    <n v="-2.3610000000000002"/>
    <n v="-60.694620923337574"/>
  </r>
  <r>
    <s v="L3"/>
    <x v="6"/>
    <s v="I3"/>
    <s v="L3MlaI3"/>
    <x v="1"/>
    <n v="-0.60299999999999998"/>
    <n v="-2.355"/>
    <n v="-74.394904458598731"/>
    <n v="0.27412644076189302"/>
    <n v="0.20186901025696621"/>
    <n v="-26.359161233808091"/>
    <n v="2.7246782015349069"/>
    <n v="2.006475881289898"/>
    <n v="-26.359161233808102"/>
    <n v="-1.6559999999999999"/>
    <n v="-2.7450000000000001"/>
    <n v="-39.672131147540988"/>
  </r>
  <r>
    <s v="L3"/>
    <x v="7"/>
    <s v="B10"/>
    <s v="L3MluB10"/>
    <x v="1"/>
    <n v="-0.14199999999999999"/>
    <n v="-1.173"/>
    <n v="-87.894288150042627"/>
    <n v="60.065863610746781"/>
    <n v="19.42344955911236"/>
    <n v="-67.663081172053296"/>
    <n v="60.030254564193108"/>
    <n v="19.41193469063289"/>
    <n v="-67.66308117205331"/>
    <n v="-1.462"/>
    <n v="-3.1749999999999998"/>
    <n v="-53.952755905511808"/>
  </r>
  <r>
    <s v="L3"/>
    <x v="7"/>
    <s v="G10"/>
    <s v="L3MluG10"/>
    <x v="1"/>
    <n v="-0.16700000000000001"/>
    <n v="-1.4630000000000001"/>
    <n v="-88.585099111414905"/>
    <n v="35.47681227439206"/>
    <n v="11.412428651070901"/>
    <n v="-67.831301857668194"/>
    <n v="66.722953590273818"/>
    <n v="21.463905532103318"/>
    <n v="-67.831301857668208"/>
    <n v="-0.63100000000000001"/>
    <n v="-2.2429999999999999"/>
    <n v="-71.868033883192155"/>
  </r>
  <r>
    <s v="L3"/>
    <x v="8"/>
    <s v="I10"/>
    <s v="L3PafI10"/>
    <x v="1"/>
    <n v="-0.17100000000000001"/>
    <n v="-2.2090000000000001"/>
    <n v="-92.258940697148034"/>
    <n v="26.550526481371261"/>
    <n v="10.49389804762917"/>
    <n v="-60.475744030944021"/>
    <n v="40.978269778104938"/>
    <n v="16.19635623878851"/>
    <n v="-60.475744030944"/>
    <n v="-1.3069999999999999"/>
    <n v="-3.2869999999999999"/>
    <n v="-60.237298448433222"/>
  </r>
  <r>
    <s v="L3"/>
    <x v="9"/>
    <s v="G7"/>
    <s v="L3PfaG7"/>
    <x v="1"/>
    <n v="-0.153"/>
    <n v="-0.84499999999999997"/>
    <n v="-81.89349112426035"/>
    <n v="12.31903343184797"/>
    <n v="5.9834773699386581"/>
    <n v="-51.429002908054613"/>
    <n v="35.700962121793417"/>
    <n v="17.340313273972811"/>
    <n v="-51.429002908054599"/>
    <n v="-1.0009999999999999"/>
    <n v="-2.1240000000000001"/>
    <n v="-52.871939736346519"/>
  </r>
  <r>
    <s v="L3"/>
    <x v="10"/>
    <s v="A6"/>
    <s v="L3PfuA6"/>
    <x v="1"/>
    <n v="-0.189"/>
    <n v="-1.3120000000000001"/>
    <n v="-85.594512195121951"/>
    <n v="7.9600910443931587"/>
    <n v="0.9929035951158568"/>
    <n v="-87.526479413633993"/>
    <n v="40.479973048544693"/>
    <n v="5.0492777715656301"/>
    <n v="-87.526479413634007"/>
    <n v="-0.72"/>
    <n v="-1.1339999999999999"/>
    <n v="-36.507936507936506"/>
  </r>
  <r>
    <s v="L3"/>
    <x v="10"/>
    <s v="H5"/>
    <s v="L3PfuH5"/>
    <x v="1"/>
    <n v="-0.503"/>
    <n v="-0.78899999999999992"/>
    <n v="-36.248415716096318"/>
    <n v="3.9351434496100062"/>
    <n v="2.314883009180611E-2"/>
    <n v="-99.411741137566395"/>
    <n v="8.0119447319958255"/>
    <n v="4.7130974939247297E-2"/>
    <n v="-99.411741137566395"/>
    <n v="-0.91500000000000004"/>
    <n v="-1.2210000000000001"/>
    <n v="-25.061425061425062"/>
  </r>
  <r>
    <s v="L3"/>
    <x v="11"/>
    <s v="H3"/>
    <s v="L3SguH3"/>
    <x v="1"/>
    <n v="-0.21199999999999999"/>
    <n v="-1.0860000000000001"/>
    <n v="-80.478821362799266"/>
    <n v="3.3866817909143432"/>
    <n v="0.30812296028563452"/>
    <n v="-90.90192172431864"/>
    <n v="16.554392314331871"/>
    <n v="1.506131570821293"/>
    <n v="-90.90192172431864"/>
    <n v="-0.48299999999999998"/>
    <n v="-2.1230000000000002"/>
    <n v="-77.249175694771537"/>
  </r>
  <r>
    <s v="L4"/>
    <x v="12"/>
    <s v="H9"/>
    <s v="L4AguH9"/>
    <x v="0"/>
    <n v="-0.371"/>
    <n v="-1.76"/>
    <n v="-78.920454545454547"/>
    <n v="24.536046960688051"/>
    <n v="8.1714023491180452"/>
    <n v="-66.696337180107449"/>
    <n v="38.416859772010163"/>
    <n v="12.794221444461209"/>
    <n v="-66.696337180107449"/>
    <n v="-0.34"/>
    <n v="-2.875"/>
    <n v="-88.173913043478265"/>
  </r>
  <r>
    <s v="L4"/>
    <x v="12"/>
    <s v="I4"/>
    <s v="L4AguI4"/>
    <x v="0"/>
    <n v="-0.34499999999999997"/>
    <n v="-1.4630000000000001"/>
    <n v="-76.418318523581689"/>
    <n v="2.611122009713899"/>
    <n v="7.715948206302653E-2"/>
    <n v="-97.044968340200981"/>
    <n v="23.716678409262439"/>
    <n v="0.70083535564642718"/>
    <n v="-97.044968340200981"/>
    <n v="-0.44900000000000001"/>
    <n v="-2.2730000000000001"/>
    <n v="-80.246370435547732"/>
  </r>
  <r>
    <s v="L4"/>
    <x v="0"/>
    <s v="G4"/>
    <s v="L4BbrG4"/>
    <x v="0"/>
    <n v="-0.54800000000000004"/>
    <n v="-2.367"/>
    <n v="-76.84833122095479"/>
    <n v="7.7757561306251999"/>
    <n v="2.4813636862324748"/>
    <n v="-68.088457964113601"/>
    <n v="38.083128882939192"/>
    <n v="12.152913682059941"/>
    <n v="-68.088457964113587"/>
    <n v="-0.77800000000000002"/>
    <n v="-2.8759999999999999"/>
    <n v="-72.948539638386649"/>
  </r>
  <r>
    <s v="L4"/>
    <x v="1"/>
    <s v="C8"/>
    <s v="L4CmeC8"/>
    <x v="0"/>
    <n v="-0.26300000000000001"/>
    <n v="-0.64600000000000002"/>
    <n v="-59.287925696594421"/>
    <n v="45.641831805698331"/>
    <n v="23.519821333661419"/>
    <n v="-48.468717395507788"/>
    <n v="42.005827681874422"/>
    <n v="21.64614177310273"/>
    <n v="-48.468717395507781"/>
    <n v="-0.109"/>
    <n v="-3.9319999999999999"/>
    <n v="-97.22787385554426"/>
  </r>
  <r>
    <s v="L4"/>
    <x v="2"/>
    <s v="A1"/>
    <s v="L4DtoA1"/>
    <x v="0"/>
    <n v="-0.51200000000000001"/>
    <n v="-2.4750000000000001"/>
    <n v="-79.313131313131308"/>
    <n v="4.9303387663272256"/>
    <n v="0.68071219419538731"/>
    <n v="-86.193399146434871"/>
    <n v="22.65741467297433"/>
    <n v="3.128218807634664"/>
    <n v="-86.193399146434885"/>
    <n v="-0.38700000000000001"/>
    <n v="-2.726"/>
    <n v="-85.803374908290536"/>
  </r>
  <r>
    <s v="L4"/>
    <x v="2"/>
    <s v="G6"/>
    <s v="L4DtoG6"/>
    <x v="0"/>
    <n v="-0.58399999999999996"/>
    <n v="-2.778"/>
    <n v="-78.977681785457165"/>
    <n v="4.7616850923076077"/>
    <n v="1.0965881175853709"/>
    <n v="-76.970587169721"/>
    <n v="19.308110691663"/>
    <n v="4.4465445209103116"/>
    <n v="-76.970587169721"/>
    <n v="-1.2509999999999999"/>
    <n v="-4.0060000000000002"/>
    <n v="-68.771842236645043"/>
  </r>
  <r>
    <s v="L4"/>
    <x v="3"/>
    <s v="D10"/>
    <s v="L4FsaD10"/>
    <x v="0"/>
    <n v="-0.52300000000000002"/>
    <n v="-3.5139999999999998"/>
    <n v="-85.116676152532719"/>
    <n v="1.758998326064461"/>
    <n v="1.383913700982185E-2"/>
    <n v="-99.213237624802915"/>
    <n v="26.92180253217029"/>
    <n v="0.21181061304797391"/>
    <n v="-99.213237624802915"/>
    <n v="-1.863"/>
    <n v="-4.1079999999999997"/>
    <n v="-54.649464459591037"/>
  </r>
  <r>
    <s v="L4"/>
    <x v="3"/>
    <s v="I1"/>
    <s v="L4FsaI1"/>
    <x v="0"/>
    <n v="-0.42499999999999999"/>
    <n v="-2.258"/>
    <n v="-81.178033658104525"/>
    <n v="4.1422752997789232"/>
    <n v="1.052183138193628"/>
    <n v="-74.598908521367861"/>
    <n v="39.825985851455329"/>
    <n v="10.11623509839526"/>
    <n v="-74.598908521367875"/>
    <n v="-1.5349999999999999"/>
    <n v="-3.4460000000000002"/>
    <n v="-55.455600696459669"/>
  </r>
  <r>
    <s v="L4"/>
    <x v="4"/>
    <s v="C7"/>
    <s v="L4FthC7"/>
    <x v="0"/>
    <n v="-0.26300000000000001"/>
    <n v="-1.256"/>
    <n v="-79.060509554140125"/>
    <n v="5.6020934943143947"/>
    <n v="0.60001857569356176"/>
    <n v="-89.289386614084094"/>
    <n v="10.247738008281299"/>
    <n v="1.0975955988685691"/>
    <n v="-89.289386614084094"/>
    <n v="-0.57499999999999996"/>
    <n v="-1.153"/>
    <n v="-50.130095403295762"/>
  </r>
  <r>
    <s v="L4"/>
    <x v="7"/>
    <s v="E5"/>
    <s v="L4MluE5"/>
    <x v="0"/>
    <n v="-0.45700000000000002"/>
    <n v="-2.1509999999999998"/>
    <n v="-78.75406787540679"/>
    <n v="47.343373536034399"/>
    <n v="7.9217072501842694"/>
    <n v="-83.267548004041515"/>
    <n v="68.766034524054746"/>
    <n v="11.5062437162617"/>
    <n v="-83.267548004041515"/>
    <n v="-1.478"/>
    <n v="-2.867"/>
    <n v="-48.447854900592958"/>
  </r>
  <r>
    <s v="L4"/>
    <x v="7"/>
    <s v="E8"/>
    <s v="L4MluE8"/>
    <x v="0"/>
    <n v="-0.748"/>
    <n v="-2.8119999999999998"/>
    <n v="-73.399715504978673"/>
    <n v="31.178821453768741"/>
    <n v="17.167614385595481"/>
    <n v="-44.938219005323099"/>
    <n v="34.305637610514701"/>
    <n v="18.88929504992911"/>
    <n v="-44.938219005323113"/>
    <n v="-1.756"/>
    <n v="-3.484"/>
    <n v="-49.598163030998855"/>
  </r>
  <r>
    <s v="L4"/>
    <x v="8"/>
    <s v="A6"/>
    <s v="L4PafA6"/>
    <x v="0"/>
    <n v="-0.65199999999999991"/>
    <n v="-3.4359999999999999"/>
    <n v="-81.02444703143189"/>
    <n v="6.4988399031794426"/>
    <n v="3.038591391331988"/>
    <n v="-53.24409530621903"/>
    <n v="28.816192869811641"/>
    <n v="13.47327167458524"/>
    <n v="-53.244095306219016"/>
    <n v="-0.90800000000000003"/>
    <n v="-4.4340000000000002"/>
    <n v="-79.521876409562481"/>
  </r>
  <r>
    <s v="L4"/>
    <x v="8"/>
    <s v="B8"/>
    <s v="L4PafB8"/>
    <x v="0"/>
    <n v="-1.0209999999999999"/>
    <n v="-3.1589999999999998"/>
    <n v="-67.679645457423234"/>
    <n v="5.5330026912198438"/>
    <n v="1.2910602789804291"/>
    <n v="-76.666191017236017"/>
    <n v="27.20543409828446"/>
    <n v="6.3480640254254359"/>
    <n v="-76.666191017236002"/>
    <n v="-1.135"/>
    <n v="-4.1050000000000004"/>
    <n v="-72.350791717417792"/>
  </r>
  <r>
    <s v="L4"/>
    <x v="9"/>
    <s v="J8"/>
    <s v="L4PfaJ8"/>
    <x v="0"/>
    <n v="-0.308"/>
    <n v="-2.4209999999999998"/>
    <n v="-87.277984304006623"/>
    <n v="6.6606611677801117"/>
    <n v="1.358072914144334"/>
    <n v="-79.610538954994496"/>
    <n v="23.374029193905631"/>
    <n v="4.7658385771395997"/>
    <n v="-79.610538954994496"/>
    <n v="-1.0489999999999999"/>
    <n v="-2.9049999999999998"/>
    <n v="-63.889845094664381"/>
  </r>
  <r>
    <s v="L4"/>
    <x v="9"/>
    <s v="j8"/>
    <s v="L4Pfaj8"/>
    <x v="0"/>
    <n v="-2.2759999999999998"/>
    <n v="-2.2759999999999998"/>
    <n v="0"/>
    <n v="0.38764868496251098"/>
    <n v="0.38764868496251098"/>
    <n v="0"/>
    <n v="1.360362199945492"/>
    <n v="1.360362199945492"/>
    <n v="0"/>
    <n v="-3.3849999999999998"/>
    <n v="-3.3849999999999998"/>
    <n v="0"/>
  </r>
  <r>
    <s v="L4"/>
    <x v="10"/>
    <s v="F9"/>
    <s v="L4PfuF9"/>
    <x v="0"/>
    <n v="-0.46700000000000003"/>
    <n v="-0.97799999999999998"/>
    <n v="-52.249488752556225"/>
    <n v="5.6161320958309853"/>
    <n v="0.29364527879753488"/>
    <n v="-94.771396509431881"/>
    <n v="7.6430325659728942"/>
    <n v="0.39962386752971629"/>
    <n v="-94.771396509431881"/>
    <n v="-0.82100000000000006"/>
    <n v="-1.387"/>
    <n v="-40.807498197548661"/>
  </r>
  <r>
    <s v="L4"/>
    <x v="11"/>
    <s v="G1"/>
    <s v="L4SguG1"/>
    <x v="0"/>
    <n v="-0.45400000000000001"/>
    <n v="-2.0339999999999998"/>
    <n v="-77.679449360865291"/>
    <n v="3.417948057939407"/>
    <n v="1.266114470698436"/>
    <n v="-62.95688380174672"/>
    <n v="38.797718504419507"/>
    <n v="14.37188394786333"/>
    <n v="-62.95688380174672"/>
    <n v="-1.0529999999999999"/>
    <n v="-1.875"/>
    <n v="-43.84"/>
  </r>
  <r>
    <s v="M1"/>
    <x v="0"/>
    <s v="J3"/>
    <s v="M1BbrJ3"/>
    <x v="1"/>
    <n v="-9.8000000000000004E-2"/>
    <n v="-1.6779999999999999"/>
    <n v="-94.159713945172825"/>
    <n v="18.298334219646311"/>
    <n v="2.6600557990725542"/>
    <n v="-85.462852699364618"/>
    <n v="32.607287682818821"/>
    <n v="4.7401694411933093"/>
    <n v="-85.462852699364618"/>
    <n v="-1.0569999999999999"/>
    <n v="-1.8320000000000001"/>
    <n v="-42.303493449781662"/>
  </r>
  <r>
    <s v="M1"/>
    <x v="1"/>
    <s v="F9"/>
    <s v="M1CmeF9"/>
    <x v="1"/>
    <n v="-0.123"/>
    <n v="-0.94399999999999995"/>
    <n v="-86.970338983050837"/>
    <n v="54.618603075164977"/>
    <n v="17.160545759131789"/>
    <n v="-68.581133912348875"/>
    <n v="48.968682655280219"/>
    <n v="15.385404828349341"/>
    <n v="-68.581133912348875"/>
    <n v="-0.23100000000000001"/>
    <n v="-1.472"/>
    <n v="-84.307065217391298"/>
  </r>
  <r>
    <s v="M1"/>
    <x v="2"/>
    <s v="A2"/>
    <s v="M1DtoA2"/>
    <x v="1"/>
    <n v="-0.38600000000000001"/>
    <n v="-1.286"/>
    <n v="-69.984447900466563"/>
    <n v="5.4355975197985957"/>
    <n v="1.6508999244019991"/>
    <n v="-69.627995480004373"/>
    <n v="32.652644947362113"/>
    <n v="9.9172627993109437"/>
    <n v="-69.627995480004373"/>
    <n v="-0.98699999999999988"/>
    <n v="-2.3279999999999998"/>
    <n v="-57.603092783505161"/>
  </r>
  <r>
    <s v="M1"/>
    <x v="2"/>
    <s v="H3"/>
    <s v="M1DtoH3"/>
    <x v="1"/>
    <n v="-0.40600000000000003"/>
    <n v="-1.365"/>
    <n v="-70.256410256410248"/>
    <n v="9.7856955802433401"/>
    <n v="0.27163784421686188"/>
    <n v="-97.224133512130905"/>
    <n v="27.522755757189771"/>
    <n v="0.76399495360189207"/>
    <n v="-97.224133512130919"/>
    <n v="-1.002"/>
    <n v="-2.331"/>
    <n v="-57.014157014157021"/>
  </r>
  <r>
    <s v="M1"/>
    <x v="3"/>
    <s v="F3"/>
    <s v="M1FsaF3"/>
    <x v="1"/>
    <n v="-0.224"/>
    <n v="-1.4279999999999999"/>
    <n v="-84.313725490196077"/>
    <n v="3.193792351876191"/>
    <n v="0.40813934998386497"/>
    <n v="-87.220855177259608"/>
    <n v="26.076111450179489"/>
    <n v="3.332304046357629"/>
    <n v="-87.220855177259608"/>
    <n v="-0.78499999999999992"/>
    <n v="-2.7869999999999999"/>
    <n v="-71.833512737710791"/>
  </r>
  <r>
    <s v="M1"/>
    <x v="3"/>
    <s v="H4"/>
    <s v="M1FsaH4"/>
    <x v="1"/>
    <n v="-0.27900000000000003"/>
    <n v="-1.085"/>
    <n v="-74.285714285714278"/>
    <n v="1.370007804915635"/>
    <n v="0.2245890096769792"/>
    <n v="-83.606735022154908"/>
    <n v="7.7026378455970361"/>
    <n v="1.2627138323125009"/>
    <n v="-83.606735022154908"/>
    <n v="-0.23499999999999999"/>
    <n v="-2.198"/>
    <n v="-89.308462238398548"/>
  </r>
  <r>
    <s v="M1"/>
    <x v="4"/>
    <s v="D8"/>
    <s v="M1FthD8"/>
    <x v="1"/>
    <n v="-0.32300000000000001"/>
    <n v="-0.86499999999999999"/>
    <n v="-62.658959537572258"/>
    <n v="7.7847120626621331"/>
    <n v="0.43415157669487708"/>
    <n v="-94.423023315438982"/>
    <n v="13.954611422900451"/>
    <n v="0.77824542547624798"/>
    <n v="-94.423023315438968"/>
    <n v="-0.251"/>
    <n v="-1.008"/>
    <n v="-75.099206349206355"/>
  </r>
  <r>
    <s v="M1"/>
    <x v="5"/>
    <s v="J1"/>
    <s v="M1HmaJ1"/>
    <x v="1"/>
    <n v="-0.21199999999999999"/>
    <n v="-1.395"/>
    <n v="-84.802867383512549"/>
    <n v="25.52548424002304"/>
    <n v="0.28381660704350858"/>
    <n v="-98.888104905769055"/>
    <n v="65.237142648505269"/>
    <n v="0.72536858872517229"/>
    <n v="-98.888104905769055"/>
    <n v="-0.81899999999999995"/>
    <n v="-1.5229999999999999"/>
    <n v="-46.224556795797767"/>
  </r>
  <r>
    <s v="M1"/>
    <x v="6"/>
    <s v="C6"/>
    <s v="M1MlaC6"/>
    <x v="1"/>
    <n v="-0.32800000000000001"/>
    <n v="-2.5760000000000001"/>
    <n v="-87.267080745341616"/>
    <n v="4.3666925958813758"/>
    <n v="0"/>
    <n v="-100"/>
    <n v="35.028884837824528"/>
    <n v="0"/>
    <n v="-100"/>
    <n v="-0.94299999999999995"/>
    <n v="-2.4119999999999999"/>
    <n v="-60.903814262023218"/>
  </r>
  <r>
    <s v="M1"/>
    <x v="7"/>
    <s v="B3"/>
    <s v="M1MluB3"/>
    <x v="1"/>
    <n v="-0.151"/>
    <n v="-0.95099999999999996"/>
    <n v="-84.121976866456365"/>
    <n v="17.877123142029461"/>
    <n v="9.2168959811814641"/>
    <n v="-48.443069346474637"/>
    <n v="38.014217355511882"/>
    <n v="19.598963680461669"/>
    <n v="-48.44306934647463"/>
    <n v="-0.39200000000000002"/>
    <n v="-2.0819999999999999"/>
    <n v="-81.171950048030737"/>
  </r>
  <r>
    <s v="M1"/>
    <x v="8"/>
    <s v="J5"/>
    <s v="M1PafJ5"/>
    <x v="1"/>
    <n v="-0.23400000000000001"/>
    <n v="-2.2650000000000001"/>
    <n v="-89.668874172185426"/>
    <n v="11.076586135897029"/>
    <n v="8.7651611768090287"/>
    <n v="-20.867665639299538"/>
    <n v="29.594356868790651"/>
    <n v="23.41870542931035"/>
    <n v="-20.86766563929951"/>
    <n v="-0.442"/>
    <n v="-3.4239999999999999"/>
    <n v="-87.091121495327101"/>
  </r>
  <r>
    <s v="M1"/>
    <x v="9"/>
    <s v="D5"/>
    <s v="M1PfaD5"/>
    <x v="1"/>
    <n v="-0.22500000000000001"/>
    <n v="-1.145"/>
    <n v="-80.349344978165931"/>
    <n v="8.4913345608633062"/>
    <n v="1.4824221933887649"/>
    <n v="-82.541941048686596"/>
    <n v="23.81148619283584"/>
    <n v="4.1570232967291307"/>
    <n v="-82.541941048686596"/>
    <n v="-0.97599999999999998"/>
    <n v="-2.4350000000000001"/>
    <n v="-59.917864476386043"/>
  </r>
  <r>
    <s v="M1"/>
    <x v="9"/>
    <s v="H5"/>
    <s v="M1PfaH5"/>
    <x v="1"/>
    <n v="-0.308"/>
    <n v="-1.7090000000000001"/>
    <n v="-81.977764774722061"/>
    <n v="14.363380428249609"/>
    <n v="2.2815171210598302"/>
    <n v="-84.115737012906877"/>
    <n v="16.3153008464684"/>
    <n v="2.5915652935884701"/>
    <n v="-84.115737012906891"/>
    <n v="-1.2929999999999999"/>
    <n v="-2.3969999999999998"/>
    <n v="-46.057571964956196"/>
  </r>
  <r>
    <s v="M1"/>
    <x v="10"/>
    <s v="D4"/>
    <s v="M1PfuD4"/>
    <x v="1"/>
    <n v="-0.28199999999999997"/>
    <n v="-0.94100000000000006"/>
    <n v="-70.031880977683315"/>
    <n v="4.7627758821154291"/>
    <n v="0.1736225002065524"/>
    <n v="-96.354594368831897"/>
    <n v="14.74338367628234"/>
    <n v="0.53745613875991594"/>
    <n v="-96.354594368831897"/>
    <n v="-0.82400000000000007"/>
    <n v="-1.1719999999999999"/>
    <n v="-29.692832764505113"/>
  </r>
  <r>
    <s v="M1"/>
    <x v="11"/>
    <s v="G6"/>
    <s v="M1SguG6"/>
    <x v="1"/>
    <n v="-0.20100000000000001"/>
    <n v="-1.423"/>
    <n v="-85.874912157413902"/>
    <n v="3.588442732436445"/>
    <n v="0.29303851489996963"/>
    <n v="-91.833824955567707"/>
    <n v="23.084280405542589"/>
    <n v="1.885102745664196"/>
    <n v="-91.833824955567707"/>
    <n v="-0.64700000000000002"/>
    <n v="-1.893"/>
    <n v="-65.821447437929208"/>
  </r>
  <r>
    <m/>
    <x v="13"/>
    <m/>
    <m/>
    <x v="2"/>
    <m/>
    <m/>
    <m/>
    <m/>
    <m/>
    <m/>
    <m/>
    <m/>
    <m/>
    <m/>
    <m/>
    <m/>
  </r>
  <r>
    <m/>
    <x v="13"/>
    <m/>
    <m/>
    <x v="2"/>
    <m/>
    <m/>
    <m/>
    <m/>
    <m/>
    <m/>
    <m/>
    <m/>
    <m/>
    <m/>
    <m/>
    <m/>
  </r>
  <r>
    <m/>
    <x v="13"/>
    <m/>
    <m/>
    <x v="2"/>
    <m/>
    <m/>
    <m/>
    <m/>
    <m/>
    <m/>
    <m/>
    <m/>
    <m/>
    <m/>
    <m/>
    <m/>
  </r>
  <r>
    <m/>
    <x v="13"/>
    <m/>
    <m/>
    <x v="2"/>
    <m/>
    <m/>
    <m/>
    <m/>
    <m/>
    <m/>
    <m/>
    <m/>
    <m/>
    <m/>
    <m/>
    <m/>
  </r>
  <r>
    <m/>
    <x v="13"/>
    <m/>
    <m/>
    <x v="2"/>
    <m/>
    <m/>
    <m/>
    <m/>
    <m/>
    <m/>
    <m/>
    <m/>
    <m/>
    <m/>
    <m/>
    <m/>
  </r>
  <r>
    <m/>
    <x v="13"/>
    <m/>
    <m/>
    <x v="2"/>
    <m/>
    <m/>
    <m/>
    <m/>
    <m/>
    <m/>
    <m/>
    <m/>
    <m/>
    <m/>
    <m/>
    <m/>
  </r>
  <r>
    <m/>
    <x v="13"/>
    <m/>
    <m/>
    <x v="2"/>
    <m/>
    <m/>
    <m/>
    <m/>
    <m/>
    <m/>
    <m/>
    <m/>
    <m/>
    <m/>
    <m/>
    <m/>
  </r>
  <r>
    <m/>
    <x v="13"/>
    <m/>
    <m/>
    <x v="2"/>
    <m/>
    <m/>
    <m/>
    <m/>
    <m/>
    <m/>
    <m/>
    <m/>
    <m/>
    <m/>
    <m/>
    <m/>
  </r>
  <r>
    <m/>
    <x v="13"/>
    <m/>
    <m/>
    <x v="2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E7E08-48CD-4E3F-A2BF-85FF4C4FC159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3" firstHeaderRow="0" firstDataRow="1" firstDataCol="1"/>
  <pivotFields count="17">
    <pivotField showAll="0"/>
    <pivotField axis="axisRow" showAll="0">
      <items count="15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t="default"/>
      </items>
    </pivotField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</pivotFields>
  <rowFields count="2">
    <field x="4"/>
    <field x="1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PercentWP" fld="7" subtotal="average" baseField="1" baseItem="0"/>
    <dataField name="Average of Percent_F" fld="10" subtotal="average" baseField="1" baseItem="0"/>
    <dataField name="Average of Percent_U" fld="13" subtotal="average" baseField="1" baseItem="0"/>
    <dataField name="Average of Percent_MP" fld="1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4D0F-CC57-4B0E-97BD-DA1498486356}">
  <dimension ref="A3:E33"/>
  <sheetViews>
    <sheetView workbookViewId="0">
      <selection activeCell="C12" sqref="C12"/>
    </sheetView>
  </sheetViews>
  <sheetFormatPr defaultRowHeight="14.5" x14ac:dyDescent="0.35"/>
  <cols>
    <col min="1" max="1" width="12.36328125" bestFit="1" customWidth="1"/>
    <col min="2" max="2" width="19.7265625" bestFit="1" customWidth="1"/>
    <col min="3" max="3" width="18.7265625" bestFit="1" customWidth="1"/>
    <col min="4" max="4" width="19.08984375" bestFit="1" customWidth="1"/>
    <col min="5" max="5" width="20.6328125" bestFit="1" customWidth="1"/>
  </cols>
  <sheetData>
    <row r="3" spans="1:5" x14ac:dyDescent="0.35">
      <c r="A3" s="4" t="s">
        <v>195</v>
      </c>
      <c r="B3" t="s">
        <v>198</v>
      </c>
      <c r="C3" t="s">
        <v>199</v>
      </c>
      <c r="D3" t="s">
        <v>200</v>
      </c>
      <c r="E3" t="s">
        <v>201</v>
      </c>
    </row>
    <row r="4" spans="1:5" x14ac:dyDescent="0.35">
      <c r="A4" s="5" t="s">
        <v>11</v>
      </c>
      <c r="B4">
        <v>-71.75593892475186</v>
      </c>
      <c r="C4">
        <v>-77.989319163191141</v>
      </c>
      <c r="D4">
        <v>-77.989319163191141</v>
      </c>
      <c r="E4">
        <v>-62.664947194292829</v>
      </c>
    </row>
    <row r="5" spans="1:5" x14ac:dyDescent="0.35">
      <c r="A5" s="7" t="s">
        <v>143</v>
      </c>
      <c r="B5">
        <v>-84.670147499283331</v>
      </c>
      <c r="C5">
        <v>-87.7465750809925</v>
      </c>
      <c r="D5">
        <v>-87.7465750809925</v>
      </c>
      <c r="E5">
        <v>-84.195059288344225</v>
      </c>
    </row>
    <row r="6" spans="1:5" x14ac:dyDescent="0.35">
      <c r="A6" s="7" t="s">
        <v>114</v>
      </c>
      <c r="B6">
        <v>-82.901775720998899</v>
      </c>
      <c r="C6">
        <v>-80.492879538373685</v>
      </c>
      <c r="D6">
        <v>-80.492879538373685</v>
      </c>
      <c r="E6">
        <v>-69.701626189265482</v>
      </c>
    </row>
    <row r="7" spans="1:5" x14ac:dyDescent="0.35">
      <c r="A7" s="7" t="s">
        <v>116</v>
      </c>
      <c r="B7">
        <v>-69.199693057687099</v>
      </c>
      <c r="C7">
        <v>-55.587651192570988</v>
      </c>
      <c r="D7">
        <v>-55.587651192570988</v>
      </c>
      <c r="E7">
        <v>-92.54536438569481</v>
      </c>
    </row>
    <row r="8" spans="1:5" x14ac:dyDescent="0.35">
      <c r="A8" s="7" t="s">
        <v>118</v>
      </c>
      <c r="B8">
        <v>-81.124904539625589</v>
      </c>
      <c r="C8">
        <v>-84.433005626773493</v>
      </c>
      <c r="D8">
        <v>-84.433005626773493</v>
      </c>
      <c r="E8">
        <v>-77.658977240527776</v>
      </c>
    </row>
    <row r="9" spans="1:5" x14ac:dyDescent="0.35">
      <c r="A9" s="7" t="s">
        <v>120</v>
      </c>
      <c r="B9">
        <v>-80.358890238787239</v>
      </c>
      <c r="C9">
        <v>-80.809312480413524</v>
      </c>
      <c r="D9">
        <v>-80.809312480413524</v>
      </c>
      <c r="E9">
        <v>-64.846529030374853</v>
      </c>
    </row>
    <row r="10" spans="1:5" x14ac:dyDescent="0.35">
      <c r="A10" s="7" t="s">
        <v>123</v>
      </c>
      <c r="B10">
        <v>-61.342063674439395</v>
      </c>
      <c r="C10">
        <v>-94.899104160634252</v>
      </c>
      <c r="D10">
        <v>-94.899104160634252</v>
      </c>
      <c r="E10">
        <v>-54.36119462697804</v>
      </c>
    </row>
    <row r="11" spans="1:5" x14ac:dyDescent="0.35">
      <c r="A11" s="7" t="s">
        <v>125</v>
      </c>
      <c r="B11">
        <v>-74.883041226310311</v>
      </c>
      <c r="C11">
        <v>-91.571412496291799</v>
      </c>
      <c r="D11">
        <v>-91.571412496291799</v>
      </c>
      <c r="E11">
        <v>-64.849904776243562</v>
      </c>
    </row>
    <row r="12" spans="1:5" x14ac:dyDescent="0.35">
      <c r="A12" s="7" t="s">
        <v>129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7" t="s">
        <v>131</v>
      </c>
      <c r="B13">
        <v>-77.240716412445579</v>
      </c>
      <c r="C13">
        <v>-67.455260649648721</v>
      </c>
      <c r="D13">
        <v>-67.455260649648721</v>
      </c>
      <c r="E13">
        <v>-54.772386725235052</v>
      </c>
    </row>
    <row r="14" spans="1:5" x14ac:dyDescent="0.35">
      <c r="A14" s="7" t="s">
        <v>133</v>
      </c>
      <c r="B14">
        <v>-76.37648734070541</v>
      </c>
      <c r="C14">
        <v>-58.312409261442539</v>
      </c>
      <c r="D14">
        <v>-58.312409261442532</v>
      </c>
      <c r="E14">
        <v>-67.990476896760981</v>
      </c>
    </row>
    <row r="15" spans="1:5" x14ac:dyDescent="0.35">
      <c r="A15" s="7" t="s">
        <v>135</v>
      </c>
      <c r="B15">
        <v>-63.126543017432553</v>
      </c>
      <c r="C15">
        <v>-70.908746414102751</v>
      </c>
      <c r="D15">
        <v>-70.908746414102737</v>
      </c>
      <c r="E15">
        <v>-43.628542635340338</v>
      </c>
    </row>
    <row r="16" spans="1:5" x14ac:dyDescent="0.35">
      <c r="A16" s="7" t="s">
        <v>137</v>
      </c>
      <c r="B16">
        <v>-54.810251816265101</v>
      </c>
      <c r="C16">
        <v>-93.45401257467438</v>
      </c>
      <c r="D16">
        <v>-93.45401257467438</v>
      </c>
      <c r="E16">
        <v>-45.872026367139149</v>
      </c>
    </row>
    <row r="17" spans="1:5" x14ac:dyDescent="0.35">
      <c r="A17" s="7" t="s">
        <v>139</v>
      </c>
      <c r="B17">
        <v>-85.729951897855258</v>
      </c>
      <c r="C17">
        <v>-79.41248480615846</v>
      </c>
      <c r="D17">
        <v>-79.412484806158446</v>
      </c>
      <c r="E17">
        <v>-59.969600282150388</v>
      </c>
    </row>
    <row r="18" spans="1:5" x14ac:dyDescent="0.35">
      <c r="A18" s="5" t="s">
        <v>13</v>
      </c>
      <c r="B18">
        <v>-78.013689245780512</v>
      </c>
      <c r="C18">
        <v>-76.96959229836196</v>
      </c>
      <c r="D18">
        <v>-75.609049732958027</v>
      </c>
      <c r="E18">
        <v>-61.624210693004017</v>
      </c>
    </row>
    <row r="19" spans="1:5" x14ac:dyDescent="0.35">
      <c r="A19" s="7" t="s">
        <v>114</v>
      </c>
      <c r="B19">
        <v>-86.475819970059689</v>
      </c>
      <c r="C19">
        <v>-67.8806795013449</v>
      </c>
      <c r="D19">
        <v>-67.880679501344929</v>
      </c>
      <c r="E19">
        <v>-58.207068568875734</v>
      </c>
    </row>
    <row r="20" spans="1:5" x14ac:dyDescent="0.35">
      <c r="A20" s="7" t="s">
        <v>116</v>
      </c>
      <c r="B20">
        <v>-76.478743885825338</v>
      </c>
      <c r="C20">
        <v>-53.186714138605282</v>
      </c>
      <c r="D20">
        <v>-53.186714138605296</v>
      </c>
      <c r="E20">
        <v>-88.014322836827873</v>
      </c>
    </row>
    <row r="21" spans="1:5" x14ac:dyDescent="0.35">
      <c r="A21" s="7" t="s">
        <v>118</v>
      </c>
      <c r="B21">
        <v>-74.191075112303238</v>
      </c>
      <c r="C21">
        <v>-84.650011091991104</v>
      </c>
      <c r="D21">
        <v>-84.650011091991104</v>
      </c>
      <c r="E21">
        <v>-70.095893679250153</v>
      </c>
    </row>
    <row r="22" spans="1:5" x14ac:dyDescent="0.35">
      <c r="A22" s="7" t="s">
        <v>120</v>
      </c>
      <c r="B22">
        <v>-83.465749376807452</v>
      </c>
      <c r="C22">
        <v>-89.985608309758248</v>
      </c>
      <c r="D22">
        <v>-89.985608309758248</v>
      </c>
      <c r="E22">
        <v>-70.915129352633741</v>
      </c>
    </row>
    <row r="23" spans="1:5" x14ac:dyDescent="0.35">
      <c r="A23" s="7" t="s">
        <v>123</v>
      </c>
      <c r="B23">
        <v>-56.284730918201547</v>
      </c>
      <c r="C23">
        <v>-92.61288115059854</v>
      </c>
      <c r="D23">
        <v>-79.279564009639955</v>
      </c>
      <c r="E23">
        <v>-62.895777784035658</v>
      </c>
    </row>
    <row r="24" spans="1:5" x14ac:dyDescent="0.35">
      <c r="A24" s="7" t="s">
        <v>125</v>
      </c>
      <c r="B24">
        <v>-88.588896676606055</v>
      </c>
      <c r="C24">
        <v>-88.786762588028594</v>
      </c>
      <c r="D24">
        <v>-88.78676258802858</v>
      </c>
      <c r="E24">
        <v>-56.347413255349494</v>
      </c>
    </row>
    <row r="25" spans="1:5" x14ac:dyDescent="0.35">
      <c r="A25" s="7" t="s">
        <v>129</v>
      </c>
      <c r="B25">
        <v>-80.406766397254671</v>
      </c>
      <c r="C25">
        <v>-81.478389057230316</v>
      </c>
      <c r="D25">
        <v>-81.478389057230316</v>
      </c>
      <c r="E25">
        <v>-56.659844061594953</v>
      </c>
    </row>
    <row r="26" spans="1:5" x14ac:dyDescent="0.35">
      <c r="A26" s="7" t="s">
        <v>131</v>
      </c>
      <c r="B26">
        <v>-86.010306168526981</v>
      </c>
      <c r="C26">
        <v>-65.392919230830998</v>
      </c>
      <c r="D26">
        <v>-65.392919230831012</v>
      </c>
      <c r="E26">
        <v>-64.790433167406988</v>
      </c>
    </row>
    <row r="27" spans="1:5" x14ac:dyDescent="0.35">
      <c r="A27" s="7" t="s">
        <v>133</v>
      </c>
      <c r="B27">
        <v>-91.008867869925638</v>
      </c>
      <c r="C27">
        <v>-56.933357688800804</v>
      </c>
      <c r="D27">
        <v>-56.933357688800783</v>
      </c>
      <c r="E27">
        <v>-65.544740468073186</v>
      </c>
    </row>
    <row r="28" spans="1:5" x14ac:dyDescent="0.35">
      <c r="A28" s="7" t="s">
        <v>135</v>
      </c>
      <c r="B28">
        <v>-81.169252033213354</v>
      </c>
      <c r="C28">
        <v>-63.466784123799982</v>
      </c>
      <c r="D28">
        <v>-63.466784123799997</v>
      </c>
      <c r="E28">
        <v>-47.413222854291561</v>
      </c>
    </row>
    <row r="29" spans="1:5" x14ac:dyDescent="0.35">
      <c r="A29" s="7" t="s">
        <v>137</v>
      </c>
      <c r="B29">
        <v>-56.931498163600821</v>
      </c>
      <c r="C29">
        <v>-95.186911298598318</v>
      </c>
      <c r="D29">
        <v>-95.186911298598332</v>
      </c>
      <c r="E29">
        <v>-33.175624388899394</v>
      </c>
    </row>
    <row r="30" spans="1:5" x14ac:dyDescent="0.35">
      <c r="A30" s="7" t="s">
        <v>139</v>
      </c>
      <c r="B30">
        <v>-80.584803958936192</v>
      </c>
      <c r="C30">
        <v>-80.163267187697031</v>
      </c>
      <c r="D30">
        <v>-80.163267187697031</v>
      </c>
      <c r="E30">
        <v>-65.113166126051453</v>
      </c>
    </row>
    <row r="31" spans="1:5" x14ac:dyDescent="0.35">
      <c r="A31" s="5" t="s">
        <v>196</v>
      </c>
    </row>
    <row r="32" spans="1:5" x14ac:dyDescent="0.35">
      <c r="A32" s="7" t="s">
        <v>196</v>
      </c>
    </row>
    <row r="33" spans="1:5" x14ac:dyDescent="0.35">
      <c r="A33" s="5" t="s">
        <v>197</v>
      </c>
      <c r="B33">
        <v>-74.791877199310306</v>
      </c>
      <c r="C33">
        <v>-77.494600189165098</v>
      </c>
      <c r="D33">
        <v>-76.834534984167135</v>
      </c>
      <c r="E33">
        <v>-62.160035426340812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opLeftCell="E1" workbookViewId="0">
      <selection activeCell="T1" sqref="T1"/>
    </sheetView>
  </sheetViews>
  <sheetFormatPr defaultRowHeight="14.5" x14ac:dyDescent="0.35"/>
  <cols>
    <col min="1" max="1" width="9.6328125" bestFit="1" customWidth="1"/>
    <col min="2" max="3" width="9.6328125" customWidth="1"/>
    <col min="4" max="4" width="9.6328125" bestFit="1" customWidth="1"/>
    <col min="5" max="5" width="9.7265625" bestFit="1" customWidth="1"/>
    <col min="6" max="6" width="15.81640625" bestFit="1" customWidth="1"/>
    <col min="7" max="7" width="15.453125" bestFit="1" customWidth="1"/>
    <col min="8" max="8" width="15.453125" customWidth="1"/>
    <col min="11" max="11" width="8.7265625" style="3"/>
    <col min="14" max="14" width="8.7265625" style="3"/>
    <col min="15" max="15" width="10.36328125" customWidth="1"/>
    <col min="16" max="16" width="14.26953125" bestFit="1" customWidth="1"/>
  </cols>
  <sheetData>
    <row r="1" spans="1:20" s="1" customFormat="1" x14ac:dyDescent="0.35">
      <c r="A1" s="1" t="s">
        <v>193</v>
      </c>
      <c r="B1" s="1" t="s">
        <v>112</v>
      </c>
      <c r="C1" s="1" t="s">
        <v>194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108</v>
      </c>
      <c r="I1" s="1" t="s">
        <v>4</v>
      </c>
      <c r="J1" s="1" t="s">
        <v>5</v>
      </c>
      <c r="K1" s="2" t="s">
        <v>109</v>
      </c>
      <c r="L1" s="1" t="s">
        <v>6</v>
      </c>
      <c r="M1" s="1" t="s">
        <v>7</v>
      </c>
      <c r="N1" s="2" t="s">
        <v>110</v>
      </c>
      <c r="O1" s="1" t="s">
        <v>8</v>
      </c>
      <c r="P1" s="1" t="s">
        <v>9</v>
      </c>
      <c r="Q1" s="1" t="s">
        <v>111</v>
      </c>
      <c r="R1" t="s">
        <v>205</v>
      </c>
      <c r="S1" t="s">
        <v>206</v>
      </c>
      <c r="T1" s="1" t="s">
        <v>209</v>
      </c>
    </row>
    <row r="2" spans="1:20" x14ac:dyDescent="0.35">
      <c r="A2" t="s">
        <v>113</v>
      </c>
      <c r="B2" t="s">
        <v>114</v>
      </c>
      <c r="C2" t="s">
        <v>115</v>
      </c>
      <c r="D2" t="s">
        <v>69</v>
      </c>
      <c r="E2" t="s">
        <v>11</v>
      </c>
      <c r="F2">
        <v>-0.22800000000000001</v>
      </c>
      <c r="G2">
        <v>-2.1259999999999999</v>
      </c>
      <c r="H2" s="3">
        <f t="shared" ref="H2:H33" si="0">-((G2-F2)/(G2))*100</f>
        <v>-89.275634995296329</v>
      </c>
      <c r="I2">
        <v>24.28513336358969</v>
      </c>
      <c r="J2">
        <v>0.32259518181796631</v>
      </c>
      <c r="K2" s="3">
        <f t="shared" ref="K2:K33" si="1">-((I2-J2)/(I2))*100</f>
        <v>-98.671635123480002</v>
      </c>
      <c r="L2">
        <v>32.443398484359129</v>
      </c>
      <c r="M2">
        <v>0.43096671021564992</v>
      </c>
      <c r="N2" s="3">
        <f t="shared" ref="N2:N33" si="2">-((L2-M2)/(L2))*100</f>
        <v>-98.671635123480002</v>
      </c>
      <c r="O2">
        <v>-1.1479999999999999</v>
      </c>
      <c r="P2">
        <v>-2.4540000000000002</v>
      </c>
      <c r="Q2" s="3">
        <f t="shared" ref="Q2:Q33" si="3">-((P2-O2)/(P2))*100</f>
        <v>-53.219233903830485</v>
      </c>
      <c r="R2">
        <v>81.5</v>
      </c>
      <c r="S2">
        <v>800</v>
      </c>
    </row>
    <row r="3" spans="1:20" x14ac:dyDescent="0.35">
      <c r="A3" t="s">
        <v>113</v>
      </c>
      <c r="B3" t="s">
        <v>116</v>
      </c>
      <c r="C3" t="s">
        <v>117</v>
      </c>
      <c r="D3" t="s">
        <v>20</v>
      </c>
      <c r="E3" t="s">
        <v>11</v>
      </c>
      <c r="F3">
        <v>-8.1000000000000003E-2</v>
      </c>
      <c r="G3">
        <v>-0.41799999999999998</v>
      </c>
      <c r="H3" s="3">
        <f t="shared" si="0"/>
        <v>-80.62200956937798</v>
      </c>
      <c r="I3">
        <v>33.80793248201006</v>
      </c>
      <c r="J3">
        <v>26.093237811790019</v>
      </c>
      <c r="K3" s="3">
        <f t="shared" si="1"/>
        <v>-22.819185036899842</v>
      </c>
      <c r="L3">
        <v>44.660746713126102</v>
      </c>
      <c r="M3">
        <v>34.469528281796691</v>
      </c>
      <c r="N3" s="3">
        <f t="shared" si="2"/>
        <v>-22.819185036899846</v>
      </c>
      <c r="O3">
        <v>-0.13400000000000001</v>
      </c>
      <c r="P3">
        <v>-1.96</v>
      </c>
      <c r="Q3" s="3">
        <f t="shared" si="3"/>
        <v>-93.163265306122454</v>
      </c>
      <c r="R3">
        <v>73</v>
      </c>
      <c r="S3">
        <v>794</v>
      </c>
    </row>
    <row r="4" spans="1:20" x14ac:dyDescent="0.35">
      <c r="A4" t="s">
        <v>113</v>
      </c>
      <c r="B4" t="s">
        <v>118</v>
      </c>
      <c r="C4" t="s">
        <v>119</v>
      </c>
      <c r="D4" t="s">
        <v>24</v>
      </c>
      <c r="E4" t="s">
        <v>11</v>
      </c>
      <c r="F4">
        <v>-0.54800000000000004</v>
      </c>
      <c r="G4">
        <v>-2.4510000000000001</v>
      </c>
      <c r="H4" s="3">
        <f t="shared" si="0"/>
        <v>-77.641778865769069</v>
      </c>
      <c r="I4">
        <v>14.72792857965924</v>
      </c>
      <c r="J4">
        <v>2.4000945299734751</v>
      </c>
      <c r="K4" s="3">
        <f t="shared" si="1"/>
        <v>-83.703787555785354</v>
      </c>
      <c r="L4">
        <v>29.315144465882248</v>
      </c>
      <c r="M4">
        <v>4.7772582204886067</v>
      </c>
      <c r="N4" s="3">
        <f t="shared" si="2"/>
        <v>-83.703787555785354</v>
      </c>
      <c r="O4">
        <v>-0.69400000000000006</v>
      </c>
      <c r="P4">
        <v>-2.6829999999999998</v>
      </c>
      <c r="Q4" s="3">
        <f t="shared" si="3"/>
        <v>-74.133432724562056</v>
      </c>
      <c r="R4">
        <v>77.099999999999994</v>
      </c>
      <c r="S4">
        <v>720</v>
      </c>
    </row>
    <row r="5" spans="1:20" x14ac:dyDescent="0.35">
      <c r="A5" t="s">
        <v>113</v>
      </c>
      <c r="B5" t="s">
        <v>120</v>
      </c>
      <c r="C5" t="s">
        <v>121</v>
      </c>
      <c r="D5" t="s">
        <v>22</v>
      </c>
      <c r="E5" t="s">
        <v>11</v>
      </c>
      <c r="F5">
        <v>-0.38800000000000001</v>
      </c>
      <c r="G5">
        <v>-2.9209999999999998</v>
      </c>
      <c r="H5" s="3">
        <f t="shared" si="0"/>
        <v>-86.716877781581644</v>
      </c>
      <c r="I5">
        <v>2.7191033337813342</v>
      </c>
      <c r="J5">
        <v>1.133222380978621</v>
      </c>
      <c r="K5" s="3">
        <f t="shared" si="1"/>
        <v>-58.323673583868555</v>
      </c>
      <c r="L5">
        <v>12.934074178276861</v>
      </c>
      <c r="M5">
        <v>5.390446973443237</v>
      </c>
      <c r="N5" s="3">
        <f t="shared" si="2"/>
        <v>-58.323673583868541</v>
      </c>
      <c r="O5">
        <v>-0.36799999999999999</v>
      </c>
      <c r="P5">
        <v>-4.1229999999999993</v>
      </c>
      <c r="Q5" s="3">
        <f t="shared" si="3"/>
        <v>-91.074460344409417</v>
      </c>
      <c r="R5">
        <v>12.1</v>
      </c>
      <c r="S5">
        <v>290</v>
      </c>
    </row>
    <row r="6" spans="1:20" x14ac:dyDescent="0.35">
      <c r="A6" t="s">
        <v>113</v>
      </c>
      <c r="B6" t="s">
        <v>120</v>
      </c>
      <c r="C6" t="s">
        <v>122</v>
      </c>
      <c r="D6" t="s">
        <v>81</v>
      </c>
      <c r="E6" t="s">
        <v>11</v>
      </c>
      <c r="F6">
        <v>-0.56900000000000006</v>
      </c>
      <c r="G6">
        <v>-1.802</v>
      </c>
      <c r="H6" s="3">
        <f t="shared" si="0"/>
        <v>-68.423973362930084</v>
      </c>
      <c r="I6">
        <v>0.21656837185173899</v>
      </c>
      <c r="J6">
        <v>1.9271487752110371E-2</v>
      </c>
      <c r="K6" s="3">
        <f t="shared" si="1"/>
        <v>-91.101430191614739</v>
      </c>
      <c r="L6">
        <v>2.9463376932403511</v>
      </c>
      <c r="M6">
        <v>0.26218191642376049</v>
      </c>
      <c r="N6" s="3">
        <f t="shared" si="2"/>
        <v>-91.101430191614739</v>
      </c>
      <c r="O6">
        <v>-1.319</v>
      </c>
      <c r="P6">
        <v>-3.1560000000000001</v>
      </c>
      <c r="Q6" s="3">
        <f t="shared" si="3"/>
        <v>-58.20659062103929</v>
      </c>
      <c r="R6">
        <v>27</v>
      </c>
      <c r="S6">
        <v>244</v>
      </c>
    </row>
    <row r="7" spans="1:20" x14ac:dyDescent="0.35">
      <c r="A7" t="s">
        <v>113</v>
      </c>
      <c r="B7" t="s">
        <v>123</v>
      </c>
      <c r="C7" t="s">
        <v>124</v>
      </c>
      <c r="D7" t="s">
        <v>53</v>
      </c>
      <c r="E7" t="s">
        <v>11</v>
      </c>
      <c r="F7">
        <v>-0.38200000000000001</v>
      </c>
      <c r="G7">
        <v>-0.79800000000000004</v>
      </c>
      <c r="H7" s="3">
        <f t="shared" si="0"/>
        <v>-52.130325814536334</v>
      </c>
      <c r="I7">
        <v>8.8232378090282992</v>
      </c>
      <c r="J7">
        <v>0.3202493349770939</v>
      </c>
      <c r="K7" s="3">
        <f t="shared" si="1"/>
        <v>-96.370387584369524</v>
      </c>
      <c r="L7">
        <v>10.35196726664099</v>
      </c>
      <c r="M7">
        <v>0.3757362891720048</v>
      </c>
      <c r="N7" s="3">
        <f t="shared" si="2"/>
        <v>-96.37038758436951</v>
      </c>
      <c r="O7">
        <v>-0.54600000000000004</v>
      </c>
      <c r="P7">
        <v>-0.8869999999999999</v>
      </c>
      <c r="Q7" s="3">
        <f t="shared" si="3"/>
        <v>-38.44419391206312</v>
      </c>
      <c r="R7">
        <v>128</v>
      </c>
      <c r="S7">
        <v>930</v>
      </c>
    </row>
    <row r="8" spans="1:20" x14ac:dyDescent="0.35">
      <c r="A8" t="s">
        <v>113</v>
      </c>
      <c r="B8" t="s">
        <v>125</v>
      </c>
      <c r="C8" t="s">
        <v>126</v>
      </c>
      <c r="D8" t="s">
        <v>107</v>
      </c>
      <c r="E8" t="s">
        <v>11</v>
      </c>
      <c r="F8">
        <v>-0.49099999999999999</v>
      </c>
      <c r="G8">
        <v>-1.024</v>
      </c>
      <c r="H8" s="3">
        <f t="shared" si="0"/>
        <v>-52.05078125</v>
      </c>
      <c r="I8">
        <v>6.4089517256280839</v>
      </c>
      <c r="J8">
        <v>1.4458089132485681</v>
      </c>
      <c r="K8" s="3">
        <f t="shared" si="1"/>
        <v>-77.440789459108032</v>
      </c>
      <c r="L8">
        <v>14.4756298555781</v>
      </c>
      <c r="M8">
        <v>3.2655878162400769</v>
      </c>
      <c r="N8" s="3">
        <f t="shared" si="2"/>
        <v>-77.440789459108046</v>
      </c>
      <c r="O8">
        <v>-0.78300000000000003</v>
      </c>
      <c r="P8">
        <v>-1.665</v>
      </c>
      <c r="Q8" s="3">
        <f t="shared" si="3"/>
        <v>-52.972972972972975</v>
      </c>
      <c r="R8">
        <v>56.6</v>
      </c>
      <c r="S8">
        <v>445</v>
      </c>
    </row>
    <row r="9" spans="1:20" x14ac:dyDescent="0.35">
      <c r="A9" t="s">
        <v>113</v>
      </c>
      <c r="B9" t="s">
        <v>125</v>
      </c>
      <c r="C9" t="s">
        <v>127</v>
      </c>
      <c r="D9" t="s">
        <v>104</v>
      </c>
      <c r="E9" t="s">
        <v>11</v>
      </c>
      <c r="F9">
        <v>-0.36499999999999999</v>
      </c>
      <c r="G9">
        <v>-2.7229999999999999</v>
      </c>
      <c r="H9" s="3">
        <f t="shared" si="0"/>
        <v>-86.595666544252651</v>
      </c>
      <c r="I9">
        <v>14.7232810714646</v>
      </c>
      <c r="J9">
        <v>0.50443569022523838</v>
      </c>
      <c r="K9" s="3">
        <f t="shared" si="1"/>
        <v>-96.573890780344527</v>
      </c>
      <c r="L9">
        <v>26.644711644573761</v>
      </c>
      <c r="M9">
        <v>0.91287692220535777</v>
      </c>
      <c r="N9" s="3">
        <f t="shared" si="2"/>
        <v>-96.573890780344527</v>
      </c>
      <c r="O9">
        <v>-0.80399999999999994</v>
      </c>
      <c r="P9">
        <v>-2.984</v>
      </c>
      <c r="Q9" s="3">
        <f t="shared" si="3"/>
        <v>-73.056300268096521</v>
      </c>
      <c r="R9">
        <v>74.8</v>
      </c>
      <c r="S9">
        <v>670</v>
      </c>
    </row>
    <row r="10" spans="1:20" x14ac:dyDescent="0.35">
      <c r="A10" t="s">
        <v>113</v>
      </c>
      <c r="B10" t="s">
        <v>125</v>
      </c>
      <c r="C10" t="s">
        <v>128</v>
      </c>
      <c r="D10" t="s">
        <v>95</v>
      </c>
      <c r="E10" t="s">
        <v>11</v>
      </c>
      <c r="F10">
        <v>-0.312</v>
      </c>
      <c r="G10">
        <v>-2.5190000000000001</v>
      </c>
      <c r="H10" s="3">
        <f t="shared" si="0"/>
        <v>-87.614132592298546</v>
      </c>
      <c r="I10">
        <v>11.798363841274689</v>
      </c>
      <c r="J10">
        <v>0.2404952968648475</v>
      </c>
      <c r="K10" s="3">
        <f t="shared" si="1"/>
        <v>-97.961621627369112</v>
      </c>
      <c r="L10">
        <v>26.366848568268061</v>
      </c>
      <c r="M10">
        <v>0.53745613875991594</v>
      </c>
      <c r="N10" s="3">
        <f t="shared" si="2"/>
        <v>-97.961621627369112</v>
      </c>
      <c r="O10">
        <v>-0.753</v>
      </c>
      <c r="P10">
        <v>-2.8340000000000001</v>
      </c>
      <c r="Q10" s="3">
        <f t="shared" si="3"/>
        <v>-73.429781227946364</v>
      </c>
      <c r="R10">
        <v>70.599999999999994</v>
      </c>
      <c r="S10">
        <v>700</v>
      </c>
    </row>
    <row r="11" spans="1:20" x14ac:dyDescent="0.35">
      <c r="A11" t="s">
        <v>113</v>
      </c>
      <c r="B11" t="s">
        <v>129</v>
      </c>
      <c r="C11" t="s">
        <v>130</v>
      </c>
      <c r="D11" t="s">
        <v>106</v>
      </c>
      <c r="E11" t="s">
        <v>13</v>
      </c>
      <c r="F11">
        <v>-0.39200000000000002</v>
      </c>
      <c r="G11">
        <v>-2.1230000000000002</v>
      </c>
      <c r="H11" s="3">
        <f t="shared" si="0"/>
        <v>-81.535562882713151</v>
      </c>
      <c r="I11">
        <v>0.9504775333962624</v>
      </c>
      <c r="J11">
        <v>3.9669333620632949E-3</v>
      </c>
      <c r="K11" s="3">
        <f t="shared" si="1"/>
        <v>-99.582637861213968</v>
      </c>
      <c r="L11">
        <v>8.211258989802614</v>
      </c>
      <c r="M11">
        <v>3.4270686141099932E-2</v>
      </c>
      <c r="N11" s="3">
        <f t="shared" si="2"/>
        <v>-99.582637861213968</v>
      </c>
      <c r="O11">
        <v>-1.208</v>
      </c>
      <c r="P11">
        <v>-2.448</v>
      </c>
      <c r="Q11" s="3">
        <f t="shared" si="3"/>
        <v>-50.653594771241828</v>
      </c>
      <c r="R11">
        <v>31</v>
      </c>
      <c r="S11">
        <v>390</v>
      </c>
    </row>
    <row r="12" spans="1:20" x14ac:dyDescent="0.35">
      <c r="A12" t="s">
        <v>113</v>
      </c>
      <c r="B12" t="s">
        <v>131</v>
      </c>
      <c r="C12" t="s">
        <v>132</v>
      </c>
      <c r="D12" t="s">
        <v>65</v>
      </c>
      <c r="E12" t="s">
        <v>11</v>
      </c>
      <c r="F12">
        <v>-0.46899999999999997</v>
      </c>
      <c r="G12">
        <v>-1.8260000000000001</v>
      </c>
      <c r="H12" s="3">
        <f t="shared" si="0"/>
        <v>-74.315443592552029</v>
      </c>
      <c r="I12">
        <v>26.274590484381971</v>
      </c>
      <c r="J12">
        <v>7.8167602166667054</v>
      </c>
      <c r="K12" s="3">
        <f t="shared" si="1"/>
        <v>-70.249735304863805</v>
      </c>
      <c r="L12">
        <v>19.355963453958449</v>
      </c>
      <c r="M12">
        <v>5.7584503618464664</v>
      </c>
      <c r="N12" s="3">
        <f t="shared" si="2"/>
        <v>-70.24973530486379</v>
      </c>
      <c r="O12">
        <v>-0.88400000000000001</v>
      </c>
      <c r="P12">
        <v>-2.7240000000000002</v>
      </c>
      <c r="Q12" s="3">
        <f t="shared" si="3"/>
        <v>-67.547723935389143</v>
      </c>
      <c r="R12">
        <v>136.30000000000001</v>
      </c>
      <c r="S12">
        <v>832</v>
      </c>
    </row>
    <row r="13" spans="1:20" x14ac:dyDescent="0.35">
      <c r="A13" t="s">
        <v>113</v>
      </c>
      <c r="B13" t="s">
        <v>133</v>
      </c>
      <c r="C13" t="s">
        <v>134</v>
      </c>
      <c r="D13" t="s">
        <v>45</v>
      </c>
      <c r="E13" t="s">
        <v>11</v>
      </c>
      <c r="F13">
        <v>-0.52699999999999991</v>
      </c>
      <c r="G13">
        <v>-2.714</v>
      </c>
      <c r="H13" s="3">
        <f t="shared" si="0"/>
        <v>-80.582166543846739</v>
      </c>
      <c r="I13">
        <v>29.673565322247949</v>
      </c>
      <c r="J13">
        <v>11.535680540847389</v>
      </c>
      <c r="K13" s="3">
        <f t="shared" si="1"/>
        <v>-61.124723586220227</v>
      </c>
      <c r="L13">
        <v>42.82590062906975</v>
      </c>
      <c r="M13">
        <v>16.648687246241519</v>
      </c>
      <c r="N13" s="3">
        <f t="shared" si="2"/>
        <v>-61.12472358622022</v>
      </c>
      <c r="O13">
        <v>-1.593</v>
      </c>
      <c r="P13">
        <v>-3.6890000000000001</v>
      </c>
      <c r="Q13" s="3">
        <f t="shared" si="3"/>
        <v>-56.817565735971812</v>
      </c>
      <c r="R13">
        <v>79.7</v>
      </c>
      <c r="S13">
        <v>858</v>
      </c>
    </row>
    <row r="14" spans="1:20" x14ac:dyDescent="0.35">
      <c r="A14" t="s">
        <v>113</v>
      </c>
      <c r="B14" t="s">
        <v>135</v>
      </c>
      <c r="C14" t="s">
        <v>136</v>
      </c>
      <c r="D14" t="s">
        <v>93</v>
      </c>
      <c r="E14" t="s">
        <v>11</v>
      </c>
      <c r="F14">
        <v>-0.497</v>
      </c>
      <c r="G14">
        <v>-1.6759999999999999</v>
      </c>
      <c r="H14" s="3">
        <f t="shared" si="0"/>
        <v>-70.346062052505971</v>
      </c>
      <c r="I14">
        <v>4.1886686031923768</v>
      </c>
      <c r="J14">
        <v>2.2840230539759289E-2</v>
      </c>
      <c r="K14" s="3">
        <f t="shared" si="1"/>
        <v>-99.454713831446313</v>
      </c>
      <c r="L14">
        <v>15.88910606476442</v>
      </c>
      <c r="M14">
        <v>8.6641097677986695E-2</v>
      </c>
      <c r="N14" s="3">
        <f t="shared" si="2"/>
        <v>-99.454713831446313</v>
      </c>
      <c r="O14">
        <v>-1.456</v>
      </c>
      <c r="P14">
        <v>-2.754</v>
      </c>
      <c r="Q14" s="3">
        <f t="shared" si="3"/>
        <v>-47.131445170660854</v>
      </c>
      <c r="R14">
        <v>51.9</v>
      </c>
      <c r="S14">
        <v>645</v>
      </c>
    </row>
    <row r="15" spans="1:20" x14ac:dyDescent="0.35">
      <c r="A15" t="s">
        <v>113</v>
      </c>
      <c r="B15" t="s">
        <v>137</v>
      </c>
      <c r="C15" t="s">
        <v>138</v>
      </c>
      <c r="D15" t="s">
        <v>60</v>
      </c>
      <c r="E15" t="s">
        <v>11</v>
      </c>
      <c r="F15">
        <v>-0.42199999999999999</v>
      </c>
      <c r="G15">
        <v>-1.1870000000000001</v>
      </c>
      <c r="H15" s="3">
        <f t="shared" si="0"/>
        <v>-64.448188711036238</v>
      </c>
      <c r="I15">
        <v>7.6273882041696481</v>
      </c>
      <c r="J15">
        <v>0.1139917018661675</v>
      </c>
      <c r="K15" s="3">
        <f t="shared" si="1"/>
        <v>-98.505494950370405</v>
      </c>
      <c r="L15">
        <v>12.170742678949569</v>
      </c>
      <c r="M15">
        <v>0.18189236391432559</v>
      </c>
      <c r="N15" s="3">
        <f t="shared" si="2"/>
        <v>-98.505494950370405</v>
      </c>
      <c r="O15">
        <v>-0.84600000000000009</v>
      </c>
      <c r="P15">
        <v>-1.5669999999999999</v>
      </c>
      <c r="Q15" s="3">
        <f t="shared" si="3"/>
        <v>-46.011486917677082</v>
      </c>
      <c r="R15">
        <v>90</v>
      </c>
      <c r="S15">
        <v>735</v>
      </c>
    </row>
    <row r="16" spans="1:20" x14ac:dyDescent="0.35">
      <c r="A16" t="s">
        <v>113</v>
      </c>
      <c r="B16" t="s">
        <v>139</v>
      </c>
      <c r="C16" t="s">
        <v>140</v>
      </c>
      <c r="D16" t="s">
        <v>103</v>
      </c>
      <c r="E16" t="s">
        <v>11</v>
      </c>
      <c r="F16">
        <v>-0.40799999999999997</v>
      </c>
      <c r="G16">
        <v>-2.6230000000000002</v>
      </c>
      <c r="H16" s="3">
        <f t="shared" si="0"/>
        <v>-84.445291650781556</v>
      </c>
      <c r="I16">
        <v>1.2843977411552581</v>
      </c>
      <c r="J16">
        <v>1.1463969467660999E-2</v>
      </c>
      <c r="K16" s="3">
        <f t="shared" si="1"/>
        <v>-99.107443971573034</v>
      </c>
      <c r="L16">
        <v>14.03792257628843</v>
      </c>
      <c r="M16">
        <v>0.1252963242205721</v>
      </c>
      <c r="N16" s="3">
        <f t="shared" si="2"/>
        <v>-99.107443971573034</v>
      </c>
      <c r="O16">
        <v>-1.2050000000000001</v>
      </c>
      <c r="P16">
        <v>-2.7679999999999998</v>
      </c>
      <c r="Q16" s="3">
        <f t="shared" si="3"/>
        <v>-56.466763005780344</v>
      </c>
      <c r="R16">
        <v>20</v>
      </c>
      <c r="S16">
        <v>384</v>
      </c>
    </row>
    <row r="17" spans="1:19" x14ac:dyDescent="0.35">
      <c r="A17" t="s">
        <v>113</v>
      </c>
      <c r="B17" t="s">
        <v>139</v>
      </c>
      <c r="C17" t="s">
        <v>141</v>
      </c>
      <c r="D17" t="s">
        <v>90</v>
      </c>
      <c r="E17" t="s">
        <v>11</v>
      </c>
      <c r="F17">
        <v>-0.13500000000000001</v>
      </c>
      <c r="G17">
        <v>-2.319</v>
      </c>
      <c r="H17" s="3">
        <f t="shared" si="0"/>
        <v>-94.17852522639069</v>
      </c>
      <c r="I17">
        <v>1.053847640548178</v>
      </c>
      <c r="J17">
        <v>0.45480969436497037</v>
      </c>
      <c r="K17" s="3">
        <f t="shared" si="1"/>
        <v>-56.842936600551397</v>
      </c>
      <c r="L17">
        <v>16.58607516979513</v>
      </c>
      <c r="M17">
        <v>7.1580629765086874</v>
      </c>
      <c r="N17" s="3">
        <f t="shared" si="2"/>
        <v>-56.842936600551383</v>
      </c>
      <c r="O17">
        <v>-0.63100000000000001</v>
      </c>
      <c r="P17">
        <v>-2.6459999999999999</v>
      </c>
      <c r="Q17" s="3">
        <f t="shared" si="3"/>
        <v>-76.152683295540427</v>
      </c>
      <c r="R17">
        <v>24.6</v>
      </c>
      <c r="S17">
        <v>490</v>
      </c>
    </row>
    <row r="18" spans="1:19" x14ac:dyDescent="0.35">
      <c r="A18" t="s">
        <v>142</v>
      </c>
      <c r="B18" t="s">
        <v>143</v>
      </c>
      <c r="C18" t="s">
        <v>115</v>
      </c>
      <c r="D18" t="s">
        <v>17</v>
      </c>
      <c r="E18" t="s">
        <v>11</v>
      </c>
      <c r="F18">
        <v>-0.11600000000000001</v>
      </c>
      <c r="G18">
        <v>-2.3359999999999999</v>
      </c>
      <c r="H18" s="3">
        <f t="shared" si="0"/>
        <v>-95.034246575342465</v>
      </c>
      <c r="I18">
        <v>11.26709078611114</v>
      </c>
      <c r="J18">
        <v>1.1741631166803379</v>
      </c>
      <c r="K18" s="3">
        <f t="shared" si="1"/>
        <v>-89.578826167552322</v>
      </c>
      <c r="L18">
        <v>22.795455503716919</v>
      </c>
      <c r="M18">
        <v>2.3755540439406042</v>
      </c>
      <c r="N18" s="3">
        <f t="shared" si="2"/>
        <v>-89.578826167552322</v>
      </c>
      <c r="O18">
        <v>-0.35799999999999998</v>
      </c>
      <c r="P18">
        <v>-3.2749999999999999</v>
      </c>
      <c r="Q18" s="3">
        <f t="shared" si="3"/>
        <v>-89.068702290076331</v>
      </c>
      <c r="R18">
        <v>63.2</v>
      </c>
      <c r="S18">
        <v>602</v>
      </c>
    </row>
    <row r="19" spans="1:19" x14ac:dyDescent="0.35">
      <c r="A19" t="s">
        <v>142</v>
      </c>
      <c r="B19" t="s">
        <v>143</v>
      </c>
      <c r="C19" t="s">
        <v>130</v>
      </c>
      <c r="D19" t="s">
        <v>26</v>
      </c>
      <c r="E19" t="s">
        <v>11</v>
      </c>
      <c r="F19">
        <v>-0.29499999999999998</v>
      </c>
      <c r="G19">
        <v>-2.5230000000000001</v>
      </c>
      <c r="H19" s="3">
        <f t="shared" si="0"/>
        <v>-88.307570352754666</v>
      </c>
      <c r="I19">
        <v>17.35395063089252</v>
      </c>
      <c r="J19">
        <v>0.4050119426978826</v>
      </c>
      <c r="K19" s="3">
        <f t="shared" si="1"/>
        <v>-97.666168636109276</v>
      </c>
      <c r="L19">
        <v>33.694472609120517</v>
      </c>
      <c r="M19">
        <v>0.78637216964922541</v>
      </c>
      <c r="N19" s="3">
        <f t="shared" si="2"/>
        <v>-97.666168636109276</v>
      </c>
      <c r="O19">
        <v>-0.748</v>
      </c>
      <c r="P19">
        <v>-3.6120000000000001</v>
      </c>
      <c r="Q19" s="3">
        <f t="shared" si="3"/>
        <v>-79.291251384274631</v>
      </c>
      <c r="R19">
        <v>73.400000000000006</v>
      </c>
      <c r="S19">
        <v>670</v>
      </c>
    </row>
    <row r="20" spans="1:19" x14ac:dyDescent="0.35">
      <c r="A20" t="s">
        <v>142</v>
      </c>
      <c r="B20" t="s">
        <v>114</v>
      </c>
      <c r="C20" t="s">
        <v>144</v>
      </c>
      <c r="D20" t="s">
        <v>68</v>
      </c>
      <c r="E20" t="s">
        <v>11</v>
      </c>
      <c r="F20">
        <v>-0.47099999999999997</v>
      </c>
      <c r="G20">
        <v>-2.7040000000000002</v>
      </c>
      <c r="H20" s="3">
        <f t="shared" si="0"/>
        <v>-82.581360946745562</v>
      </c>
      <c r="I20">
        <v>16.6080435372523</v>
      </c>
      <c r="J20">
        <v>4.1987549656388614</v>
      </c>
      <c r="K20" s="3">
        <f t="shared" si="1"/>
        <v>-74.718545527527439</v>
      </c>
      <c r="L20">
        <v>34.552551700324912</v>
      </c>
      <c r="M20">
        <v>8.7353876271951822</v>
      </c>
      <c r="N20" s="3">
        <f t="shared" si="2"/>
        <v>-74.718545527527453</v>
      </c>
      <c r="O20">
        <v>-0.56699999999999995</v>
      </c>
      <c r="P20">
        <v>-3.323</v>
      </c>
      <c r="Q20" s="3">
        <f t="shared" si="3"/>
        <v>-82.937105025579299</v>
      </c>
      <c r="R20">
        <v>62.2</v>
      </c>
      <c r="S20">
        <v>560</v>
      </c>
    </row>
    <row r="21" spans="1:19" x14ac:dyDescent="0.35">
      <c r="A21" t="s">
        <v>142</v>
      </c>
      <c r="B21" t="s">
        <v>116</v>
      </c>
      <c r="C21" t="s">
        <v>145</v>
      </c>
      <c r="D21" t="s">
        <v>63</v>
      </c>
      <c r="E21" t="s">
        <v>11</v>
      </c>
      <c r="F21">
        <v>-0.14899999999999999</v>
      </c>
      <c r="G21">
        <v>-0.32300000000000001</v>
      </c>
      <c r="H21" s="3">
        <f t="shared" si="0"/>
        <v>-53.869969040247682</v>
      </c>
      <c r="I21">
        <v>22.390501361909902</v>
      </c>
      <c r="J21">
        <v>9.7621226748523178</v>
      </c>
      <c r="K21" s="3">
        <f t="shared" si="1"/>
        <v>-56.40060703839633</v>
      </c>
      <c r="L21">
        <v>34.255350477730524</v>
      </c>
      <c r="M21">
        <v>14.93512486516031</v>
      </c>
      <c r="N21" s="3">
        <f t="shared" si="2"/>
        <v>-56.40060703839633</v>
      </c>
      <c r="O21">
        <v>-0.34799999999999998</v>
      </c>
      <c r="P21">
        <v>-3.605</v>
      </c>
      <c r="Q21" s="3">
        <f t="shared" si="3"/>
        <v>-90.346740638002771</v>
      </c>
      <c r="R21">
        <v>83.6</v>
      </c>
      <c r="S21">
        <v>660</v>
      </c>
    </row>
    <row r="22" spans="1:19" x14ac:dyDescent="0.35">
      <c r="A22" t="s">
        <v>142</v>
      </c>
      <c r="B22" t="s">
        <v>116</v>
      </c>
      <c r="C22" t="s">
        <v>136</v>
      </c>
      <c r="D22" t="s">
        <v>55</v>
      </c>
      <c r="E22" t="s">
        <v>11</v>
      </c>
      <c r="F22">
        <v>-0.153</v>
      </c>
      <c r="G22">
        <v>-0.90100000000000002</v>
      </c>
      <c r="H22" s="3">
        <f t="shared" si="0"/>
        <v>-83.018867924528294</v>
      </c>
      <c r="I22">
        <v>23.26456054951446</v>
      </c>
      <c r="J22">
        <v>1.241840071127849</v>
      </c>
      <c r="K22" s="3">
        <f t="shared" si="1"/>
        <v>-94.662095299480015</v>
      </c>
      <c r="L22">
        <v>36.874369982071947</v>
      </c>
      <c r="M22">
        <v>1.968318728560146</v>
      </c>
      <c r="N22" s="3">
        <f t="shared" si="2"/>
        <v>-94.662095299480015</v>
      </c>
      <c r="O22">
        <v>-0.20300000000000001</v>
      </c>
      <c r="P22">
        <v>-1.923</v>
      </c>
      <c r="Q22" s="3">
        <f t="shared" si="3"/>
        <v>-89.443577743109728</v>
      </c>
      <c r="R22">
        <v>64.5</v>
      </c>
      <c r="S22">
        <v>700</v>
      </c>
    </row>
    <row r="23" spans="1:19" x14ac:dyDescent="0.35">
      <c r="A23" t="s">
        <v>142</v>
      </c>
      <c r="B23" t="s">
        <v>118</v>
      </c>
      <c r="C23" t="s">
        <v>146</v>
      </c>
      <c r="D23" t="s">
        <v>74</v>
      </c>
      <c r="E23" t="s">
        <v>11</v>
      </c>
      <c r="F23">
        <v>-0.371</v>
      </c>
      <c r="G23">
        <v>-3.2450000000000001</v>
      </c>
      <c r="H23" s="3">
        <f t="shared" si="0"/>
        <v>-88.567026194144844</v>
      </c>
      <c r="I23">
        <v>9.829588260812681</v>
      </c>
      <c r="J23">
        <v>0.89800674369606104</v>
      </c>
      <c r="K23" s="3">
        <f t="shared" si="1"/>
        <v>-90.864248635152734</v>
      </c>
      <c r="L23">
        <v>20.634348181997741</v>
      </c>
      <c r="M23">
        <v>1.885102745664196</v>
      </c>
      <c r="N23" s="3">
        <f t="shared" si="2"/>
        <v>-90.864248635152734</v>
      </c>
      <c r="O23">
        <v>-0.96400000000000008</v>
      </c>
      <c r="P23">
        <v>-5.3340000000000014</v>
      </c>
      <c r="Q23" s="3">
        <f t="shared" si="3"/>
        <v>-81.927259092613426</v>
      </c>
      <c r="R23">
        <v>74.8</v>
      </c>
      <c r="S23">
        <v>661</v>
      </c>
    </row>
    <row r="24" spans="1:19" x14ac:dyDescent="0.35">
      <c r="A24" t="s">
        <v>142</v>
      </c>
      <c r="B24" t="s">
        <v>123</v>
      </c>
      <c r="C24" t="s">
        <v>147</v>
      </c>
      <c r="D24" t="s">
        <v>51</v>
      </c>
      <c r="E24" t="s">
        <v>11</v>
      </c>
      <c r="F24">
        <v>-0.44600000000000001</v>
      </c>
      <c r="G24">
        <v>-1.167</v>
      </c>
      <c r="H24" s="3">
        <f t="shared" si="0"/>
        <v>-61.782347900599831</v>
      </c>
      <c r="I24">
        <v>11.232437647012951</v>
      </c>
      <c r="J24">
        <v>0</v>
      </c>
      <c r="K24" s="3">
        <f t="shared" si="1"/>
        <v>-100</v>
      </c>
      <c r="L24">
        <v>20.62122006098307</v>
      </c>
      <c r="M24">
        <v>0</v>
      </c>
      <c r="N24" s="3">
        <f t="shared" si="2"/>
        <v>-100</v>
      </c>
      <c r="O24">
        <v>-0.43200000000000011</v>
      </c>
      <c r="P24">
        <v>-1.1060000000000001</v>
      </c>
      <c r="Q24" s="3">
        <f t="shared" si="3"/>
        <v>-60.940325497287503</v>
      </c>
      <c r="R24">
        <v>57.9</v>
      </c>
      <c r="S24">
        <v>680</v>
      </c>
    </row>
    <row r="25" spans="1:19" x14ac:dyDescent="0.35">
      <c r="A25" t="s">
        <v>142</v>
      </c>
      <c r="B25" t="s">
        <v>123</v>
      </c>
      <c r="C25" t="s">
        <v>148</v>
      </c>
      <c r="D25" t="s">
        <v>48</v>
      </c>
      <c r="E25" t="s">
        <v>11</v>
      </c>
      <c r="F25">
        <v>-0.501</v>
      </c>
      <c r="G25">
        <v>-1.024</v>
      </c>
      <c r="H25" s="3">
        <f t="shared" si="0"/>
        <v>-51.07421875</v>
      </c>
      <c r="I25">
        <v>5.4661610760657018</v>
      </c>
      <c r="J25">
        <v>1.1679024393303981</v>
      </c>
      <c r="K25" s="3">
        <f t="shared" si="1"/>
        <v>-78.633954925986146</v>
      </c>
      <c r="L25">
        <v>10.8665103006454</v>
      </c>
      <c r="M25">
        <v>2.321743488808254</v>
      </c>
      <c r="N25" s="3">
        <f t="shared" si="2"/>
        <v>-78.633954925986146</v>
      </c>
      <c r="O25">
        <v>-0.51600000000000001</v>
      </c>
      <c r="P25">
        <v>-0.99600000000000011</v>
      </c>
      <c r="Q25" s="3">
        <f t="shared" si="3"/>
        <v>-48.192771084337352</v>
      </c>
      <c r="R25">
        <v>86.4</v>
      </c>
      <c r="S25">
        <v>632</v>
      </c>
    </row>
    <row r="26" spans="1:19" x14ac:dyDescent="0.35">
      <c r="A26" t="s">
        <v>142</v>
      </c>
      <c r="B26" t="s">
        <v>125</v>
      </c>
      <c r="C26" t="s">
        <v>127</v>
      </c>
      <c r="D26" t="s">
        <v>96</v>
      </c>
      <c r="E26" t="s">
        <v>11</v>
      </c>
      <c r="F26">
        <v>-0.80800000000000005</v>
      </c>
      <c r="G26">
        <v>-3.0230000000000001</v>
      </c>
      <c r="H26" s="3">
        <f t="shared" si="0"/>
        <v>-73.271584518690034</v>
      </c>
      <c r="I26">
        <v>1.799933656683707</v>
      </c>
      <c r="J26">
        <v>0.1024279585026035</v>
      </c>
      <c r="K26" s="3">
        <f t="shared" si="1"/>
        <v>-94.309348118345525</v>
      </c>
      <c r="L26">
        <v>9.9726279733713348</v>
      </c>
      <c r="M26">
        <v>0.56750754141705617</v>
      </c>
      <c r="N26" s="3">
        <f t="shared" si="2"/>
        <v>-94.309348118345525</v>
      </c>
      <c r="O26">
        <v>-1.3480000000000001</v>
      </c>
      <c r="P26">
        <v>-3.3650000000000002</v>
      </c>
      <c r="Q26" s="3">
        <f t="shared" si="3"/>
        <v>-59.940564635958403</v>
      </c>
      <c r="R26">
        <v>33.4</v>
      </c>
      <c r="S26">
        <v>340</v>
      </c>
    </row>
    <row r="27" spans="1:19" x14ac:dyDescent="0.35">
      <c r="A27" t="s">
        <v>142</v>
      </c>
      <c r="B27" t="s">
        <v>131</v>
      </c>
      <c r="C27" t="s">
        <v>134</v>
      </c>
      <c r="D27" t="s">
        <v>38</v>
      </c>
      <c r="E27" t="s">
        <v>11</v>
      </c>
      <c r="F27">
        <v>-0.34399999999999997</v>
      </c>
      <c r="G27">
        <v>-1.9650000000000001</v>
      </c>
      <c r="H27" s="3">
        <f t="shared" si="0"/>
        <v>-82.493638676844782</v>
      </c>
      <c r="I27">
        <v>83.896483059776742</v>
      </c>
      <c r="J27">
        <v>24.023304644585082</v>
      </c>
      <c r="K27" s="3">
        <f t="shared" si="1"/>
        <v>-71.365540284366475</v>
      </c>
      <c r="L27">
        <v>77.740690913819378</v>
      </c>
      <c r="M27">
        <v>22.260626822372782</v>
      </c>
      <c r="N27" s="3">
        <f t="shared" si="2"/>
        <v>-71.365540284366475</v>
      </c>
      <c r="O27">
        <v>-1.1639999999999999</v>
      </c>
      <c r="P27">
        <v>-2.5030000000000001</v>
      </c>
      <c r="Q27" s="3">
        <f t="shared" si="3"/>
        <v>-53.495805033959257</v>
      </c>
      <c r="R27">
        <v>99.7</v>
      </c>
      <c r="S27">
        <v>730</v>
      </c>
    </row>
    <row r="28" spans="1:19" x14ac:dyDescent="0.35">
      <c r="A28" t="s">
        <v>142</v>
      </c>
      <c r="B28" t="s">
        <v>133</v>
      </c>
      <c r="C28" t="s">
        <v>149</v>
      </c>
      <c r="D28" t="s">
        <v>75</v>
      </c>
      <c r="E28" t="s">
        <v>11</v>
      </c>
      <c r="F28">
        <v>-0.81400000000000006</v>
      </c>
      <c r="G28">
        <v>-3.423</v>
      </c>
      <c r="H28" s="3">
        <f t="shared" si="0"/>
        <v>-76.219690330119775</v>
      </c>
      <c r="I28">
        <v>6.3621706941222813</v>
      </c>
      <c r="J28">
        <v>3.6764040578366601</v>
      </c>
      <c r="K28" s="3">
        <f t="shared" si="1"/>
        <v>-42.21462713609489</v>
      </c>
      <c r="L28">
        <v>30.088528196241761</v>
      </c>
      <c r="M28">
        <v>17.386768207459522</v>
      </c>
      <c r="N28" s="3">
        <f t="shared" si="2"/>
        <v>-42.214627136094904</v>
      </c>
      <c r="O28">
        <v>-1.6479999999999999</v>
      </c>
      <c r="P28">
        <v>-4.4870000000000001</v>
      </c>
      <c r="Q28" s="3">
        <f t="shared" si="3"/>
        <v>-63.271673724091826</v>
      </c>
      <c r="R28">
        <v>44.9</v>
      </c>
      <c r="S28">
        <v>565</v>
      </c>
    </row>
    <row r="29" spans="1:19" x14ac:dyDescent="0.35">
      <c r="A29" t="s">
        <v>142</v>
      </c>
      <c r="B29" t="s">
        <v>135</v>
      </c>
      <c r="C29" t="s">
        <v>150</v>
      </c>
      <c r="D29" t="s">
        <v>10</v>
      </c>
      <c r="E29" t="s">
        <v>11</v>
      </c>
      <c r="F29">
        <v>-0.48699999999999999</v>
      </c>
      <c r="G29">
        <v>-2.375</v>
      </c>
      <c r="H29" s="3">
        <f t="shared" si="0"/>
        <v>-79.494736842105269</v>
      </c>
      <c r="I29">
        <v>20.381618809228829</v>
      </c>
      <c r="J29">
        <v>4.7656027476156781</v>
      </c>
      <c r="K29" s="3">
        <f t="shared" si="1"/>
        <v>-76.618134250171508</v>
      </c>
      <c r="L29">
        <v>30.775895371352039</v>
      </c>
      <c r="M29">
        <v>7.1959785390372151</v>
      </c>
      <c r="N29" s="3">
        <f t="shared" si="2"/>
        <v>-76.618134250171494</v>
      </c>
      <c r="O29">
        <v>-0.95600000000000007</v>
      </c>
      <c r="P29">
        <v>-2.6760000000000002</v>
      </c>
      <c r="Q29" s="3">
        <f t="shared" si="3"/>
        <v>-64.27503736920778</v>
      </c>
      <c r="R29">
        <v>77.599999999999994</v>
      </c>
    </row>
    <row r="30" spans="1:19" x14ac:dyDescent="0.35">
      <c r="A30" t="s">
        <v>142</v>
      </c>
      <c r="B30" t="s">
        <v>135</v>
      </c>
      <c r="C30" t="s">
        <v>151</v>
      </c>
      <c r="D30" t="s">
        <v>36</v>
      </c>
      <c r="E30" t="s">
        <v>11</v>
      </c>
      <c r="F30">
        <v>-0.34699999999999998</v>
      </c>
      <c r="G30">
        <v>-1.615</v>
      </c>
      <c r="H30" s="3">
        <f t="shared" si="0"/>
        <v>-78.513931888544903</v>
      </c>
      <c r="I30">
        <v>4.5981193714517072</v>
      </c>
      <c r="J30">
        <v>5.2402695763890311E-2</v>
      </c>
      <c r="K30" s="3">
        <f t="shared" si="1"/>
        <v>-98.860345033901424</v>
      </c>
      <c r="L30">
        <v>23.243587031586429</v>
      </c>
      <c r="M30">
        <v>0.26489669390492082</v>
      </c>
      <c r="N30" s="3">
        <f t="shared" si="2"/>
        <v>-98.860345033901424</v>
      </c>
      <c r="O30">
        <v>-1.518</v>
      </c>
      <c r="P30">
        <v>-2.6560000000000001</v>
      </c>
      <c r="Q30" s="3">
        <f t="shared" si="3"/>
        <v>-42.846385542168676</v>
      </c>
      <c r="R30">
        <v>39.1</v>
      </c>
      <c r="S30">
        <v>510</v>
      </c>
    </row>
    <row r="31" spans="1:19" x14ac:dyDescent="0.35">
      <c r="A31" t="s">
        <v>142</v>
      </c>
      <c r="B31" t="s">
        <v>137</v>
      </c>
      <c r="C31" t="s">
        <v>121</v>
      </c>
      <c r="D31" t="s">
        <v>44</v>
      </c>
      <c r="E31" t="s">
        <v>11</v>
      </c>
      <c r="F31">
        <v>-0.47499999999999998</v>
      </c>
      <c r="G31">
        <v>-1.0820000000000001</v>
      </c>
      <c r="H31" s="3">
        <f t="shared" si="0"/>
        <v>-56.099815157116453</v>
      </c>
      <c r="I31">
        <v>43.307843523969183</v>
      </c>
      <c r="J31">
        <v>2.0397716777924728</v>
      </c>
      <c r="K31" s="3">
        <f t="shared" si="1"/>
        <v>-95.290064081201507</v>
      </c>
      <c r="L31">
        <v>23.383766775796261</v>
      </c>
      <c r="M31">
        <v>1.101360430541297</v>
      </c>
      <c r="N31" s="3">
        <f t="shared" si="2"/>
        <v>-95.290064081201493</v>
      </c>
      <c r="O31">
        <v>-0.41299999999999998</v>
      </c>
      <c r="P31">
        <v>-1.254</v>
      </c>
      <c r="Q31" s="3">
        <f t="shared" si="3"/>
        <v>-67.065390749601278</v>
      </c>
      <c r="R31">
        <v>135</v>
      </c>
      <c r="S31">
        <v>770</v>
      </c>
    </row>
    <row r="32" spans="1:19" x14ac:dyDescent="0.35">
      <c r="A32" t="s">
        <v>142</v>
      </c>
      <c r="B32" t="s">
        <v>137</v>
      </c>
      <c r="C32" t="s">
        <v>152</v>
      </c>
      <c r="D32" t="s">
        <v>47</v>
      </c>
      <c r="E32" t="s">
        <v>11</v>
      </c>
      <c r="F32">
        <v>-0.51200000000000001</v>
      </c>
      <c r="G32">
        <v>-0.95600000000000007</v>
      </c>
      <c r="H32" s="3">
        <f t="shared" si="0"/>
        <v>-46.443514644351467</v>
      </c>
      <c r="I32">
        <v>34.421539318840161</v>
      </c>
      <c r="J32">
        <v>5.077488647865307</v>
      </c>
      <c r="K32" s="3">
        <f t="shared" si="1"/>
        <v>-85.249094757693726</v>
      </c>
      <c r="L32">
        <v>23.10880118243707</v>
      </c>
      <c r="M32">
        <v>3.4087573650542429</v>
      </c>
      <c r="N32" s="3">
        <f t="shared" si="2"/>
        <v>-85.24909475769374</v>
      </c>
      <c r="O32">
        <v>-0.90600000000000003</v>
      </c>
      <c r="P32">
        <v>-1.2869999999999999</v>
      </c>
      <c r="Q32" s="3">
        <f t="shared" si="3"/>
        <v>-29.603729603729594</v>
      </c>
      <c r="R32">
        <v>125.1</v>
      </c>
      <c r="S32">
        <v>751</v>
      </c>
    </row>
    <row r="33" spans="1:19" x14ac:dyDescent="0.35">
      <c r="A33" t="s">
        <v>142</v>
      </c>
      <c r="B33" t="s">
        <v>139</v>
      </c>
      <c r="C33" t="s">
        <v>122</v>
      </c>
      <c r="D33" t="s">
        <v>98</v>
      </c>
      <c r="E33" t="s">
        <v>11</v>
      </c>
      <c r="F33">
        <v>-0.26700000000000002</v>
      </c>
      <c r="G33">
        <v>-1.9950000000000001</v>
      </c>
      <c r="H33" s="3">
        <f t="shared" si="0"/>
        <v>-86.616541353383468</v>
      </c>
      <c r="I33">
        <v>0.60465345081465527</v>
      </c>
      <c r="J33">
        <v>7.6024599028238736E-3</v>
      </c>
      <c r="K33" s="3">
        <f t="shared" si="1"/>
        <v>-98.742674850762697</v>
      </c>
      <c r="L33">
        <v>5.4628213284182099</v>
      </c>
      <c r="M33">
        <v>6.8685426420101545E-2</v>
      </c>
      <c r="N33" s="3">
        <f t="shared" si="2"/>
        <v>-98.742674850762697</v>
      </c>
      <c r="O33">
        <v>-1.2390000000000001</v>
      </c>
      <c r="P33">
        <v>-3.387</v>
      </c>
      <c r="Q33" s="3">
        <f t="shared" si="3"/>
        <v>-63.418954827280771</v>
      </c>
      <c r="R33">
        <v>19.8</v>
      </c>
      <c r="S33">
        <v>320</v>
      </c>
    </row>
    <row r="34" spans="1:19" x14ac:dyDescent="0.35">
      <c r="A34" t="s">
        <v>153</v>
      </c>
      <c r="B34" t="s">
        <v>114</v>
      </c>
      <c r="C34" t="s">
        <v>154</v>
      </c>
      <c r="D34" t="s">
        <v>87</v>
      </c>
      <c r="E34" t="s">
        <v>13</v>
      </c>
      <c r="F34">
        <v>-0.23400000000000001</v>
      </c>
      <c r="G34">
        <v>-2.4319999999999999</v>
      </c>
      <c r="H34" s="3">
        <f t="shared" ref="H34:H65" si="4">-((G34-F34)/(G34))*100</f>
        <v>-90.37828947368422</v>
      </c>
      <c r="I34">
        <v>8.9994228126213969</v>
      </c>
      <c r="J34">
        <v>0.92787199011044552</v>
      </c>
      <c r="K34" s="3">
        <f t="shared" ref="K34:K65" si="5">-((I34-J34)/(I34))*100</f>
        <v>-89.689649998340613</v>
      </c>
      <c r="L34">
        <v>23.802690999676621</v>
      </c>
      <c r="M34">
        <v>2.454140751880137</v>
      </c>
      <c r="N34" s="3">
        <f t="shared" ref="N34:N65" si="6">-((L34-M34)/(L34))*100</f>
        <v>-89.689649998340613</v>
      </c>
      <c r="O34">
        <v>-0.87899999999999989</v>
      </c>
      <c r="P34">
        <v>-2.4649999999999999</v>
      </c>
      <c r="Q34" s="3">
        <f t="shared" ref="Q34:Q65" si="7">-((P34-O34)/(P34))*100</f>
        <v>-64.340770791075059</v>
      </c>
      <c r="R34">
        <v>78.599999999999994</v>
      </c>
      <c r="S34">
        <v>701</v>
      </c>
    </row>
    <row r="35" spans="1:19" x14ac:dyDescent="0.35">
      <c r="A35" t="s">
        <v>153</v>
      </c>
      <c r="B35" t="s">
        <v>116</v>
      </c>
      <c r="C35" t="s">
        <v>155</v>
      </c>
      <c r="D35" t="s">
        <v>28</v>
      </c>
      <c r="E35" t="s">
        <v>13</v>
      </c>
      <c r="F35">
        <v>-0.185</v>
      </c>
      <c r="G35">
        <v>-0.55599999999999994</v>
      </c>
      <c r="H35" s="3">
        <f t="shared" si="4"/>
        <v>-66.72661870503596</v>
      </c>
      <c r="I35">
        <v>90.708808703819741</v>
      </c>
      <c r="J35">
        <v>59.695142083164718</v>
      </c>
      <c r="K35" s="3">
        <f t="shared" si="5"/>
        <v>-34.190358206467153</v>
      </c>
      <c r="L35">
        <v>86.394984757957758</v>
      </c>
      <c r="M35">
        <v>56.856229996789303</v>
      </c>
      <c r="N35" s="3">
        <f t="shared" si="6"/>
        <v>-34.190358206467153</v>
      </c>
      <c r="O35">
        <v>-0.159</v>
      </c>
      <c r="P35">
        <v>-2.7559999999999998</v>
      </c>
      <c r="Q35" s="3">
        <f t="shared" si="7"/>
        <v>-94.230769230769241</v>
      </c>
      <c r="R35">
        <v>125</v>
      </c>
      <c r="S35">
        <v>776</v>
      </c>
    </row>
    <row r="36" spans="1:19" x14ac:dyDescent="0.35">
      <c r="A36" t="s">
        <v>153</v>
      </c>
      <c r="B36" t="s">
        <v>116</v>
      </c>
      <c r="C36" t="s">
        <v>156</v>
      </c>
      <c r="D36" t="s">
        <v>32</v>
      </c>
      <c r="E36" t="s">
        <v>13</v>
      </c>
      <c r="F36">
        <v>-0.158</v>
      </c>
      <c r="G36">
        <v>-0.497</v>
      </c>
      <c r="H36" s="3">
        <f t="shared" si="4"/>
        <v>-68.209255533199183</v>
      </c>
      <c r="I36">
        <v>49.420276559664813</v>
      </c>
      <c r="J36">
        <v>12.004905298405371</v>
      </c>
      <c r="K36" s="3">
        <f t="shared" si="5"/>
        <v>-75.708542861123178</v>
      </c>
      <c r="L36">
        <v>40.550800325435837</v>
      </c>
      <c r="M36">
        <v>9.8503802805247691</v>
      </c>
      <c r="N36" s="3">
        <f t="shared" si="6"/>
        <v>-75.708542861123192</v>
      </c>
      <c r="O36">
        <v>-0.224</v>
      </c>
      <c r="P36">
        <v>-1.0009999999999999</v>
      </c>
      <c r="Q36" s="3">
        <f t="shared" si="7"/>
        <v>-77.622377622377627</v>
      </c>
      <c r="R36">
        <v>107.9</v>
      </c>
      <c r="S36">
        <v>840</v>
      </c>
    </row>
    <row r="37" spans="1:19" x14ac:dyDescent="0.35">
      <c r="A37" t="s">
        <v>153</v>
      </c>
      <c r="B37" t="s">
        <v>118</v>
      </c>
      <c r="C37" t="s">
        <v>152</v>
      </c>
      <c r="D37" t="s">
        <v>84</v>
      </c>
      <c r="E37" t="s">
        <v>13</v>
      </c>
      <c r="F37">
        <v>-0.54600000000000004</v>
      </c>
      <c r="G37">
        <v>-2.5979999999999999</v>
      </c>
      <c r="H37" s="3">
        <f t="shared" si="4"/>
        <v>-78.983833718244796</v>
      </c>
      <c r="I37">
        <v>43.012608035155402</v>
      </c>
      <c r="J37">
        <v>4.8898592404429699</v>
      </c>
      <c r="K37" s="3">
        <f t="shared" si="5"/>
        <v>-88.631567663959487</v>
      </c>
      <c r="L37">
        <v>84.975754455931948</v>
      </c>
      <c r="M37">
        <v>9.6604111473625629</v>
      </c>
      <c r="N37" s="3">
        <f t="shared" si="6"/>
        <v>-88.631567663959473</v>
      </c>
      <c r="O37">
        <v>-0.51400000000000001</v>
      </c>
      <c r="P37">
        <v>-3.0739999999999998</v>
      </c>
      <c r="Q37" s="3">
        <f t="shared" si="7"/>
        <v>-83.279115159401414</v>
      </c>
      <c r="R37">
        <v>84.6</v>
      </c>
      <c r="S37">
        <v>716</v>
      </c>
    </row>
    <row r="38" spans="1:19" x14ac:dyDescent="0.35">
      <c r="A38" t="s">
        <v>153</v>
      </c>
      <c r="B38" t="s">
        <v>120</v>
      </c>
      <c r="C38" t="s">
        <v>157</v>
      </c>
      <c r="D38" t="s">
        <v>15</v>
      </c>
      <c r="E38" t="s">
        <v>13</v>
      </c>
      <c r="F38">
        <v>-0.33400000000000002</v>
      </c>
      <c r="G38">
        <v>-2.6120000000000001</v>
      </c>
      <c r="H38" s="3">
        <f t="shared" si="4"/>
        <v>-87.212863705972438</v>
      </c>
      <c r="I38">
        <v>17.149328523101332</v>
      </c>
      <c r="J38">
        <v>0.87159844018757726</v>
      </c>
      <c r="K38" s="3">
        <f t="shared" si="5"/>
        <v>-94.917594359374064</v>
      </c>
      <c r="L38">
        <v>103.2432815377008</v>
      </c>
      <c r="M38">
        <v>5.2472423644394377</v>
      </c>
      <c r="N38" s="3">
        <f t="shared" si="6"/>
        <v>-94.91759435937405</v>
      </c>
      <c r="O38">
        <v>-1.163</v>
      </c>
      <c r="P38">
        <v>-3.1819999999999999</v>
      </c>
      <c r="Q38" s="3">
        <f t="shared" si="7"/>
        <v>-63.450659962287872</v>
      </c>
      <c r="S38">
        <v>213</v>
      </c>
    </row>
    <row r="39" spans="1:19" x14ac:dyDescent="0.35">
      <c r="A39" t="s">
        <v>153</v>
      </c>
      <c r="B39" t="s">
        <v>123</v>
      </c>
      <c r="C39" t="s">
        <v>158</v>
      </c>
      <c r="D39" t="s">
        <v>88</v>
      </c>
      <c r="E39" t="s">
        <v>13</v>
      </c>
      <c r="F39">
        <v>-0.36199999999999999</v>
      </c>
      <c r="G39">
        <v>-1.121</v>
      </c>
      <c r="H39" s="3">
        <f t="shared" si="4"/>
        <v>-67.707404103479035</v>
      </c>
      <c r="I39">
        <v>11.38589308833224</v>
      </c>
      <c r="J39">
        <v>0.77721766080514043</v>
      </c>
      <c r="K39" s="3">
        <f t="shared" si="5"/>
        <v>-93.173854217886529</v>
      </c>
      <c r="L39">
        <v>5.3960330721106349</v>
      </c>
      <c r="M39">
        <v>0.36834108395332821</v>
      </c>
      <c r="N39" s="3">
        <f t="shared" si="6"/>
        <v>-93.173854217886529</v>
      </c>
      <c r="O39">
        <v>-0.53899999999999992</v>
      </c>
      <c r="P39">
        <v>-1.423</v>
      </c>
      <c r="Q39" s="3">
        <f t="shared" si="7"/>
        <v>-62.122276879831354</v>
      </c>
      <c r="R39">
        <v>147.1</v>
      </c>
      <c r="S39">
        <v>921</v>
      </c>
    </row>
    <row r="40" spans="1:19" x14ac:dyDescent="0.35">
      <c r="A40" t="s">
        <v>153</v>
      </c>
      <c r="B40" t="s">
        <v>123</v>
      </c>
      <c r="C40" t="s">
        <v>159</v>
      </c>
      <c r="D40" t="s">
        <v>30</v>
      </c>
      <c r="E40" t="s">
        <v>13</v>
      </c>
      <c r="F40">
        <v>-0.495</v>
      </c>
      <c r="G40">
        <v>-0.84499999999999997</v>
      </c>
      <c r="H40" s="3">
        <f t="shared" si="4"/>
        <v>-41.42011834319527</v>
      </c>
      <c r="I40">
        <v>16.089960694355891</v>
      </c>
      <c r="J40">
        <v>1.877315375870968</v>
      </c>
      <c r="K40" s="3">
        <f t="shared" si="5"/>
        <v>-88.332380597240984</v>
      </c>
      <c r="L40">
        <v>11.475985834958729</v>
      </c>
      <c r="M40">
        <v>5.1642983160038476</v>
      </c>
      <c r="N40" s="3">
        <f t="shared" si="6"/>
        <v>-54.999087744844545</v>
      </c>
      <c r="O40">
        <v>-0.53800000000000003</v>
      </c>
      <c r="P40">
        <v>-1.4039999999999999</v>
      </c>
      <c r="Q40" s="3">
        <f t="shared" si="7"/>
        <v>-61.680911680911677</v>
      </c>
      <c r="R40">
        <v>64.8</v>
      </c>
      <c r="S40">
        <v>512</v>
      </c>
    </row>
    <row r="41" spans="1:19" x14ac:dyDescent="0.35">
      <c r="A41" t="s">
        <v>153</v>
      </c>
      <c r="B41" t="s">
        <v>125</v>
      </c>
      <c r="C41" t="s">
        <v>160</v>
      </c>
      <c r="D41" t="s">
        <v>92</v>
      </c>
      <c r="E41" t="s">
        <v>13</v>
      </c>
      <c r="F41">
        <v>-0.24399999999999999</v>
      </c>
      <c r="G41">
        <v>-2.0870000000000002</v>
      </c>
      <c r="H41" s="3">
        <f t="shared" si="4"/>
        <v>-88.308576904647822</v>
      </c>
      <c r="I41">
        <v>9.5252747734264283</v>
      </c>
      <c r="J41">
        <v>3.9193286968036261</v>
      </c>
      <c r="K41" s="3">
        <f t="shared" si="5"/>
        <v>-58.853379140959241</v>
      </c>
      <c r="L41">
        <v>28.719782228700641</v>
      </c>
      <c r="M41">
        <v>11.81721990518562</v>
      </c>
      <c r="N41" s="3">
        <f t="shared" si="6"/>
        <v>-58.853379140959241</v>
      </c>
      <c r="O41">
        <v>-0.84499999999999997</v>
      </c>
      <c r="P41">
        <v>-2.3279999999999998</v>
      </c>
      <c r="Q41" s="3">
        <f t="shared" si="7"/>
        <v>-63.702749140893467</v>
      </c>
      <c r="R41">
        <v>61</v>
      </c>
      <c r="S41">
        <v>534</v>
      </c>
    </row>
    <row r="42" spans="1:19" x14ac:dyDescent="0.35">
      <c r="A42" t="s">
        <v>153</v>
      </c>
      <c r="B42" t="s">
        <v>129</v>
      </c>
      <c r="C42" t="s">
        <v>161</v>
      </c>
      <c r="D42" t="s">
        <v>102</v>
      </c>
      <c r="E42" t="s">
        <v>13</v>
      </c>
      <c r="F42">
        <v>-0.45600000000000002</v>
      </c>
      <c r="G42">
        <v>-2.1139999999999999</v>
      </c>
      <c r="H42" s="3">
        <f t="shared" si="4"/>
        <v>-78.429517502365186</v>
      </c>
      <c r="I42">
        <v>9.3435028506708377</v>
      </c>
      <c r="J42">
        <v>2.6388729992363261E-3</v>
      </c>
      <c r="K42" s="3">
        <f t="shared" si="5"/>
        <v>-99.971757133899231</v>
      </c>
      <c r="L42">
        <v>93.916104359680403</v>
      </c>
      <c r="M42">
        <v>2.6524599601361269E-2</v>
      </c>
      <c r="N42" s="3">
        <f t="shared" si="6"/>
        <v>-99.971757133899231</v>
      </c>
      <c r="O42">
        <v>-0.64500000000000002</v>
      </c>
      <c r="P42">
        <v>-2.6230000000000002</v>
      </c>
      <c r="Q42" s="3">
        <f t="shared" si="7"/>
        <v>-75.409836065573771</v>
      </c>
      <c r="R42">
        <v>34</v>
      </c>
      <c r="S42">
        <v>571</v>
      </c>
    </row>
    <row r="43" spans="1:19" x14ac:dyDescent="0.35">
      <c r="A43" t="s">
        <v>153</v>
      </c>
      <c r="B43" t="s">
        <v>131</v>
      </c>
      <c r="C43" t="s">
        <v>162</v>
      </c>
      <c r="D43" t="s">
        <v>23</v>
      </c>
      <c r="E43" t="s">
        <v>13</v>
      </c>
      <c r="F43">
        <v>-0.28499999999999998</v>
      </c>
      <c r="G43">
        <v>-1.7210000000000001</v>
      </c>
      <c r="H43" s="3">
        <f t="shared" si="4"/>
        <v>-83.439860546194083</v>
      </c>
      <c r="I43">
        <v>42.22447176579437</v>
      </c>
      <c r="J43">
        <v>9.4438305412989667</v>
      </c>
      <c r="K43" s="3">
        <f t="shared" si="5"/>
        <v>-77.634224547127857</v>
      </c>
      <c r="L43">
        <v>37.63530219179399</v>
      </c>
      <c r="M43">
        <v>8.4174271792265127</v>
      </c>
      <c r="N43" s="3">
        <f t="shared" si="6"/>
        <v>-77.634224547127843</v>
      </c>
      <c r="O43">
        <v>-1.268</v>
      </c>
      <c r="P43">
        <v>-2.6509999999999998</v>
      </c>
      <c r="Q43" s="3">
        <f t="shared" si="7"/>
        <v>-52.168992832893245</v>
      </c>
      <c r="R43">
        <v>75.3</v>
      </c>
      <c r="S43">
        <v>736</v>
      </c>
    </row>
    <row r="44" spans="1:19" x14ac:dyDescent="0.35">
      <c r="A44" t="s">
        <v>153</v>
      </c>
      <c r="B44" t="s">
        <v>133</v>
      </c>
      <c r="C44" t="s">
        <v>163</v>
      </c>
      <c r="D44" t="s">
        <v>58</v>
      </c>
      <c r="E44" t="s">
        <v>13</v>
      </c>
      <c r="F44">
        <v>-0.20899999999999999</v>
      </c>
      <c r="G44">
        <v>-2.109</v>
      </c>
      <c r="H44" s="3">
        <f t="shared" si="4"/>
        <v>-90.090090090090087</v>
      </c>
      <c r="I44">
        <v>47.927961281935602</v>
      </c>
      <c r="J44">
        <v>10.79476889328212</v>
      </c>
      <c r="K44" s="3">
        <f t="shared" si="5"/>
        <v>-77.477095614849901</v>
      </c>
      <c r="L44">
        <v>107.10885969508119</v>
      </c>
      <c r="M44">
        <v>24.124026057147731</v>
      </c>
      <c r="N44" s="3">
        <f t="shared" si="6"/>
        <v>-77.477095614849873</v>
      </c>
      <c r="O44">
        <v>-1.75</v>
      </c>
      <c r="P44">
        <v>-3.415</v>
      </c>
      <c r="Q44" s="3">
        <f t="shared" si="7"/>
        <v>-48.755490483162518</v>
      </c>
      <c r="R44">
        <v>71.3</v>
      </c>
      <c r="S44">
        <v>778</v>
      </c>
    </row>
    <row r="45" spans="1:19" x14ac:dyDescent="0.35">
      <c r="A45" t="s">
        <v>153</v>
      </c>
      <c r="B45" t="s">
        <v>133</v>
      </c>
      <c r="C45" t="s">
        <v>164</v>
      </c>
      <c r="D45" t="s">
        <v>62</v>
      </c>
      <c r="E45" t="s">
        <v>13</v>
      </c>
      <c r="F45">
        <v>-0.309</v>
      </c>
      <c r="G45">
        <v>-3.871</v>
      </c>
      <c r="H45" s="3">
        <f t="shared" si="4"/>
        <v>-92.01756652027899</v>
      </c>
      <c r="I45">
        <v>19.820569258861259</v>
      </c>
      <c r="J45">
        <v>6.1616351377507126</v>
      </c>
      <c r="K45" s="3">
        <f t="shared" si="5"/>
        <v>-68.912925470109769</v>
      </c>
      <c r="L45">
        <v>39.011654554745448</v>
      </c>
      <c r="M45">
        <v>12.127582126777041</v>
      </c>
      <c r="N45" s="3">
        <f t="shared" si="6"/>
        <v>-68.912925470109741</v>
      </c>
      <c r="O45">
        <v>-1.3839999999999999</v>
      </c>
      <c r="P45">
        <v>-4.0819999999999999</v>
      </c>
      <c r="Q45" s="3">
        <f t="shared" si="7"/>
        <v>-66.095051445369918</v>
      </c>
      <c r="R45">
        <v>69.400000000000006</v>
      </c>
      <c r="S45">
        <v>740</v>
      </c>
    </row>
    <row r="46" spans="1:19" x14ac:dyDescent="0.35">
      <c r="A46" t="s">
        <v>153</v>
      </c>
      <c r="B46" t="s">
        <v>135</v>
      </c>
      <c r="C46" t="s">
        <v>127</v>
      </c>
      <c r="D46" t="s">
        <v>52</v>
      </c>
      <c r="E46" t="s">
        <v>13</v>
      </c>
      <c r="F46">
        <v>-0.33400000000000002</v>
      </c>
      <c r="G46">
        <v>-1.7090000000000001</v>
      </c>
      <c r="H46" s="3">
        <f t="shared" si="4"/>
        <v>-80.456407255705088</v>
      </c>
      <c r="I46">
        <v>17.867014103981731</v>
      </c>
      <c r="J46">
        <v>11.474115068762471</v>
      </c>
      <c r="K46" s="3">
        <f t="shared" si="5"/>
        <v>-35.780455525551851</v>
      </c>
      <c r="L46">
        <v>35.122915814969851</v>
      </c>
      <c r="M46">
        <v>22.555776542517531</v>
      </c>
      <c r="N46" s="3">
        <f t="shared" si="6"/>
        <v>-35.780455525551893</v>
      </c>
      <c r="O46">
        <v>-1.907</v>
      </c>
      <c r="P46">
        <v>-2.7559999999999998</v>
      </c>
      <c r="Q46" s="3">
        <f t="shared" si="7"/>
        <v>-30.805515239477501</v>
      </c>
      <c r="R46">
        <v>76.2</v>
      </c>
      <c r="S46">
        <v>770</v>
      </c>
    </row>
    <row r="47" spans="1:19" x14ac:dyDescent="0.35">
      <c r="A47" t="s">
        <v>153</v>
      </c>
      <c r="B47" t="s">
        <v>137</v>
      </c>
      <c r="C47" t="s">
        <v>119</v>
      </c>
      <c r="D47" t="s">
        <v>41</v>
      </c>
      <c r="E47" t="s">
        <v>13</v>
      </c>
      <c r="F47">
        <v>-0.56900000000000006</v>
      </c>
      <c r="G47">
        <v>-0.8869999999999999</v>
      </c>
      <c r="H47" s="3">
        <f t="shared" si="4"/>
        <v>-35.851183765501673</v>
      </c>
      <c r="I47">
        <v>12.952006286813701</v>
      </c>
      <c r="J47">
        <v>0.32965054287484319</v>
      </c>
      <c r="K47" s="3">
        <f t="shared" si="5"/>
        <v>-97.454830274360987</v>
      </c>
      <c r="L47">
        <v>14.894405755783101</v>
      </c>
      <c r="M47">
        <v>0.37908790611002552</v>
      </c>
      <c r="N47" s="3">
        <f t="shared" si="6"/>
        <v>-97.454830274360987</v>
      </c>
      <c r="O47">
        <v>-0.92699999999999994</v>
      </c>
      <c r="P47">
        <v>-1.583</v>
      </c>
      <c r="Q47" s="3">
        <f t="shared" si="7"/>
        <v>-41.440303221730893</v>
      </c>
      <c r="R47">
        <v>94.8</v>
      </c>
      <c r="S47">
        <v>700</v>
      </c>
    </row>
    <row r="48" spans="1:19" x14ac:dyDescent="0.35">
      <c r="A48" t="s">
        <v>153</v>
      </c>
      <c r="B48" t="s">
        <v>139</v>
      </c>
      <c r="C48" t="s">
        <v>165</v>
      </c>
      <c r="D48" t="s">
        <v>27</v>
      </c>
      <c r="E48" t="s">
        <v>13</v>
      </c>
      <c r="F48">
        <v>-0.247</v>
      </c>
      <c r="G48">
        <v>-1.323</v>
      </c>
      <c r="H48" s="3">
        <f t="shared" si="4"/>
        <v>-81.330309901738488</v>
      </c>
      <c r="I48">
        <v>23.494945000991269</v>
      </c>
      <c r="J48">
        <v>3.4429234327120311</v>
      </c>
      <c r="K48" s="3">
        <f t="shared" si="5"/>
        <v>-85.346109843769497</v>
      </c>
      <c r="L48">
        <v>119.4565160954096</v>
      </c>
      <c r="M48">
        <v>17.505026653081131</v>
      </c>
      <c r="N48" s="3">
        <f t="shared" si="6"/>
        <v>-85.346109843769497</v>
      </c>
      <c r="O48">
        <v>-0.68099999999999994</v>
      </c>
      <c r="P48">
        <v>-2.4039999999999999</v>
      </c>
      <c r="Q48" s="3">
        <f t="shared" si="7"/>
        <v>-71.672212978369373</v>
      </c>
      <c r="R48">
        <v>34.5</v>
      </c>
      <c r="S48">
        <v>430</v>
      </c>
    </row>
    <row r="49" spans="1:19" x14ac:dyDescent="0.35">
      <c r="A49" t="s">
        <v>153</v>
      </c>
      <c r="B49" t="s">
        <v>139</v>
      </c>
      <c r="C49" t="s">
        <v>166</v>
      </c>
      <c r="D49" t="s">
        <v>86</v>
      </c>
      <c r="E49" t="s">
        <v>13</v>
      </c>
      <c r="F49">
        <v>-0.29399999999999998</v>
      </c>
      <c r="G49">
        <v>-1.1599999999999999</v>
      </c>
      <c r="H49" s="3">
        <f t="shared" si="4"/>
        <v>-74.655172413793096</v>
      </c>
      <c r="I49">
        <v>5.952201822770296</v>
      </c>
      <c r="J49">
        <v>2.8230571703344882</v>
      </c>
      <c r="K49" s="3">
        <f t="shared" si="5"/>
        <v>-52.571212227132271</v>
      </c>
      <c r="L49">
        <v>22.865949995905069</v>
      </c>
      <c r="M49">
        <v>10.84504289580787</v>
      </c>
      <c r="N49" s="3">
        <f t="shared" si="6"/>
        <v>-52.571212227132278</v>
      </c>
      <c r="O49">
        <v>-0.69599999999999995</v>
      </c>
      <c r="P49">
        <v>-1.282</v>
      </c>
      <c r="Q49" s="3">
        <f t="shared" si="7"/>
        <v>-45.70982839313573</v>
      </c>
      <c r="R49">
        <v>40</v>
      </c>
      <c r="S49">
        <v>540</v>
      </c>
    </row>
    <row r="50" spans="1:19" x14ac:dyDescent="0.35">
      <c r="A50" t="s">
        <v>167</v>
      </c>
      <c r="B50" t="s">
        <v>114</v>
      </c>
      <c r="C50" t="s">
        <v>157</v>
      </c>
      <c r="D50" t="s">
        <v>39</v>
      </c>
      <c r="E50" t="s">
        <v>13</v>
      </c>
      <c r="F50">
        <v>-0.20100000000000001</v>
      </c>
      <c r="G50">
        <v>-1.361</v>
      </c>
      <c r="H50" s="3">
        <f t="shared" si="4"/>
        <v>-85.23144746509918</v>
      </c>
      <c r="I50">
        <v>30.61915774462571</v>
      </c>
      <c r="J50">
        <v>17.556187767074491</v>
      </c>
      <c r="K50" s="3">
        <f t="shared" si="5"/>
        <v>-42.662734509227441</v>
      </c>
      <c r="L50">
        <v>42.103878822027653</v>
      </c>
      <c r="M50">
        <v>24.14121278209916</v>
      </c>
      <c r="N50" s="3">
        <f t="shared" si="6"/>
        <v>-42.662734509227434</v>
      </c>
      <c r="O50">
        <v>-0.72399999999999998</v>
      </c>
      <c r="P50">
        <v>-2.0070000000000001</v>
      </c>
      <c r="Q50" s="3">
        <f t="shared" si="7"/>
        <v>-63.926258096661691</v>
      </c>
      <c r="R50">
        <v>87.4</v>
      </c>
      <c r="S50">
        <v>678</v>
      </c>
    </row>
    <row r="51" spans="1:19" x14ac:dyDescent="0.35">
      <c r="A51" t="s">
        <v>167</v>
      </c>
      <c r="B51" t="s">
        <v>114</v>
      </c>
      <c r="C51" t="s">
        <v>168</v>
      </c>
      <c r="D51" t="s">
        <v>25</v>
      </c>
      <c r="E51" t="s">
        <v>13</v>
      </c>
      <c r="F51">
        <v>-0.32100000000000001</v>
      </c>
      <c r="G51">
        <v>-1.345</v>
      </c>
      <c r="H51" s="3">
        <f t="shared" si="4"/>
        <v>-76.133828996282531</v>
      </c>
      <c r="I51">
        <v>28.506512269309098</v>
      </c>
      <c r="J51">
        <v>13.196382665962981</v>
      </c>
      <c r="K51" s="3">
        <f t="shared" si="5"/>
        <v>-53.70748079844698</v>
      </c>
      <c r="L51">
        <v>49.675494502303778</v>
      </c>
      <c r="M51">
        <v>22.996037830945379</v>
      </c>
      <c r="N51" s="3">
        <f t="shared" si="6"/>
        <v>-53.707480798447008</v>
      </c>
      <c r="O51">
        <v>-0.77900000000000003</v>
      </c>
      <c r="P51">
        <v>-2.0640000000000001</v>
      </c>
      <c r="Q51" s="3">
        <f t="shared" si="7"/>
        <v>-62.257751937984509</v>
      </c>
      <c r="R51">
        <v>93.2</v>
      </c>
      <c r="S51">
        <v>740</v>
      </c>
    </row>
    <row r="52" spans="1:19" x14ac:dyDescent="0.35">
      <c r="A52" t="s">
        <v>167</v>
      </c>
      <c r="B52" t="s">
        <v>116</v>
      </c>
      <c r="C52" t="s">
        <v>169</v>
      </c>
      <c r="D52" t="s">
        <v>76</v>
      </c>
      <c r="E52" t="s">
        <v>13</v>
      </c>
      <c r="F52">
        <v>-0.14599999999999999</v>
      </c>
      <c r="G52">
        <v>-0.91300000000000003</v>
      </c>
      <c r="H52" s="3">
        <f t="shared" si="4"/>
        <v>-84.008762322015329</v>
      </c>
      <c r="I52">
        <v>28.23893305211519</v>
      </c>
      <c r="J52">
        <v>18.562348248609471</v>
      </c>
      <c r="K52" s="3">
        <f t="shared" si="5"/>
        <v>-34.266821574481938</v>
      </c>
      <c r="L52">
        <v>43.202898103165161</v>
      </c>
      <c r="M52">
        <v>28.398638095148311</v>
      </c>
      <c r="N52" s="3">
        <f t="shared" si="6"/>
        <v>-34.266821574481945</v>
      </c>
      <c r="O52">
        <v>-0.11799999999999999</v>
      </c>
      <c r="P52">
        <v>-2.8759999999999999</v>
      </c>
      <c r="Q52" s="3">
        <f t="shared" si="7"/>
        <v>-95.897079276773297</v>
      </c>
      <c r="R52">
        <v>90.2</v>
      </c>
      <c r="S52">
        <v>800</v>
      </c>
    </row>
    <row r="53" spans="1:19" x14ac:dyDescent="0.35">
      <c r="A53" t="s">
        <v>167</v>
      </c>
      <c r="B53" t="s">
        <v>118</v>
      </c>
      <c r="C53" t="s">
        <v>147</v>
      </c>
      <c r="D53" t="s">
        <v>37</v>
      </c>
      <c r="E53" t="s">
        <v>13</v>
      </c>
      <c r="F53">
        <v>-0.24099999999999999</v>
      </c>
      <c r="G53">
        <v>-1.073</v>
      </c>
      <c r="H53" s="3">
        <f t="shared" si="4"/>
        <v>-77.539608574091332</v>
      </c>
      <c r="I53">
        <v>4.7986335547509986</v>
      </c>
      <c r="J53">
        <v>0.81018460396570646</v>
      </c>
      <c r="K53" s="3">
        <f t="shared" si="5"/>
        <v>-83.116347711869679</v>
      </c>
      <c r="L53">
        <v>21.51758423220873</v>
      </c>
      <c r="M53">
        <v>3.6329541025716798</v>
      </c>
      <c r="N53" s="3">
        <f t="shared" si="6"/>
        <v>-83.116347711869665</v>
      </c>
      <c r="O53">
        <v>-0.44500000000000001</v>
      </c>
      <c r="P53">
        <v>-2.5409999999999999</v>
      </c>
      <c r="Q53" s="3">
        <f t="shared" si="7"/>
        <v>-82.487209759937045</v>
      </c>
      <c r="R53">
        <v>75.900000000000006</v>
      </c>
      <c r="S53">
        <v>610</v>
      </c>
    </row>
    <row r="54" spans="1:19" x14ac:dyDescent="0.35">
      <c r="A54" t="s">
        <v>167</v>
      </c>
      <c r="B54" t="s">
        <v>120</v>
      </c>
      <c r="C54" t="s">
        <v>170</v>
      </c>
      <c r="D54" t="s">
        <v>12</v>
      </c>
      <c r="E54" t="s">
        <v>13</v>
      </c>
      <c r="F54">
        <v>-0.19800000000000001</v>
      </c>
      <c r="G54">
        <v>-1.657</v>
      </c>
      <c r="H54" s="3">
        <f t="shared" si="4"/>
        <v>-88.050694025347013</v>
      </c>
      <c r="I54">
        <v>1.6896946771413071</v>
      </c>
      <c r="J54">
        <v>9.8048780177657405E-2</v>
      </c>
      <c r="K54" s="3">
        <f t="shared" si="5"/>
        <v>-94.1972486802444</v>
      </c>
      <c r="L54">
        <v>13.62273514953624</v>
      </c>
      <c r="M54">
        <v>0.79049344367652485</v>
      </c>
      <c r="N54" s="3">
        <f t="shared" si="6"/>
        <v>-94.1972486802444</v>
      </c>
      <c r="O54">
        <v>-1.212</v>
      </c>
      <c r="P54">
        <v>-2.9609999999999999</v>
      </c>
      <c r="Q54" s="3">
        <f t="shared" si="7"/>
        <v>-59.067882472137789</v>
      </c>
      <c r="R54">
        <v>19</v>
      </c>
      <c r="S54">
        <v>240</v>
      </c>
    </row>
    <row r="55" spans="1:19" x14ac:dyDescent="0.35">
      <c r="A55" t="s">
        <v>167</v>
      </c>
      <c r="B55" t="s">
        <v>123</v>
      </c>
      <c r="C55" t="s">
        <v>171</v>
      </c>
      <c r="D55" t="s">
        <v>42</v>
      </c>
      <c r="E55" t="s">
        <v>13</v>
      </c>
      <c r="F55">
        <v>-0.20499999999999999</v>
      </c>
      <c r="G55">
        <v>-0.64500000000000002</v>
      </c>
      <c r="H55" s="3">
        <f t="shared" si="4"/>
        <v>-68.217054263565899</v>
      </c>
      <c r="I55">
        <v>34.755469608210021</v>
      </c>
      <c r="J55">
        <v>0.41610394270123108</v>
      </c>
      <c r="K55" s="3">
        <f t="shared" si="5"/>
        <v>-98.802767025185176</v>
      </c>
      <c r="L55">
        <v>20.488909055179601</v>
      </c>
      <c r="M55">
        <v>0.2452999753884284</v>
      </c>
      <c r="N55" s="3">
        <f t="shared" si="6"/>
        <v>-98.80276702518519</v>
      </c>
      <c r="O55">
        <v>-0.57400000000000007</v>
      </c>
      <c r="P55">
        <v>-1.2450000000000001</v>
      </c>
      <c r="Q55" s="3">
        <f t="shared" si="7"/>
        <v>-53.895582329317271</v>
      </c>
      <c r="R55">
        <v>126.2</v>
      </c>
      <c r="S55">
        <v>887</v>
      </c>
    </row>
    <row r="56" spans="1:19" x14ac:dyDescent="0.35">
      <c r="A56" t="s">
        <v>167</v>
      </c>
      <c r="B56" t="s">
        <v>125</v>
      </c>
      <c r="C56" t="s">
        <v>172</v>
      </c>
      <c r="D56" t="s">
        <v>78</v>
      </c>
      <c r="E56" t="s">
        <v>13</v>
      </c>
      <c r="F56">
        <v>-0.104</v>
      </c>
      <c r="G56">
        <v>-1.4339999999999999</v>
      </c>
      <c r="H56" s="3">
        <f t="shared" si="4"/>
        <v>-92.747559274755915</v>
      </c>
      <c r="I56">
        <v>7.5314064803538443</v>
      </c>
      <c r="J56">
        <v>9.5427959036011284E-2</v>
      </c>
      <c r="K56" s="3">
        <f t="shared" si="5"/>
        <v>-98.732933094436731</v>
      </c>
      <c r="L56">
        <v>29.581417035926691</v>
      </c>
      <c r="M56">
        <v>0.3748163454588832</v>
      </c>
      <c r="N56" s="3">
        <f t="shared" si="6"/>
        <v>-98.732933094436731</v>
      </c>
      <c r="O56">
        <v>-0.92500000000000004</v>
      </c>
      <c r="P56">
        <v>-2.0449999999999999</v>
      </c>
      <c r="Q56" s="3">
        <f t="shared" si="7"/>
        <v>-54.76772616136919</v>
      </c>
      <c r="R56">
        <v>49.4</v>
      </c>
      <c r="S56">
        <v>546</v>
      </c>
    </row>
    <row r="57" spans="1:19" x14ac:dyDescent="0.35">
      <c r="A57" t="s">
        <v>167</v>
      </c>
      <c r="B57" t="s">
        <v>125</v>
      </c>
      <c r="C57" t="s">
        <v>173</v>
      </c>
      <c r="D57" t="s">
        <v>99</v>
      </c>
      <c r="E57" t="s">
        <v>13</v>
      </c>
      <c r="F57">
        <v>-0.20200000000000001</v>
      </c>
      <c r="G57">
        <v>-1.756</v>
      </c>
      <c r="H57" s="3">
        <f t="shared" si="4"/>
        <v>-88.496583143507976</v>
      </c>
      <c r="I57">
        <v>6.9487922820592107</v>
      </c>
      <c r="J57">
        <v>9.2235960992171809E-2</v>
      </c>
      <c r="K57" s="3">
        <f t="shared" si="5"/>
        <v>-98.672633210949314</v>
      </c>
      <c r="L57">
        <v>24.22406719529442</v>
      </c>
      <c r="M57">
        <v>0.32154222290766221</v>
      </c>
      <c r="N57" s="3">
        <f t="shared" si="6"/>
        <v>-98.6726332109493</v>
      </c>
      <c r="O57">
        <v>-0.92799999999999994</v>
      </c>
      <c r="P57">
        <v>-2.3610000000000002</v>
      </c>
      <c r="Q57" s="3">
        <f t="shared" si="7"/>
        <v>-60.694620923337574</v>
      </c>
      <c r="R57">
        <v>45.3</v>
      </c>
      <c r="S57">
        <v>410</v>
      </c>
    </row>
    <row r="58" spans="1:19" x14ac:dyDescent="0.35">
      <c r="A58" t="s">
        <v>167</v>
      </c>
      <c r="B58" t="s">
        <v>129</v>
      </c>
      <c r="C58" t="s">
        <v>174</v>
      </c>
      <c r="D58" t="s">
        <v>79</v>
      </c>
      <c r="E58" t="s">
        <v>13</v>
      </c>
      <c r="F58">
        <v>-0.60299999999999998</v>
      </c>
      <c r="G58">
        <v>-2.355</v>
      </c>
      <c r="H58" s="3">
        <f t="shared" si="4"/>
        <v>-74.394904458598731</v>
      </c>
      <c r="I58">
        <v>0.27412644076189302</v>
      </c>
      <c r="J58">
        <v>0.20186901025696621</v>
      </c>
      <c r="K58" s="3">
        <f t="shared" si="5"/>
        <v>-26.359161233808091</v>
      </c>
      <c r="L58">
        <v>2.7246782015349069</v>
      </c>
      <c r="M58">
        <v>2.006475881289898</v>
      </c>
      <c r="N58" s="3">
        <f t="shared" si="6"/>
        <v>-26.359161233808102</v>
      </c>
      <c r="O58">
        <v>-1.6559999999999999</v>
      </c>
      <c r="P58">
        <v>-2.7450000000000001</v>
      </c>
      <c r="Q58" s="3">
        <f t="shared" si="7"/>
        <v>-39.672131147540988</v>
      </c>
      <c r="R58">
        <v>31</v>
      </c>
      <c r="S58">
        <v>452</v>
      </c>
    </row>
    <row r="59" spans="1:19" x14ac:dyDescent="0.35">
      <c r="A59" t="s">
        <v>167</v>
      </c>
      <c r="B59" t="s">
        <v>131</v>
      </c>
      <c r="C59" t="s">
        <v>145</v>
      </c>
      <c r="D59" t="s">
        <v>34</v>
      </c>
      <c r="E59" t="s">
        <v>13</v>
      </c>
      <c r="F59">
        <v>-0.14199999999999999</v>
      </c>
      <c r="G59">
        <v>-1.173</v>
      </c>
      <c r="H59" s="3">
        <f t="shared" si="4"/>
        <v>-87.894288150042627</v>
      </c>
      <c r="I59">
        <v>60.065863610746781</v>
      </c>
      <c r="J59">
        <v>19.42344955911236</v>
      </c>
      <c r="K59" s="3">
        <f t="shared" si="5"/>
        <v>-67.663081172053296</v>
      </c>
      <c r="L59">
        <v>60.030254564193108</v>
      </c>
      <c r="M59">
        <v>19.41193469063289</v>
      </c>
      <c r="N59" s="3">
        <f t="shared" si="6"/>
        <v>-67.66308117205331</v>
      </c>
      <c r="O59">
        <v>-1.462</v>
      </c>
      <c r="P59">
        <v>-3.1749999999999998</v>
      </c>
      <c r="Q59" s="3">
        <f t="shared" si="7"/>
        <v>-53.952755905511808</v>
      </c>
      <c r="R59">
        <v>93.8</v>
      </c>
      <c r="S59">
        <v>803</v>
      </c>
    </row>
    <row r="60" spans="1:19" x14ac:dyDescent="0.35">
      <c r="A60" t="s">
        <v>167</v>
      </c>
      <c r="B60" t="s">
        <v>131</v>
      </c>
      <c r="C60" t="s">
        <v>140</v>
      </c>
      <c r="D60" t="s">
        <v>73</v>
      </c>
      <c r="E60" t="s">
        <v>13</v>
      </c>
      <c r="F60">
        <v>-0.16700000000000001</v>
      </c>
      <c r="G60">
        <v>-1.4630000000000001</v>
      </c>
      <c r="H60" s="3">
        <f t="shared" si="4"/>
        <v>-88.585099111414905</v>
      </c>
      <c r="I60">
        <v>35.47681227439206</v>
      </c>
      <c r="J60">
        <v>11.412428651070901</v>
      </c>
      <c r="K60" s="3">
        <f t="shared" si="5"/>
        <v>-67.831301857668194</v>
      </c>
      <c r="L60">
        <v>66.722953590273818</v>
      </c>
      <c r="M60">
        <v>21.463905532103318</v>
      </c>
      <c r="N60" s="3">
        <f t="shared" si="6"/>
        <v>-67.831301857668208</v>
      </c>
      <c r="O60">
        <v>-0.63100000000000001</v>
      </c>
      <c r="P60">
        <v>-2.2429999999999999</v>
      </c>
      <c r="Q60" s="3">
        <f t="shared" si="7"/>
        <v>-71.868033883192155</v>
      </c>
      <c r="R60">
        <v>77.3</v>
      </c>
      <c r="S60">
        <v>705</v>
      </c>
    </row>
    <row r="61" spans="1:19" x14ac:dyDescent="0.35">
      <c r="A61" t="s">
        <v>167</v>
      </c>
      <c r="B61" t="s">
        <v>133</v>
      </c>
      <c r="C61" t="s">
        <v>175</v>
      </c>
      <c r="D61" t="s">
        <v>49</v>
      </c>
      <c r="E61" t="s">
        <v>13</v>
      </c>
      <c r="F61">
        <v>-0.17100000000000001</v>
      </c>
      <c r="G61">
        <v>-2.2090000000000001</v>
      </c>
      <c r="H61" s="3">
        <f t="shared" si="4"/>
        <v>-92.258940697148034</v>
      </c>
      <c r="I61">
        <v>26.550526481371261</v>
      </c>
      <c r="J61">
        <v>10.49389804762917</v>
      </c>
      <c r="K61" s="3">
        <f t="shared" si="5"/>
        <v>-60.475744030944021</v>
      </c>
      <c r="L61">
        <v>40.978269778104938</v>
      </c>
      <c r="M61">
        <v>16.19635623878851</v>
      </c>
      <c r="N61" s="3">
        <f t="shared" si="6"/>
        <v>-60.475744030944</v>
      </c>
      <c r="O61">
        <v>-1.3069999999999999</v>
      </c>
      <c r="P61">
        <v>-3.2869999999999999</v>
      </c>
      <c r="Q61" s="3">
        <f t="shared" si="7"/>
        <v>-60.237298448433222</v>
      </c>
      <c r="R61">
        <v>85.7</v>
      </c>
      <c r="S61">
        <v>734</v>
      </c>
    </row>
    <row r="62" spans="1:19" x14ac:dyDescent="0.35">
      <c r="A62" t="s">
        <v>167</v>
      </c>
      <c r="B62" t="s">
        <v>135</v>
      </c>
      <c r="C62" t="s">
        <v>138</v>
      </c>
      <c r="D62" t="s">
        <v>19</v>
      </c>
      <c r="E62" t="s">
        <v>13</v>
      </c>
      <c r="F62">
        <v>-0.153</v>
      </c>
      <c r="G62">
        <v>-0.84499999999999997</v>
      </c>
      <c r="H62" s="3">
        <f t="shared" si="4"/>
        <v>-81.89349112426035</v>
      </c>
      <c r="I62">
        <v>12.31903343184797</v>
      </c>
      <c r="J62">
        <v>5.9834773699386581</v>
      </c>
      <c r="K62" s="3">
        <f t="shared" si="5"/>
        <v>-51.429002908054613</v>
      </c>
      <c r="L62">
        <v>35.700962121793417</v>
      </c>
      <c r="M62">
        <v>17.340313273972811</v>
      </c>
      <c r="N62" s="3">
        <f t="shared" si="6"/>
        <v>-51.429002908054599</v>
      </c>
      <c r="O62">
        <v>-1.0009999999999999</v>
      </c>
      <c r="P62">
        <v>-2.1240000000000001</v>
      </c>
      <c r="Q62" s="3">
        <f t="shared" si="7"/>
        <v>-52.871939736346519</v>
      </c>
      <c r="R62">
        <v>55</v>
      </c>
      <c r="S62">
        <v>622</v>
      </c>
    </row>
    <row r="63" spans="1:19" x14ac:dyDescent="0.35">
      <c r="A63" t="s">
        <v>167</v>
      </c>
      <c r="B63" t="s">
        <v>137</v>
      </c>
      <c r="C63" t="s">
        <v>127</v>
      </c>
      <c r="D63" t="s">
        <v>35</v>
      </c>
      <c r="E63" t="s">
        <v>13</v>
      </c>
      <c r="F63">
        <v>-0.189</v>
      </c>
      <c r="G63">
        <v>-1.3120000000000001</v>
      </c>
      <c r="H63" s="3">
        <f t="shared" si="4"/>
        <v>-85.594512195121951</v>
      </c>
      <c r="I63">
        <v>7.9600910443931587</v>
      </c>
      <c r="J63">
        <v>0.9929035951158568</v>
      </c>
      <c r="K63" s="3">
        <f t="shared" si="5"/>
        <v>-87.526479413633993</v>
      </c>
      <c r="L63">
        <v>40.479973048544693</v>
      </c>
      <c r="M63">
        <v>5.0492777715656301</v>
      </c>
      <c r="N63" s="3">
        <f t="shared" si="6"/>
        <v>-87.526479413634007</v>
      </c>
      <c r="O63">
        <v>-0.72</v>
      </c>
      <c r="P63">
        <v>-1.1339999999999999</v>
      </c>
      <c r="Q63" s="3">
        <f t="shared" si="7"/>
        <v>-36.507936507936506</v>
      </c>
      <c r="R63">
        <v>43.6</v>
      </c>
      <c r="S63">
        <v>371</v>
      </c>
    </row>
    <row r="64" spans="1:19" x14ac:dyDescent="0.35">
      <c r="A64" t="s">
        <v>167</v>
      </c>
      <c r="B64" t="s">
        <v>137</v>
      </c>
      <c r="C64" t="s">
        <v>163</v>
      </c>
      <c r="D64" t="s">
        <v>40</v>
      </c>
      <c r="E64" t="s">
        <v>13</v>
      </c>
      <c r="F64">
        <v>-0.503</v>
      </c>
      <c r="G64">
        <v>-0.78899999999999992</v>
      </c>
      <c r="H64" s="3">
        <f t="shared" si="4"/>
        <v>-36.248415716096318</v>
      </c>
      <c r="I64">
        <v>3.9351434496100062</v>
      </c>
      <c r="J64">
        <v>2.314883009180611E-2</v>
      </c>
      <c r="K64" s="3">
        <f t="shared" si="5"/>
        <v>-99.411741137566395</v>
      </c>
      <c r="L64">
        <v>8.0119447319958255</v>
      </c>
      <c r="M64">
        <v>4.7130974939247297E-2</v>
      </c>
      <c r="N64" s="3">
        <f t="shared" si="6"/>
        <v>-99.411741137566395</v>
      </c>
      <c r="O64">
        <v>-0.91500000000000004</v>
      </c>
      <c r="P64">
        <v>-1.2210000000000001</v>
      </c>
      <c r="Q64" s="3">
        <f t="shared" si="7"/>
        <v>-25.061425061425062</v>
      </c>
      <c r="R64">
        <v>75</v>
      </c>
      <c r="S64">
        <v>640</v>
      </c>
    </row>
    <row r="65" spans="1:19" x14ac:dyDescent="0.35">
      <c r="A65" t="s">
        <v>167</v>
      </c>
      <c r="B65" t="s">
        <v>139</v>
      </c>
      <c r="C65" t="s">
        <v>176</v>
      </c>
      <c r="D65" t="s">
        <v>21</v>
      </c>
      <c r="E65" t="s">
        <v>13</v>
      </c>
      <c r="F65">
        <v>-0.21199999999999999</v>
      </c>
      <c r="G65">
        <v>-1.0860000000000001</v>
      </c>
      <c r="H65" s="3">
        <f t="shared" si="4"/>
        <v>-80.478821362799266</v>
      </c>
      <c r="I65">
        <v>3.3866817909143432</v>
      </c>
      <c r="J65">
        <v>0.30812296028563452</v>
      </c>
      <c r="K65" s="3">
        <f t="shared" si="5"/>
        <v>-90.90192172431864</v>
      </c>
      <c r="L65">
        <v>16.554392314331871</v>
      </c>
      <c r="M65">
        <v>1.506131570821293</v>
      </c>
      <c r="N65" s="3">
        <f t="shared" si="6"/>
        <v>-90.90192172431864</v>
      </c>
      <c r="O65">
        <v>-0.48299999999999998</v>
      </c>
      <c r="P65">
        <v>-2.1230000000000002</v>
      </c>
      <c r="Q65" s="3">
        <f t="shared" si="7"/>
        <v>-77.249175694771537</v>
      </c>
      <c r="R65">
        <v>22.6</v>
      </c>
      <c r="S65">
        <v>352</v>
      </c>
    </row>
    <row r="66" spans="1:19" x14ac:dyDescent="0.35">
      <c r="A66" t="s">
        <v>177</v>
      </c>
      <c r="B66" t="s">
        <v>143</v>
      </c>
      <c r="C66" t="s">
        <v>122</v>
      </c>
      <c r="D66" t="s">
        <v>54</v>
      </c>
      <c r="E66" t="s">
        <v>11</v>
      </c>
      <c r="F66">
        <v>-0.371</v>
      </c>
      <c r="G66">
        <v>-1.76</v>
      </c>
      <c r="H66" s="3">
        <f t="shared" ref="H66:H97" si="8">-((G66-F66)/(G66))*100</f>
        <v>-78.920454545454547</v>
      </c>
      <c r="I66">
        <v>24.536046960688051</v>
      </c>
      <c r="J66">
        <v>8.1714023491180452</v>
      </c>
      <c r="K66" s="3">
        <f t="shared" ref="K66:K97" si="9">-((I66-J66)/(I66))*100</f>
        <v>-66.696337180107449</v>
      </c>
      <c r="L66">
        <v>38.416859772010163</v>
      </c>
      <c r="M66">
        <v>12.794221444461209</v>
      </c>
      <c r="N66" s="3">
        <f t="shared" ref="N66:N97" si="10">-((L66-M66)/(L66))*100</f>
        <v>-66.696337180107449</v>
      </c>
      <c r="O66">
        <v>-0.34</v>
      </c>
      <c r="P66">
        <v>-2.875</v>
      </c>
      <c r="Q66" s="3">
        <f t="shared" ref="Q66:Q97" si="11">-((P66-O66)/(P66))*100</f>
        <v>-88.173913043478265</v>
      </c>
      <c r="R66">
        <v>58</v>
      </c>
      <c r="S66">
        <v>684</v>
      </c>
    </row>
    <row r="67" spans="1:19" x14ac:dyDescent="0.35">
      <c r="A67" t="s">
        <v>177</v>
      </c>
      <c r="B67" t="s">
        <v>143</v>
      </c>
      <c r="C67" t="s">
        <v>164</v>
      </c>
      <c r="D67" t="s">
        <v>80</v>
      </c>
      <c r="E67" t="s">
        <v>11</v>
      </c>
      <c r="F67">
        <v>-0.34499999999999997</v>
      </c>
      <c r="G67">
        <v>-1.4630000000000001</v>
      </c>
      <c r="H67" s="3">
        <f t="shared" si="8"/>
        <v>-76.418318523581689</v>
      </c>
      <c r="I67">
        <v>2.611122009713899</v>
      </c>
      <c r="J67">
        <v>7.715948206302653E-2</v>
      </c>
      <c r="K67" s="3">
        <f t="shared" si="9"/>
        <v>-97.044968340200981</v>
      </c>
      <c r="L67">
        <v>23.716678409262439</v>
      </c>
      <c r="M67">
        <v>0.70083535564642718</v>
      </c>
      <c r="N67" s="3">
        <f t="shared" si="10"/>
        <v>-97.044968340200981</v>
      </c>
      <c r="O67">
        <v>-0.44900000000000001</v>
      </c>
      <c r="P67">
        <v>-2.2730000000000001</v>
      </c>
      <c r="Q67" s="3">
        <f t="shared" si="11"/>
        <v>-80.246370435547732</v>
      </c>
      <c r="R67">
        <v>30</v>
      </c>
      <c r="S67">
        <v>350</v>
      </c>
    </row>
    <row r="68" spans="1:19" x14ac:dyDescent="0.35">
      <c r="A68" t="s">
        <v>177</v>
      </c>
      <c r="B68" t="s">
        <v>114</v>
      </c>
      <c r="C68" t="s">
        <v>154</v>
      </c>
      <c r="D68" t="s">
        <v>105</v>
      </c>
      <c r="E68" t="s">
        <v>11</v>
      </c>
      <c r="F68">
        <v>-0.54800000000000004</v>
      </c>
      <c r="G68">
        <v>-2.367</v>
      </c>
      <c r="H68" s="3">
        <f t="shared" si="8"/>
        <v>-76.84833122095479</v>
      </c>
      <c r="I68">
        <v>7.7757561306251999</v>
      </c>
      <c r="J68">
        <v>2.4813636862324748</v>
      </c>
      <c r="K68" s="3">
        <f t="shared" si="9"/>
        <v>-68.088457964113601</v>
      </c>
      <c r="L68">
        <v>38.083128882939192</v>
      </c>
      <c r="M68">
        <v>12.152913682059941</v>
      </c>
      <c r="N68" s="3">
        <f t="shared" si="10"/>
        <v>-68.088457964113587</v>
      </c>
      <c r="O68">
        <v>-0.77800000000000002</v>
      </c>
      <c r="P68">
        <v>-2.8759999999999999</v>
      </c>
      <c r="Q68" s="3">
        <f t="shared" si="11"/>
        <v>-72.948539638386649</v>
      </c>
      <c r="R68">
        <v>32.1</v>
      </c>
      <c r="S68">
        <v>370</v>
      </c>
    </row>
    <row r="69" spans="1:19" x14ac:dyDescent="0.35">
      <c r="A69" t="s">
        <v>177</v>
      </c>
      <c r="B69" t="s">
        <v>116</v>
      </c>
      <c r="C69" t="s">
        <v>160</v>
      </c>
      <c r="D69" t="s">
        <v>18</v>
      </c>
      <c r="E69" t="s">
        <v>11</v>
      </c>
      <c r="F69">
        <v>-0.26300000000000001</v>
      </c>
      <c r="G69">
        <v>-0.64600000000000002</v>
      </c>
      <c r="H69" s="3">
        <f t="shared" si="8"/>
        <v>-59.287925696594421</v>
      </c>
      <c r="I69">
        <v>45.641831805698331</v>
      </c>
      <c r="J69">
        <v>23.519821333661419</v>
      </c>
      <c r="K69" s="3">
        <f t="shared" si="9"/>
        <v>-48.468717395507788</v>
      </c>
      <c r="L69">
        <v>42.005827681874422</v>
      </c>
      <c r="M69">
        <v>21.64614177310273</v>
      </c>
      <c r="N69" s="3">
        <f t="shared" si="10"/>
        <v>-48.468717395507781</v>
      </c>
      <c r="O69">
        <v>-0.109</v>
      </c>
      <c r="P69">
        <v>-3.9319999999999999</v>
      </c>
      <c r="Q69" s="3">
        <f t="shared" si="11"/>
        <v>-97.22787385554426</v>
      </c>
      <c r="R69">
        <v>97</v>
      </c>
      <c r="S69">
        <v>770</v>
      </c>
    </row>
    <row r="70" spans="1:19" x14ac:dyDescent="0.35">
      <c r="A70" t="s">
        <v>177</v>
      </c>
      <c r="B70" t="s">
        <v>118</v>
      </c>
      <c r="C70" t="s">
        <v>178</v>
      </c>
      <c r="D70" t="s">
        <v>83</v>
      </c>
      <c r="E70" t="s">
        <v>11</v>
      </c>
      <c r="F70">
        <v>-0.51200000000000001</v>
      </c>
      <c r="G70">
        <v>-2.4750000000000001</v>
      </c>
      <c r="H70" s="3">
        <f t="shared" si="8"/>
        <v>-79.313131313131308</v>
      </c>
      <c r="I70">
        <v>4.9303387663272256</v>
      </c>
      <c r="J70">
        <v>0.68071219419538731</v>
      </c>
      <c r="K70" s="3">
        <f t="shared" si="9"/>
        <v>-86.193399146434871</v>
      </c>
      <c r="L70">
        <v>22.65741467297433</v>
      </c>
      <c r="M70">
        <v>3.128218807634664</v>
      </c>
      <c r="N70" s="3">
        <f t="shared" si="10"/>
        <v>-86.193399146434885</v>
      </c>
      <c r="O70">
        <v>-0.38700000000000001</v>
      </c>
      <c r="P70">
        <v>-2.726</v>
      </c>
      <c r="Q70" s="3">
        <f t="shared" si="11"/>
        <v>-85.803374908290536</v>
      </c>
      <c r="R70">
        <v>33.200000000000003</v>
      </c>
      <c r="S70">
        <v>460</v>
      </c>
    </row>
    <row r="71" spans="1:19" x14ac:dyDescent="0.35">
      <c r="A71" t="s">
        <v>177</v>
      </c>
      <c r="B71" t="s">
        <v>118</v>
      </c>
      <c r="C71" t="s">
        <v>179</v>
      </c>
      <c r="D71" t="s">
        <v>56</v>
      </c>
      <c r="E71" t="s">
        <v>11</v>
      </c>
      <c r="F71">
        <v>-0.58399999999999996</v>
      </c>
      <c r="G71">
        <v>-2.778</v>
      </c>
      <c r="H71" s="3">
        <f t="shared" si="8"/>
        <v>-78.977681785457165</v>
      </c>
      <c r="I71">
        <v>4.7616850923076077</v>
      </c>
      <c r="J71">
        <v>1.0965881175853709</v>
      </c>
      <c r="K71" s="3">
        <f t="shared" si="9"/>
        <v>-76.970587169721</v>
      </c>
      <c r="L71">
        <v>19.308110691663</v>
      </c>
      <c r="M71">
        <v>4.4465445209103116</v>
      </c>
      <c r="N71" s="3">
        <f t="shared" si="10"/>
        <v>-76.970587169721</v>
      </c>
      <c r="O71">
        <v>-1.2509999999999999</v>
      </c>
      <c r="P71">
        <v>-4.0060000000000002</v>
      </c>
      <c r="Q71" s="3">
        <f t="shared" si="11"/>
        <v>-68.771842236645043</v>
      </c>
      <c r="R71">
        <v>42.8</v>
      </c>
      <c r="S71">
        <v>570</v>
      </c>
    </row>
    <row r="72" spans="1:19" x14ac:dyDescent="0.35">
      <c r="A72" t="s">
        <v>177</v>
      </c>
      <c r="B72" t="s">
        <v>120</v>
      </c>
      <c r="C72" t="s">
        <v>119</v>
      </c>
      <c r="D72" t="s">
        <v>46</v>
      </c>
      <c r="E72" t="s">
        <v>11</v>
      </c>
      <c r="F72">
        <v>-0.52300000000000002</v>
      </c>
      <c r="G72">
        <v>-3.5139999999999998</v>
      </c>
      <c r="H72" s="3">
        <f t="shared" si="8"/>
        <v>-85.116676152532719</v>
      </c>
      <c r="I72">
        <v>1.758998326064461</v>
      </c>
      <c r="J72">
        <v>1.383913700982185E-2</v>
      </c>
      <c r="K72" s="3">
        <f t="shared" si="9"/>
        <v>-99.213237624802915</v>
      </c>
      <c r="L72">
        <v>26.92180253217029</v>
      </c>
      <c r="M72">
        <v>0.21181061304797391</v>
      </c>
      <c r="N72" s="3">
        <f t="shared" si="10"/>
        <v>-99.213237624802915</v>
      </c>
      <c r="O72">
        <v>-1.863</v>
      </c>
      <c r="P72">
        <v>-4.1079999999999997</v>
      </c>
      <c r="Q72" s="3">
        <f t="shared" si="11"/>
        <v>-54.649464459591037</v>
      </c>
      <c r="R72">
        <v>13.9</v>
      </c>
      <c r="S72">
        <v>342</v>
      </c>
    </row>
    <row r="73" spans="1:19" x14ac:dyDescent="0.35">
      <c r="A73" t="s">
        <v>177</v>
      </c>
      <c r="B73" t="s">
        <v>120</v>
      </c>
      <c r="C73" t="s">
        <v>180</v>
      </c>
      <c r="D73" t="s">
        <v>14</v>
      </c>
      <c r="E73" t="s">
        <v>11</v>
      </c>
      <c r="F73">
        <v>-0.42499999999999999</v>
      </c>
      <c r="G73">
        <v>-2.258</v>
      </c>
      <c r="H73" s="3">
        <f t="shared" si="8"/>
        <v>-81.178033658104525</v>
      </c>
      <c r="I73">
        <v>4.1422752997789232</v>
      </c>
      <c r="J73">
        <v>1.052183138193628</v>
      </c>
      <c r="K73" s="3">
        <f t="shared" si="9"/>
        <v>-74.598908521367861</v>
      </c>
      <c r="L73">
        <v>39.825985851455329</v>
      </c>
      <c r="M73">
        <v>10.11623509839526</v>
      </c>
      <c r="N73" s="3">
        <f t="shared" si="10"/>
        <v>-74.598908521367875</v>
      </c>
      <c r="O73">
        <v>-1.5349999999999999</v>
      </c>
      <c r="P73">
        <v>-3.4460000000000002</v>
      </c>
      <c r="Q73" s="3">
        <f t="shared" si="11"/>
        <v>-55.455600696459669</v>
      </c>
      <c r="R73">
        <v>20.3</v>
      </c>
      <c r="S73">
        <v>310</v>
      </c>
    </row>
    <row r="74" spans="1:19" x14ac:dyDescent="0.35">
      <c r="A74" t="s">
        <v>177</v>
      </c>
      <c r="B74" t="s">
        <v>123</v>
      </c>
      <c r="C74" t="s">
        <v>171</v>
      </c>
      <c r="D74" t="s">
        <v>70</v>
      </c>
      <c r="E74" t="s">
        <v>11</v>
      </c>
      <c r="F74">
        <v>-0.26300000000000001</v>
      </c>
      <c r="G74">
        <v>-1.256</v>
      </c>
      <c r="H74" s="3">
        <f t="shared" si="8"/>
        <v>-79.060509554140125</v>
      </c>
      <c r="I74">
        <v>5.6020934943143947</v>
      </c>
      <c r="J74">
        <v>0.60001857569356176</v>
      </c>
      <c r="K74" s="3">
        <f t="shared" si="9"/>
        <v>-89.289386614084094</v>
      </c>
      <c r="L74">
        <v>10.247738008281299</v>
      </c>
      <c r="M74">
        <v>1.0975955988685691</v>
      </c>
      <c r="N74" s="3">
        <f t="shared" si="10"/>
        <v>-89.289386614084094</v>
      </c>
      <c r="O74">
        <v>-0.57499999999999996</v>
      </c>
      <c r="P74">
        <v>-1.153</v>
      </c>
      <c r="Q74" s="3">
        <f t="shared" si="11"/>
        <v>-50.130095403295762</v>
      </c>
      <c r="R74">
        <v>55</v>
      </c>
      <c r="S74">
        <v>715</v>
      </c>
    </row>
    <row r="75" spans="1:19" x14ac:dyDescent="0.35">
      <c r="A75" t="s">
        <v>177</v>
      </c>
      <c r="B75" t="s">
        <v>131</v>
      </c>
      <c r="C75" t="s">
        <v>181</v>
      </c>
      <c r="D75" t="s">
        <v>31</v>
      </c>
      <c r="E75" t="s">
        <v>11</v>
      </c>
      <c r="F75">
        <v>-0.45700000000000002</v>
      </c>
      <c r="G75">
        <v>-2.1509999999999998</v>
      </c>
      <c r="H75" s="3">
        <f t="shared" si="8"/>
        <v>-78.75406787540679</v>
      </c>
      <c r="I75">
        <v>47.343373536034399</v>
      </c>
      <c r="J75">
        <v>7.9217072501842694</v>
      </c>
      <c r="K75" s="3">
        <f t="shared" si="9"/>
        <v>-83.267548004041515</v>
      </c>
      <c r="L75">
        <v>68.766034524054746</v>
      </c>
      <c r="M75">
        <v>11.5062437162617</v>
      </c>
      <c r="N75" s="3">
        <f t="shared" si="10"/>
        <v>-83.267548004041515</v>
      </c>
      <c r="O75">
        <v>-1.478</v>
      </c>
      <c r="P75">
        <v>-2.867</v>
      </c>
      <c r="Q75" s="3">
        <f t="shared" si="11"/>
        <v>-48.447854900592958</v>
      </c>
      <c r="R75">
        <v>80</v>
      </c>
      <c r="S75">
        <v>710</v>
      </c>
    </row>
    <row r="76" spans="1:19" x14ac:dyDescent="0.35">
      <c r="A76" t="s">
        <v>177</v>
      </c>
      <c r="B76" t="s">
        <v>131</v>
      </c>
      <c r="C76" t="s">
        <v>172</v>
      </c>
      <c r="D76" t="s">
        <v>50</v>
      </c>
      <c r="E76" t="s">
        <v>11</v>
      </c>
      <c r="F76">
        <v>-0.748</v>
      </c>
      <c r="G76">
        <v>-2.8119999999999998</v>
      </c>
      <c r="H76" s="3">
        <f t="shared" si="8"/>
        <v>-73.399715504978673</v>
      </c>
      <c r="I76">
        <v>31.178821453768741</v>
      </c>
      <c r="J76">
        <v>17.167614385595481</v>
      </c>
      <c r="K76" s="3">
        <f t="shared" si="9"/>
        <v>-44.938219005323099</v>
      </c>
      <c r="L76">
        <v>34.305637610514701</v>
      </c>
      <c r="M76">
        <v>18.88929504992911</v>
      </c>
      <c r="N76" s="3">
        <f t="shared" si="10"/>
        <v>-44.938219005323113</v>
      </c>
      <c r="O76">
        <v>-1.756</v>
      </c>
      <c r="P76">
        <v>-3.484</v>
      </c>
      <c r="Q76" s="3">
        <f t="shared" si="11"/>
        <v>-49.598163030998855</v>
      </c>
      <c r="R76">
        <v>94</v>
      </c>
      <c r="S76">
        <v>800</v>
      </c>
    </row>
    <row r="77" spans="1:19" x14ac:dyDescent="0.35">
      <c r="A77" t="s">
        <v>177</v>
      </c>
      <c r="B77" t="s">
        <v>133</v>
      </c>
      <c r="C77" t="s">
        <v>127</v>
      </c>
      <c r="D77" t="s">
        <v>16</v>
      </c>
      <c r="E77" t="s">
        <v>11</v>
      </c>
      <c r="F77">
        <v>-0.65199999999999991</v>
      </c>
      <c r="G77">
        <v>-3.4359999999999999</v>
      </c>
      <c r="H77" s="3">
        <f t="shared" si="8"/>
        <v>-81.02444703143189</v>
      </c>
      <c r="I77">
        <v>6.4988399031794426</v>
      </c>
      <c r="J77">
        <v>3.038591391331988</v>
      </c>
      <c r="K77" s="3">
        <f t="shared" si="9"/>
        <v>-53.24409530621903</v>
      </c>
      <c r="L77">
        <v>28.816192869811641</v>
      </c>
      <c r="M77">
        <v>13.47327167458524</v>
      </c>
      <c r="N77" s="3">
        <f t="shared" si="10"/>
        <v>-53.244095306219016</v>
      </c>
      <c r="O77">
        <v>-0.90800000000000003</v>
      </c>
      <c r="P77">
        <v>-4.4340000000000002</v>
      </c>
      <c r="Q77" s="3">
        <f t="shared" si="11"/>
        <v>-79.521876409562481</v>
      </c>
      <c r="R77">
        <v>37.700000000000003</v>
      </c>
      <c r="S77">
        <v>480</v>
      </c>
    </row>
    <row r="78" spans="1:19" x14ac:dyDescent="0.35">
      <c r="A78" t="s">
        <v>177</v>
      </c>
      <c r="B78" t="s">
        <v>133</v>
      </c>
      <c r="C78" t="s">
        <v>182</v>
      </c>
      <c r="D78" t="s">
        <v>61</v>
      </c>
      <c r="E78" t="s">
        <v>11</v>
      </c>
      <c r="F78">
        <v>-1.0209999999999999</v>
      </c>
      <c r="G78">
        <v>-3.1589999999999998</v>
      </c>
      <c r="H78" s="3">
        <f t="shared" si="8"/>
        <v>-67.679645457423234</v>
      </c>
      <c r="I78">
        <v>5.5330026912198438</v>
      </c>
      <c r="J78">
        <v>1.2910602789804291</v>
      </c>
      <c r="K78" s="3">
        <f t="shared" si="9"/>
        <v>-76.666191017236017</v>
      </c>
      <c r="L78">
        <v>27.20543409828446</v>
      </c>
      <c r="M78">
        <v>6.3480640254254359</v>
      </c>
      <c r="N78" s="3">
        <f t="shared" si="10"/>
        <v>-76.666191017236002</v>
      </c>
      <c r="O78">
        <v>-1.135</v>
      </c>
      <c r="P78">
        <v>-4.1050000000000004</v>
      </c>
      <c r="Q78" s="3">
        <f t="shared" si="11"/>
        <v>-72.350791717417792</v>
      </c>
      <c r="R78">
        <v>45.4</v>
      </c>
      <c r="S78">
        <v>650</v>
      </c>
    </row>
    <row r="79" spans="1:19" x14ac:dyDescent="0.35">
      <c r="A79" t="s">
        <v>177</v>
      </c>
      <c r="B79" t="s">
        <v>135</v>
      </c>
      <c r="C79" t="s">
        <v>183</v>
      </c>
      <c r="D79" t="s">
        <v>71</v>
      </c>
      <c r="E79" t="s">
        <v>11</v>
      </c>
      <c r="F79">
        <v>-0.308</v>
      </c>
      <c r="G79">
        <v>-2.4209999999999998</v>
      </c>
      <c r="H79" s="3">
        <f t="shared" si="8"/>
        <v>-87.277984304006623</v>
      </c>
      <c r="I79">
        <v>6.6606611677801117</v>
      </c>
      <c r="J79">
        <v>1.358072914144334</v>
      </c>
      <c r="K79" s="3">
        <f t="shared" si="9"/>
        <v>-79.610538954994496</v>
      </c>
      <c r="L79">
        <v>23.374029193905631</v>
      </c>
      <c r="M79">
        <v>4.7658385771395997</v>
      </c>
      <c r="N79" s="3">
        <f t="shared" si="10"/>
        <v>-79.610538954994496</v>
      </c>
      <c r="O79">
        <v>-1.0489999999999999</v>
      </c>
      <c r="P79">
        <v>-2.9049999999999998</v>
      </c>
      <c r="Q79" s="3">
        <f t="shared" si="11"/>
        <v>-63.889845094664381</v>
      </c>
      <c r="R79">
        <v>52</v>
      </c>
      <c r="S79">
        <v>575</v>
      </c>
    </row>
    <row r="80" spans="1:19" x14ac:dyDescent="0.35">
      <c r="A80" t="s">
        <v>177</v>
      </c>
      <c r="B80" t="s">
        <v>135</v>
      </c>
      <c r="C80" t="s">
        <v>184</v>
      </c>
      <c r="D80" t="s">
        <v>72</v>
      </c>
      <c r="E80" t="s">
        <v>11</v>
      </c>
      <c r="F80">
        <v>-2.2759999999999998</v>
      </c>
      <c r="G80">
        <v>-2.2759999999999998</v>
      </c>
      <c r="H80" s="3">
        <f t="shared" si="8"/>
        <v>0</v>
      </c>
      <c r="I80">
        <v>0.38764868496251098</v>
      </c>
      <c r="J80">
        <v>0.38764868496251098</v>
      </c>
      <c r="K80" s="3">
        <f t="shared" si="9"/>
        <v>0</v>
      </c>
      <c r="L80">
        <v>1.360362199945492</v>
      </c>
      <c r="M80">
        <v>1.360362199945492</v>
      </c>
      <c r="N80" s="3">
        <f t="shared" si="10"/>
        <v>0</v>
      </c>
      <c r="O80">
        <v>-3.3849999999999998</v>
      </c>
      <c r="P80">
        <v>-3.3849999999999998</v>
      </c>
      <c r="Q80" s="3">
        <f t="shared" si="11"/>
        <v>0</v>
      </c>
      <c r="R80">
        <v>83</v>
      </c>
      <c r="S80">
        <v>620</v>
      </c>
    </row>
    <row r="81" spans="1:19" x14ac:dyDescent="0.35">
      <c r="A81" t="s">
        <v>177</v>
      </c>
      <c r="B81" t="s">
        <v>137</v>
      </c>
      <c r="C81" t="s">
        <v>134</v>
      </c>
      <c r="D81" t="s">
        <v>29</v>
      </c>
      <c r="E81" t="s">
        <v>11</v>
      </c>
      <c r="F81">
        <v>-0.46700000000000003</v>
      </c>
      <c r="G81">
        <v>-0.97799999999999998</v>
      </c>
      <c r="H81" s="3">
        <f t="shared" si="8"/>
        <v>-52.249488752556225</v>
      </c>
      <c r="I81">
        <v>5.6161320958309853</v>
      </c>
      <c r="J81">
        <v>0.29364527879753488</v>
      </c>
      <c r="K81" s="3">
        <f t="shared" si="9"/>
        <v>-94.771396509431881</v>
      </c>
      <c r="L81">
        <v>7.6430325659728942</v>
      </c>
      <c r="M81">
        <v>0.39962386752971629</v>
      </c>
      <c r="N81" s="3">
        <f t="shared" si="10"/>
        <v>-94.771396509431881</v>
      </c>
      <c r="O81">
        <v>-0.82100000000000006</v>
      </c>
      <c r="P81">
        <v>-1.387</v>
      </c>
      <c r="Q81" s="3">
        <f t="shared" si="11"/>
        <v>-40.807498197548661</v>
      </c>
      <c r="R81">
        <v>23.8</v>
      </c>
      <c r="S81">
        <v>350</v>
      </c>
    </row>
    <row r="82" spans="1:19" x14ac:dyDescent="0.35">
      <c r="A82" t="s">
        <v>177</v>
      </c>
      <c r="B82" t="s">
        <v>139</v>
      </c>
      <c r="C82" t="s">
        <v>185</v>
      </c>
      <c r="D82" t="s">
        <v>67</v>
      </c>
      <c r="E82" t="s">
        <v>11</v>
      </c>
      <c r="F82">
        <v>-0.45400000000000001</v>
      </c>
      <c r="G82">
        <v>-2.0339999999999998</v>
      </c>
      <c r="H82" s="3">
        <f t="shared" si="8"/>
        <v>-77.679449360865291</v>
      </c>
      <c r="I82">
        <v>3.417948057939407</v>
      </c>
      <c r="J82">
        <v>1.266114470698436</v>
      </c>
      <c r="K82" s="3">
        <f t="shared" si="9"/>
        <v>-62.95688380174672</v>
      </c>
      <c r="L82">
        <v>38.797718504419507</v>
      </c>
      <c r="M82">
        <v>14.37188394786333</v>
      </c>
      <c r="N82" s="3">
        <f t="shared" si="10"/>
        <v>-62.95688380174672</v>
      </c>
      <c r="O82">
        <v>-1.0529999999999999</v>
      </c>
      <c r="P82">
        <v>-1.875</v>
      </c>
      <c r="Q82" s="3">
        <f t="shared" si="11"/>
        <v>-43.84</v>
      </c>
      <c r="R82">
        <v>51.2</v>
      </c>
      <c r="S82">
        <v>410</v>
      </c>
    </row>
    <row r="83" spans="1:19" x14ac:dyDescent="0.35">
      <c r="A83" t="s">
        <v>186</v>
      </c>
      <c r="B83" t="s">
        <v>114</v>
      </c>
      <c r="C83" t="s">
        <v>187</v>
      </c>
      <c r="D83" t="s">
        <v>91</v>
      </c>
      <c r="E83" t="s">
        <v>13</v>
      </c>
      <c r="F83">
        <v>-9.8000000000000004E-2</v>
      </c>
      <c r="G83">
        <v>-1.6779999999999999</v>
      </c>
      <c r="H83" s="3">
        <f t="shared" si="8"/>
        <v>-94.159713945172825</v>
      </c>
      <c r="I83">
        <v>18.298334219646311</v>
      </c>
      <c r="J83">
        <v>2.6600557990725542</v>
      </c>
      <c r="K83" s="3">
        <f t="shared" si="9"/>
        <v>-85.462852699364618</v>
      </c>
      <c r="L83">
        <v>32.607287682818821</v>
      </c>
      <c r="M83">
        <v>4.7401694411933093</v>
      </c>
      <c r="N83" s="3">
        <f t="shared" si="10"/>
        <v>-85.462852699364618</v>
      </c>
      <c r="O83">
        <v>-1.0569999999999999</v>
      </c>
      <c r="P83">
        <v>-1.8320000000000001</v>
      </c>
      <c r="Q83" s="3">
        <f t="shared" si="11"/>
        <v>-42.303493449781662</v>
      </c>
      <c r="R83">
        <v>90</v>
      </c>
      <c r="S83">
        <v>650</v>
      </c>
    </row>
    <row r="84" spans="1:19" x14ac:dyDescent="0.35">
      <c r="A84" t="s">
        <v>186</v>
      </c>
      <c r="B84" t="s">
        <v>116</v>
      </c>
      <c r="C84" t="s">
        <v>134</v>
      </c>
      <c r="D84" t="s">
        <v>43</v>
      </c>
      <c r="E84" t="s">
        <v>13</v>
      </c>
      <c r="F84">
        <v>-0.123</v>
      </c>
      <c r="G84">
        <v>-0.94399999999999995</v>
      </c>
      <c r="H84" s="3">
        <f t="shared" si="8"/>
        <v>-86.970338983050837</v>
      </c>
      <c r="I84">
        <v>54.618603075164977</v>
      </c>
      <c r="J84">
        <v>17.160545759131789</v>
      </c>
      <c r="K84" s="3">
        <f t="shared" si="9"/>
        <v>-68.581133912348875</v>
      </c>
      <c r="L84">
        <v>48.968682655280219</v>
      </c>
      <c r="M84">
        <v>15.385404828349341</v>
      </c>
      <c r="N84" s="3">
        <f t="shared" si="10"/>
        <v>-68.581133912348875</v>
      </c>
      <c r="O84">
        <v>-0.23100000000000001</v>
      </c>
      <c r="P84">
        <v>-1.472</v>
      </c>
      <c r="Q84" s="3">
        <f t="shared" si="11"/>
        <v>-84.307065217391298</v>
      </c>
    </row>
    <row r="85" spans="1:19" x14ac:dyDescent="0.35">
      <c r="A85" t="s">
        <v>186</v>
      </c>
      <c r="B85" t="s">
        <v>118</v>
      </c>
      <c r="C85" t="s">
        <v>126</v>
      </c>
      <c r="D85" t="s">
        <v>97</v>
      </c>
      <c r="E85" t="s">
        <v>13</v>
      </c>
      <c r="F85">
        <v>-0.38600000000000001</v>
      </c>
      <c r="G85">
        <v>-1.286</v>
      </c>
      <c r="H85" s="3">
        <f t="shared" si="8"/>
        <v>-69.984447900466563</v>
      </c>
      <c r="I85">
        <v>5.4355975197985957</v>
      </c>
      <c r="J85">
        <v>1.6508999244019991</v>
      </c>
      <c r="K85" s="3">
        <f t="shared" si="9"/>
        <v>-69.627995480004373</v>
      </c>
      <c r="L85">
        <v>32.652644947362113</v>
      </c>
      <c r="M85">
        <v>9.9172627993109437</v>
      </c>
      <c r="N85" s="3">
        <f t="shared" si="10"/>
        <v>-69.627995480004373</v>
      </c>
      <c r="O85">
        <v>-0.98699999999999988</v>
      </c>
      <c r="P85">
        <v>-2.3279999999999998</v>
      </c>
      <c r="Q85" s="3">
        <f t="shared" si="11"/>
        <v>-57.603092783505161</v>
      </c>
      <c r="R85">
        <v>39.299999999999997</v>
      </c>
      <c r="S85">
        <v>410</v>
      </c>
    </row>
    <row r="86" spans="1:19" x14ac:dyDescent="0.35">
      <c r="A86" t="s">
        <v>186</v>
      </c>
      <c r="B86" t="s">
        <v>118</v>
      </c>
      <c r="C86" t="s">
        <v>176</v>
      </c>
      <c r="D86" t="s">
        <v>101</v>
      </c>
      <c r="E86" t="s">
        <v>13</v>
      </c>
      <c r="F86">
        <v>-0.40600000000000003</v>
      </c>
      <c r="G86">
        <v>-1.365</v>
      </c>
      <c r="H86" s="3">
        <f t="shared" si="8"/>
        <v>-70.256410256410248</v>
      </c>
      <c r="I86">
        <v>9.7856955802433401</v>
      </c>
      <c r="J86">
        <v>0.27163784421686188</v>
      </c>
      <c r="K86" s="3">
        <f t="shared" si="9"/>
        <v>-97.224133512130905</v>
      </c>
      <c r="L86">
        <v>27.522755757189771</v>
      </c>
      <c r="M86">
        <v>0.76399495360189207</v>
      </c>
      <c r="N86" s="3">
        <f t="shared" si="10"/>
        <v>-97.224133512130919</v>
      </c>
      <c r="O86">
        <v>-1.002</v>
      </c>
      <c r="P86">
        <v>-2.331</v>
      </c>
      <c r="Q86" s="3">
        <f t="shared" si="11"/>
        <v>-57.014157014157021</v>
      </c>
      <c r="R86">
        <v>65</v>
      </c>
      <c r="S86">
        <v>575</v>
      </c>
    </row>
    <row r="87" spans="1:19" x14ac:dyDescent="0.35">
      <c r="A87" t="s">
        <v>186</v>
      </c>
      <c r="B87" t="s">
        <v>120</v>
      </c>
      <c r="C87" t="s">
        <v>150</v>
      </c>
      <c r="D87" t="s">
        <v>33</v>
      </c>
      <c r="E87" t="s">
        <v>13</v>
      </c>
      <c r="F87">
        <v>-0.224</v>
      </c>
      <c r="G87">
        <v>-1.4279999999999999</v>
      </c>
      <c r="H87" s="3">
        <f t="shared" si="8"/>
        <v>-84.313725490196077</v>
      </c>
      <c r="I87">
        <v>3.193792351876191</v>
      </c>
      <c r="J87">
        <v>0.40813934998386497</v>
      </c>
      <c r="K87" s="3">
        <f t="shared" si="9"/>
        <v>-87.220855177259608</v>
      </c>
      <c r="L87">
        <v>26.076111450179489</v>
      </c>
      <c r="M87">
        <v>3.332304046357629</v>
      </c>
      <c r="N87" s="3">
        <f t="shared" si="10"/>
        <v>-87.220855177259608</v>
      </c>
      <c r="O87">
        <v>-0.78499999999999992</v>
      </c>
      <c r="P87">
        <v>-2.7869999999999999</v>
      </c>
      <c r="Q87" s="3">
        <f t="shared" si="11"/>
        <v>-71.833512737710791</v>
      </c>
      <c r="R87">
        <v>12.9</v>
      </c>
      <c r="S87">
        <v>270</v>
      </c>
    </row>
    <row r="88" spans="1:19" x14ac:dyDescent="0.35">
      <c r="A88" t="s">
        <v>186</v>
      </c>
      <c r="B88" t="s">
        <v>120</v>
      </c>
      <c r="C88" t="s">
        <v>188</v>
      </c>
      <c r="D88" t="s">
        <v>94</v>
      </c>
      <c r="E88" t="s">
        <v>13</v>
      </c>
      <c r="F88">
        <v>-0.27900000000000003</v>
      </c>
      <c r="G88">
        <v>-1.085</v>
      </c>
      <c r="H88" s="3">
        <f t="shared" si="8"/>
        <v>-74.285714285714278</v>
      </c>
      <c r="I88">
        <v>1.370007804915635</v>
      </c>
      <c r="J88">
        <v>0.2245890096769792</v>
      </c>
      <c r="K88" s="3">
        <f t="shared" si="9"/>
        <v>-83.606735022154908</v>
      </c>
      <c r="L88">
        <v>7.7026378455970361</v>
      </c>
      <c r="M88">
        <v>1.2627138323125009</v>
      </c>
      <c r="N88" s="3">
        <f t="shared" si="10"/>
        <v>-83.606735022154908</v>
      </c>
      <c r="O88">
        <v>-0.23499999999999999</v>
      </c>
      <c r="P88">
        <v>-2.198</v>
      </c>
      <c r="Q88" s="3">
        <f t="shared" si="11"/>
        <v>-89.308462238398548</v>
      </c>
      <c r="R88">
        <v>17.7</v>
      </c>
      <c r="S88">
        <v>375</v>
      </c>
    </row>
    <row r="89" spans="1:19" x14ac:dyDescent="0.35">
      <c r="A89" t="s">
        <v>186</v>
      </c>
      <c r="B89" t="s">
        <v>123</v>
      </c>
      <c r="C89" t="s">
        <v>189</v>
      </c>
      <c r="D89" t="s">
        <v>100</v>
      </c>
      <c r="E89" t="s">
        <v>13</v>
      </c>
      <c r="F89">
        <v>-0.32300000000000001</v>
      </c>
      <c r="G89">
        <v>-0.86499999999999999</v>
      </c>
      <c r="H89" s="3">
        <f t="shared" si="8"/>
        <v>-62.658959537572258</v>
      </c>
      <c r="I89">
        <v>7.7847120626621331</v>
      </c>
      <c r="J89">
        <v>0.43415157669487708</v>
      </c>
      <c r="K89" s="3">
        <f t="shared" si="9"/>
        <v>-94.423023315438982</v>
      </c>
      <c r="L89">
        <v>13.954611422900451</v>
      </c>
      <c r="M89">
        <v>0.77824542547624798</v>
      </c>
      <c r="N89" s="3">
        <f t="shared" si="10"/>
        <v>-94.423023315438968</v>
      </c>
      <c r="O89">
        <v>-0.251</v>
      </c>
      <c r="P89">
        <v>-1.008</v>
      </c>
      <c r="Q89" s="3">
        <f t="shared" si="11"/>
        <v>-75.099206349206355</v>
      </c>
      <c r="R89">
        <v>85</v>
      </c>
      <c r="S89">
        <v>767</v>
      </c>
    </row>
    <row r="90" spans="1:19" x14ac:dyDescent="0.35">
      <c r="A90" t="s">
        <v>186</v>
      </c>
      <c r="B90" t="s">
        <v>125</v>
      </c>
      <c r="C90" t="s">
        <v>151</v>
      </c>
      <c r="D90" t="s">
        <v>66</v>
      </c>
      <c r="E90" t="s">
        <v>13</v>
      </c>
      <c r="F90">
        <v>-0.21199999999999999</v>
      </c>
      <c r="G90">
        <v>-1.395</v>
      </c>
      <c r="H90" s="3">
        <f t="shared" si="8"/>
        <v>-84.802867383512549</v>
      </c>
      <c r="I90">
        <v>25.52548424002304</v>
      </c>
      <c r="J90">
        <v>0.28381660704350858</v>
      </c>
      <c r="K90" s="3">
        <f t="shared" si="9"/>
        <v>-98.888104905769055</v>
      </c>
      <c r="L90">
        <v>65.237142648505269</v>
      </c>
      <c r="M90">
        <v>0.72536858872517229</v>
      </c>
      <c r="N90" s="3">
        <f t="shared" si="10"/>
        <v>-98.888104905769055</v>
      </c>
      <c r="O90">
        <v>-0.81899999999999995</v>
      </c>
      <c r="P90">
        <v>-1.5229999999999999</v>
      </c>
      <c r="Q90" s="3">
        <f t="shared" si="11"/>
        <v>-46.224556795797767</v>
      </c>
      <c r="R90">
        <v>59.2</v>
      </c>
      <c r="S90">
        <v>370</v>
      </c>
    </row>
    <row r="91" spans="1:19" x14ac:dyDescent="0.35">
      <c r="A91" t="s">
        <v>186</v>
      </c>
      <c r="B91" t="s">
        <v>129</v>
      </c>
      <c r="C91" t="s">
        <v>152</v>
      </c>
      <c r="D91" t="s">
        <v>82</v>
      </c>
      <c r="E91" t="s">
        <v>13</v>
      </c>
      <c r="F91">
        <v>-0.32800000000000001</v>
      </c>
      <c r="G91">
        <v>-2.5760000000000001</v>
      </c>
      <c r="H91" s="3">
        <f t="shared" si="8"/>
        <v>-87.267080745341616</v>
      </c>
      <c r="I91">
        <v>4.3666925958813758</v>
      </c>
      <c r="J91">
        <v>0</v>
      </c>
      <c r="K91" s="3">
        <f t="shared" si="9"/>
        <v>-100</v>
      </c>
      <c r="L91">
        <v>35.028884837824528</v>
      </c>
      <c r="M91">
        <v>0</v>
      </c>
      <c r="N91" s="3">
        <f t="shared" si="10"/>
        <v>-100</v>
      </c>
      <c r="O91">
        <v>-0.94299999999999995</v>
      </c>
      <c r="P91">
        <v>-2.4119999999999999</v>
      </c>
      <c r="Q91" s="3">
        <f t="shared" si="11"/>
        <v>-60.903814262023218</v>
      </c>
      <c r="R91">
        <v>40.299999999999997</v>
      </c>
      <c r="S91">
        <v>610</v>
      </c>
    </row>
    <row r="92" spans="1:19" x14ac:dyDescent="0.35">
      <c r="A92" t="s">
        <v>186</v>
      </c>
      <c r="B92" t="s">
        <v>131</v>
      </c>
      <c r="C92" t="s">
        <v>190</v>
      </c>
      <c r="D92" t="s">
        <v>85</v>
      </c>
      <c r="E92" t="s">
        <v>13</v>
      </c>
      <c r="F92">
        <v>-0.151</v>
      </c>
      <c r="G92">
        <v>-0.95099999999999996</v>
      </c>
      <c r="H92" s="3">
        <f t="shared" si="8"/>
        <v>-84.121976866456365</v>
      </c>
      <c r="I92">
        <v>17.877123142029461</v>
      </c>
      <c r="J92">
        <v>9.2168959811814641</v>
      </c>
      <c r="K92" s="3">
        <f t="shared" si="9"/>
        <v>-48.443069346474637</v>
      </c>
      <c r="L92">
        <v>38.014217355511882</v>
      </c>
      <c r="M92">
        <v>19.598963680461669</v>
      </c>
      <c r="N92" s="3">
        <f t="shared" si="10"/>
        <v>-48.44306934647463</v>
      </c>
      <c r="O92">
        <v>-0.39200000000000002</v>
      </c>
      <c r="P92">
        <v>-2.0819999999999999</v>
      </c>
      <c r="Q92" s="3">
        <f t="shared" si="11"/>
        <v>-81.171950048030737</v>
      </c>
      <c r="R92">
        <v>73</v>
      </c>
      <c r="S92">
        <v>800</v>
      </c>
    </row>
    <row r="93" spans="1:19" x14ac:dyDescent="0.35">
      <c r="A93" t="s">
        <v>186</v>
      </c>
      <c r="B93" t="s">
        <v>133</v>
      </c>
      <c r="C93" t="s">
        <v>191</v>
      </c>
      <c r="D93" t="s">
        <v>77</v>
      </c>
      <c r="E93" t="s">
        <v>13</v>
      </c>
      <c r="F93">
        <v>-0.23400000000000001</v>
      </c>
      <c r="G93">
        <v>-2.2650000000000001</v>
      </c>
      <c r="H93" s="3">
        <f t="shared" si="8"/>
        <v>-89.668874172185426</v>
      </c>
      <c r="I93">
        <v>11.076586135897029</v>
      </c>
      <c r="J93">
        <v>8.7651611768090287</v>
      </c>
      <c r="K93" s="3">
        <f t="shared" si="9"/>
        <v>-20.867665639299538</v>
      </c>
      <c r="L93">
        <v>29.594356868790651</v>
      </c>
      <c r="M93">
        <v>23.41870542931035</v>
      </c>
      <c r="N93" s="3">
        <f t="shared" si="10"/>
        <v>-20.86766563929951</v>
      </c>
      <c r="O93">
        <v>-0.442</v>
      </c>
      <c r="P93">
        <v>-3.4239999999999999</v>
      </c>
      <c r="Q93" s="3">
        <f t="shared" si="11"/>
        <v>-87.091121495327101</v>
      </c>
      <c r="R93">
        <v>55.9</v>
      </c>
      <c r="S93">
        <v>590</v>
      </c>
    </row>
    <row r="94" spans="1:19" x14ac:dyDescent="0.35">
      <c r="A94" t="s">
        <v>186</v>
      </c>
      <c r="B94" t="s">
        <v>135</v>
      </c>
      <c r="C94" t="s">
        <v>192</v>
      </c>
      <c r="D94" t="s">
        <v>89</v>
      </c>
      <c r="E94" t="s">
        <v>13</v>
      </c>
      <c r="F94">
        <v>-0.22500000000000001</v>
      </c>
      <c r="G94">
        <v>-1.145</v>
      </c>
      <c r="H94" s="3">
        <f t="shared" si="8"/>
        <v>-80.349344978165931</v>
      </c>
      <c r="I94">
        <v>8.4913345608633062</v>
      </c>
      <c r="J94">
        <v>1.4824221933887649</v>
      </c>
      <c r="K94" s="3">
        <f t="shared" si="9"/>
        <v>-82.541941048686596</v>
      </c>
      <c r="L94">
        <v>23.81148619283584</v>
      </c>
      <c r="M94">
        <v>4.1570232967291307</v>
      </c>
      <c r="N94" s="3">
        <f t="shared" si="10"/>
        <v>-82.541941048686596</v>
      </c>
      <c r="O94">
        <v>-0.97599999999999998</v>
      </c>
      <c r="P94">
        <v>-2.4350000000000001</v>
      </c>
      <c r="Q94" s="3">
        <f t="shared" si="11"/>
        <v>-59.917864476386043</v>
      </c>
      <c r="R94">
        <v>57</v>
      </c>
      <c r="S94">
        <v>720</v>
      </c>
    </row>
    <row r="95" spans="1:19" x14ac:dyDescent="0.35">
      <c r="A95" t="s">
        <v>186</v>
      </c>
      <c r="B95" t="s">
        <v>135</v>
      </c>
      <c r="C95" t="s">
        <v>163</v>
      </c>
      <c r="D95" t="s">
        <v>64</v>
      </c>
      <c r="E95" t="s">
        <v>13</v>
      </c>
      <c r="F95">
        <v>-0.308</v>
      </c>
      <c r="G95">
        <v>-1.7090000000000001</v>
      </c>
      <c r="H95" s="3">
        <f t="shared" si="8"/>
        <v>-81.977764774722061</v>
      </c>
      <c r="I95">
        <v>14.363380428249609</v>
      </c>
      <c r="J95">
        <v>2.2815171210598302</v>
      </c>
      <c r="K95" s="3">
        <f t="shared" si="9"/>
        <v>-84.115737012906877</v>
      </c>
      <c r="L95">
        <v>16.3153008464684</v>
      </c>
      <c r="M95">
        <v>2.5915652935884701</v>
      </c>
      <c r="N95" s="3">
        <f t="shared" si="10"/>
        <v>-84.115737012906891</v>
      </c>
      <c r="O95">
        <v>-1.2929999999999999</v>
      </c>
      <c r="P95">
        <v>-2.3969999999999998</v>
      </c>
      <c r="Q95" s="3">
        <f t="shared" si="11"/>
        <v>-46.057571964956196</v>
      </c>
      <c r="R95">
        <v>80</v>
      </c>
      <c r="S95">
        <v>715</v>
      </c>
    </row>
    <row r="96" spans="1:19" x14ac:dyDescent="0.35">
      <c r="A96" t="s">
        <v>186</v>
      </c>
      <c r="B96" t="s">
        <v>137</v>
      </c>
      <c r="C96" t="s">
        <v>155</v>
      </c>
      <c r="D96" t="s">
        <v>59</v>
      </c>
      <c r="E96" t="s">
        <v>13</v>
      </c>
      <c r="F96">
        <v>-0.28199999999999997</v>
      </c>
      <c r="G96">
        <v>-0.94100000000000006</v>
      </c>
      <c r="H96" s="3">
        <f t="shared" si="8"/>
        <v>-70.031880977683315</v>
      </c>
      <c r="I96">
        <v>4.7627758821154291</v>
      </c>
      <c r="J96">
        <v>0.1736225002065524</v>
      </c>
      <c r="K96" s="3">
        <f t="shared" si="9"/>
        <v>-96.354594368831897</v>
      </c>
      <c r="L96">
        <v>14.74338367628234</v>
      </c>
      <c r="M96">
        <v>0.53745613875991594</v>
      </c>
      <c r="N96" s="3">
        <f t="shared" si="10"/>
        <v>-96.354594368831897</v>
      </c>
      <c r="O96">
        <v>-0.82400000000000007</v>
      </c>
      <c r="P96">
        <v>-1.1719999999999999</v>
      </c>
      <c r="Q96" s="3">
        <f t="shared" si="11"/>
        <v>-29.692832764505113</v>
      </c>
      <c r="R96">
        <v>60</v>
      </c>
      <c r="S96">
        <v>537</v>
      </c>
    </row>
    <row r="97" spans="1:19" x14ac:dyDescent="0.35">
      <c r="A97" t="s">
        <v>186</v>
      </c>
      <c r="B97" t="s">
        <v>139</v>
      </c>
      <c r="C97" t="s">
        <v>179</v>
      </c>
      <c r="D97" t="s">
        <v>57</v>
      </c>
      <c r="E97" t="s">
        <v>13</v>
      </c>
      <c r="F97">
        <v>-0.20100000000000001</v>
      </c>
      <c r="G97">
        <v>-1.423</v>
      </c>
      <c r="H97" s="3">
        <f t="shared" si="8"/>
        <v>-85.874912157413902</v>
      </c>
      <c r="I97">
        <v>3.588442732436445</v>
      </c>
      <c r="J97">
        <v>0.29303851489996963</v>
      </c>
      <c r="K97" s="3">
        <f t="shared" si="9"/>
        <v>-91.833824955567707</v>
      </c>
      <c r="L97">
        <v>23.084280405542589</v>
      </c>
      <c r="M97">
        <v>1.885102745664196</v>
      </c>
      <c r="N97" s="3">
        <f t="shared" si="10"/>
        <v>-91.833824955567707</v>
      </c>
      <c r="O97">
        <v>-0.64700000000000002</v>
      </c>
      <c r="P97">
        <v>-1.893</v>
      </c>
      <c r="Q97" s="3">
        <f t="shared" si="11"/>
        <v>-65.821447437929208</v>
      </c>
      <c r="R97">
        <v>33.9</v>
      </c>
      <c r="S97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F9DC-7D53-4D17-9649-B931B439919D}">
  <dimension ref="A1:M25"/>
  <sheetViews>
    <sheetView tabSelected="1" workbookViewId="0">
      <selection activeCell="I9" sqref="I9"/>
    </sheetView>
  </sheetViews>
  <sheetFormatPr defaultRowHeight="14.5" x14ac:dyDescent="0.35"/>
  <cols>
    <col min="7" max="7" width="12.08984375" bestFit="1" customWidth="1"/>
  </cols>
  <sheetData>
    <row r="1" spans="1:13" x14ac:dyDescent="0.35">
      <c r="A1" t="s">
        <v>1</v>
      </c>
      <c r="B1" t="s">
        <v>112</v>
      </c>
      <c r="C1" s="6" t="s">
        <v>108</v>
      </c>
      <c r="D1" s="6" t="s">
        <v>109</v>
      </c>
      <c r="E1" s="6" t="s">
        <v>110</v>
      </c>
      <c r="F1" s="6" t="s">
        <v>111</v>
      </c>
      <c r="G1" s="1" t="s">
        <v>202</v>
      </c>
      <c r="H1" s="1" t="s">
        <v>203</v>
      </c>
      <c r="I1" s="6" t="s">
        <v>204</v>
      </c>
      <c r="J1" s="6" t="s">
        <v>205</v>
      </c>
      <c r="K1" s="6" t="s">
        <v>206</v>
      </c>
      <c r="L1" s="1" t="s">
        <v>208</v>
      </c>
      <c r="M1" s="1" t="s">
        <v>209</v>
      </c>
    </row>
    <row r="2" spans="1:13" x14ac:dyDescent="0.35">
      <c r="A2" t="s">
        <v>11</v>
      </c>
      <c r="B2" s="7" t="s">
        <v>143</v>
      </c>
      <c r="C2">
        <v>-84.670147499283331</v>
      </c>
      <c r="D2">
        <v>-87.7465750809925</v>
      </c>
      <c r="E2">
        <v>-87.7465750809925</v>
      </c>
      <c r="F2">
        <v>-84.195059288344225</v>
      </c>
      <c r="G2">
        <v>0.91666666699999999</v>
      </c>
      <c r="H2">
        <v>6.973073136</v>
      </c>
      <c r="I2">
        <v>43.214457879629627</v>
      </c>
      <c r="J2">
        <v>56.081481481481475</v>
      </c>
      <c r="K2">
        <v>572.51851851851848</v>
      </c>
      <c r="L2">
        <v>-100</v>
      </c>
      <c r="M2" t="s">
        <v>210</v>
      </c>
    </row>
    <row r="3" spans="1:13" x14ac:dyDescent="0.35">
      <c r="A3" t="s">
        <v>11</v>
      </c>
      <c r="B3" s="7" t="s">
        <v>114</v>
      </c>
      <c r="C3">
        <v>-82.901775720998899</v>
      </c>
      <c r="D3">
        <v>-80.492879538373685</v>
      </c>
      <c r="E3">
        <v>-80.492879538373685</v>
      </c>
      <c r="F3">
        <v>-69.701626189265482</v>
      </c>
      <c r="G3">
        <v>0.90277777800000003</v>
      </c>
      <c r="H3">
        <v>7.9135658759999998</v>
      </c>
      <c r="I3">
        <v>49.14731728750003</v>
      </c>
      <c r="J3">
        <v>59.924999999999976</v>
      </c>
      <c r="K3">
        <v>587</v>
      </c>
      <c r="L3">
        <v>-62.793197279191183</v>
      </c>
      <c r="M3" t="s">
        <v>210</v>
      </c>
    </row>
    <row r="4" spans="1:13" x14ac:dyDescent="0.35">
      <c r="A4" t="s">
        <v>11</v>
      </c>
      <c r="B4" s="7" t="s">
        <v>116</v>
      </c>
      <c r="C4">
        <v>-69.199693057687099</v>
      </c>
      <c r="D4">
        <v>-55.587651192570988</v>
      </c>
      <c r="E4">
        <v>-55.587651192570988</v>
      </c>
      <c r="F4">
        <v>-92.54536438569481</v>
      </c>
      <c r="G4">
        <v>0.48369451499999999</v>
      </c>
      <c r="H4">
        <v>5.3558472679999998</v>
      </c>
      <c r="I4">
        <v>76.656419790178617</v>
      </c>
      <c r="J4">
        <v>79.04642857142855</v>
      </c>
      <c r="K4">
        <v>727.07142857142856</v>
      </c>
      <c r="L4">
        <v>-36.4766041356404</v>
      </c>
      <c r="M4" t="s">
        <v>210</v>
      </c>
    </row>
    <row r="5" spans="1:13" x14ac:dyDescent="0.35">
      <c r="A5" t="s">
        <v>11</v>
      </c>
      <c r="B5" s="7" t="s">
        <v>118</v>
      </c>
      <c r="C5">
        <v>-81.124904539625589</v>
      </c>
      <c r="D5">
        <v>-84.433005626773493</v>
      </c>
      <c r="E5">
        <v>-84.433005626773493</v>
      </c>
      <c r="F5">
        <v>-77.658977240527776</v>
      </c>
      <c r="G5">
        <v>0.73566449599999995</v>
      </c>
      <c r="H5">
        <v>11.46685551</v>
      </c>
      <c r="I5">
        <v>35.971129294642864</v>
      </c>
      <c r="J5">
        <v>56.632142857142853</v>
      </c>
      <c r="K5">
        <v>598.82142857142856</v>
      </c>
      <c r="L5">
        <v>-50.263671513671511</v>
      </c>
      <c r="M5" t="s">
        <v>210</v>
      </c>
    </row>
    <row r="6" spans="1:13" x14ac:dyDescent="0.35">
      <c r="A6" t="s">
        <v>11</v>
      </c>
      <c r="B6" s="7" t="s">
        <v>120</v>
      </c>
      <c r="C6">
        <v>-80.358890238787239</v>
      </c>
      <c r="D6">
        <v>-80.809312480413524</v>
      </c>
      <c r="E6">
        <v>-80.809312480413524</v>
      </c>
      <c r="F6">
        <v>-64.846529030374853</v>
      </c>
      <c r="G6">
        <v>0.34145366799999999</v>
      </c>
      <c r="H6">
        <v>4.6331839930000003</v>
      </c>
      <c r="I6">
        <v>11.361268657407415</v>
      </c>
      <c r="J6">
        <v>18.25185185185185</v>
      </c>
      <c r="K6">
        <v>296</v>
      </c>
      <c r="L6">
        <v>-16.355886821988516</v>
      </c>
      <c r="M6" t="s">
        <v>211</v>
      </c>
    </row>
    <row r="7" spans="1:13" x14ac:dyDescent="0.35">
      <c r="A7" t="s">
        <v>11</v>
      </c>
      <c r="B7" s="7" t="s">
        <v>123</v>
      </c>
      <c r="C7">
        <v>-61.342063674439395</v>
      </c>
      <c r="D7">
        <v>-74.899104160634295</v>
      </c>
      <c r="E7">
        <v>-74.899104160634295</v>
      </c>
      <c r="F7">
        <v>-54.36119462697804</v>
      </c>
      <c r="G7">
        <v>0.80808080800000004</v>
      </c>
      <c r="H7">
        <v>4.6706871630000002</v>
      </c>
      <c r="I7">
        <v>61.408846986111087</v>
      </c>
      <c r="J7">
        <v>82.818518518518516</v>
      </c>
      <c r="K7">
        <v>740.14814814814815</v>
      </c>
      <c r="L7">
        <v>-79.495224814063562</v>
      </c>
      <c r="M7" t="s">
        <v>210</v>
      </c>
    </row>
    <row r="8" spans="1:13" x14ac:dyDescent="0.35">
      <c r="A8" t="s">
        <v>11</v>
      </c>
      <c r="B8" s="7" t="s">
        <v>125</v>
      </c>
      <c r="C8">
        <v>-74.883041226310311</v>
      </c>
      <c r="D8">
        <v>-91.571412496291799</v>
      </c>
      <c r="E8">
        <v>-91.571412496291799</v>
      </c>
      <c r="F8">
        <v>-64.849904776243562</v>
      </c>
      <c r="G8">
        <v>1</v>
      </c>
      <c r="H8">
        <v>16.04331535</v>
      </c>
      <c r="I8">
        <v>40.581894781250014</v>
      </c>
      <c r="J8">
        <v>58.849999999999966</v>
      </c>
      <c r="K8">
        <v>538.75</v>
      </c>
      <c r="L8">
        <v>-97.777777777777771</v>
      </c>
      <c r="M8" t="s">
        <v>210</v>
      </c>
    </row>
    <row r="9" spans="1:13" x14ac:dyDescent="0.35">
      <c r="A9" t="s">
        <v>11</v>
      </c>
      <c r="B9" s="7" t="s">
        <v>131</v>
      </c>
      <c r="C9">
        <v>-77.240716412445579</v>
      </c>
      <c r="D9">
        <v>-67.455260649648721</v>
      </c>
      <c r="E9">
        <v>-67.455260649648721</v>
      </c>
      <c r="F9">
        <v>-54.772386725235052</v>
      </c>
      <c r="G9">
        <v>0.90104166699999999</v>
      </c>
      <c r="H9">
        <v>8.303634035</v>
      </c>
      <c r="I9">
        <v>102.46278394711544</v>
      </c>
      <c r="J9">
        <v>103.69230769230772</v>
      </c>
      <c r="K9">
        <v>769</v>
      </c>
      <c r="L9">
        <v>-79.545454545454547</v>
      </c>
      <c r="M9" t="s">
        <v>211</v>
      </c>
    </row>
    <row r="10" spans="1:13" x14ac:dyDescent="0.35">
      <c r="A10" t="s">
        <v>11</v>
      </c>
      <c r="B10" s="7" t="s">
        <v>133</v>
      </c>
      <c r="C10">
        <v>-76.37648734070541</v>
      </c>
      <c r="D10">
        <v>-58.312409261442539</v>
      </c>
      <c r="E10">
        <v>-58.312409261442532</v>
      </c>
      <c r="F10">
        <v>-67.990476896760981</v>
      </c>
      <c r="G10">
        <v>0.62404968500000002</v>
      </c>
      <c r="H10">
        <v>4.4458072719999997</v>
      </c>
      <c r="I10">
        <v>32.843616570000009</v>
      </c>
      <c r="J10">
        <v>51.644000000000013</v>
      </c>
      <c r="K10">
        <v>635.32000000000005</v>
      </c>
      <c r="L10">
        <v>-52.185941043083893</v>
      </c>
      <c r="M10" t="s">
        <v>211</v>
      </c>
    </row>
    <row r="11" spans="1:13" x14ac:dyDescent="0.35">
      <c r="A11" t="s">
        <v>11</v>
      </c>
      <c r="B11" s="7" t="s">
        <v>135</v>
      </c>
      <c r="C11">
        <v>-63.126543017432553</v>
      </c>
      <c r="D11">
        <v>-70.908746414102751</v>
      </c>
      <c r="E11">
        <v>-70.908746414102737</v>
      </c>
      <c r="F11">
        <v>-43.628542635340338</v>
      </c>
      <c r="G11">
        <v>0.12675614800000001</v>
      </c>
      <c r="H11">
        <v>4.8469792719999996</v>
      </c>
      <c r="I11">
        <v>35.54447727777778</v>
      </c>
      <c r="J11">
        <v>55.270370370370394</v>
      </c>
      <c r="K11">
        <v>573.25</v>
      </c>
      <c r="L11">
        <v>-8.6847903776419084</v>
      </c>
      <c r="M11" t="s">
        <v>211</v>
      </c>
    </row>
    <row r="12" spans="1:13" x14ac:dyDescent="0.35">
      <c r="A12" t="s">
        <v>11</v>
      </c>
      <c r="B12" s="7" t="s">
        <v>137</v>
      </c>
      <c r="C12">
        <v>-54.810251816265101</v>
      </c>
      <c r="D12">
        <v>-63.454012574674401</v>
      </c>
      <c r="E12">
        <v>-63.454012574674401</v>
      </c>
      <c r="F12">
        <v>-45.872026367139149</v>
      </c>
      <c r="G12">
        <v>0.84736842099999998</v>
      </c>
      <c r="H12">
        <v>2.7744539709999998</v>
      </c>
      <c r="I12">
        <v>117.96340575446432</v>
      </c>
      <c r="J12">
        <v>108.02499999999998</v>
      </c>
      <c r="K12">
        <v>714.89285714285711</v>
      </c>
      <c r="L12">
        <v>-36.226175028352891</v>
      </c>
      <c r="M12" t="s">
        <v>210</v>
      </c>
    </row>
    <row r="13" spans="1:13" x14ac:dyDescent="0.35">
      <c r="A13" t="s">
        <v>11</v>
      </c>
      <c r="B13" s="7" t="s">
        <v>139</v>
      </c>
      <c r="C13">
        <v>-85.729951897855258</v>
      </c>
      <c r="D13">
        <v>-79.41248480615846</v>
      </c>
      <c r="E13">
        <v>-79.412484806158446</v>
      </c>
      <c r="F13">
        <v>-59.969600282150388</v>
      </c>
      <c r="G13">
        <v>0.32133852400000001</v>
      </c>
      <c r="H13">
        <v>7.6251453329999999</v>
      </c>
      <c r="I13">
        <v>8.8341058299999968</v>
      </c>
      <c r="J13">
        <v>22.12592592592593</v>
      </c>
      <c r="K13">
        <v>386.07407407407408</v>
      </c>
      <c r="L13">
        <v>-24.101372615069934</v>
      </c>
      <c r="M13" t="s">
        <v>211</v>
      </c>
    </row>
    <row r="14" spans="1:13" x14ac:dyDescent="0.35">
      <c r="A14" s="8" t="s">
        <v>207</v>
      </c>
      <c r="B14" s="7" t="s">
        <v>114</v>
      </c>
      <c r="C14">
        <v>-86.475819970059689</v>
      </c>
      <c r="D14">
        <v>-67.8806795013449</v>
      </c>
      <c r="E14">
        <v>-67.880679501344929</v>
      </c>
      <c r="F14">
        <v>-58.207068568875734</v>
      </c>
      <c r="G14" s="9"/>
      <c r="I14">
        <v>57.294243990384643</v>
      </c>
      <c r="J14">
        <v>87.307692307692292</v>
      </c>
      <c r="K14">
        <v>691.15384615384619</v>
      </c>
      <c r="L14">
        <v>-58.821733821733829</v>
      </c>
      <c r="M14" t="s">
        <v>210</v>
      </c>
    </row>
    <row r="15" spans="1:13" x14ac:dyDescent="0.35">
      <c r="A15" s="8" t="s">
        <v>207</v>
      </c>
      <c r="B15" s="7" t="s">
        <v>116</v>
      </c>
      <c r="C15">
        <v>-76.478743885825338</v>
      </c>
      <c r="D15">
        <v>-53.186714138605282</v>
      </c>
      <c r="E15">
        <v>-53.186714138605296</v>
      </c>
      <c r="F15">
        <v>-88.014322836827873</v>
      </c>
      <c r="G15" s="9"/>
      <c r="I15">
        <v>99.079969860576981</v>
      </c>
      <c r="J15">
        <v>108.18846153846151</v>
      </c>
      <c r="K15">
        <v>809.53846153846155</v>
      </c>
      <c r="L15">
        <v>-49.025666783135335</v>
      </c>
      <c r="M15" t="s">
        <v>210</v>
      </c>
    </row>
    <row r="16" spans="1:13" x14ac:dyDescent="0.35">
      <c r="A16" s="8" t="s">
        <v>207</v>
      </c>
      <c r="B16" s="7" t="s">
        <v>118</v>
      </c>
      <c r="C16">
        <v>-74.191075112303238</v>
      </c>
      <c r="D16">
        <v>-84.650011091991104</v>
      </c>
      <c r="E16">
        <v>-84.650011091991104</v>
      </c>
      <c r="F16">
        <v>-70.095893679250153</v>
      </c>
      <c r="G16" s="9"/>
      <c r="I16">
        <v>31.099107990384603</v>
      </c>
      <c r="J16">
        <v>66.526923076923069</v>
      </c>
      <c r="K16">
        <v>578.88461538461536</v>
      </c>
      <c r="L16">
        <v>-49.71405278691153</v>
      </c>
      <c r="M16" t="s">
        <v>210</v>
      </c>
    </row>
    <row r="17" spans="1:13" x14ac:dyDescent="0.35">
      <c r="A17" s="8" t="s">
        <v>207</v>
      </c>
      <c r="B17" s="7" t="s">
        <v>120</v>
      </c>
      <c r="C17">
        <v>-83.465749376807452</v>
      </c>
      <c r="D17">
        <v>-89.985608309758248</v>
      </c>
      <c r="E17">
        <v>-89.985608309758248</v>
      </c>
      <c r="F17">
        <v>-70.915129352633741</v>
      </c>
      <c r="G17" s="9"/>
      <c r="I17">
        <v>14.307026494791673</v>
      </c>
      <c r="J17">
        <v>16.338888888888889</v>
      </c>
      <c r="K17">
        <v>264.5</v>
      </c>
      <c r="L17">
        <v>-26.75262952256308</v>
      </c>
      <c r="M17" t="s">
        <v>211</v>
      </c>
    </row>
    <row r="18" spans="1:13" x14ac:dyDescent="0.35">
      <c r="A18" s="8" t="s">
        <v>207</v>
      </c>
      <c r="B18" s="7" t="s">
        <v>123</v>
      </c>
      <c r="C18">
        <v>-56.284730918201547</v>
      </c>
      <c r="D18">
        <v>-92.61288115059854</v>
      </c>
      <c r="E18">
        <v>-79.279564009639955</v>
      </c>
      <c r="F18">
        <v>-62.895777784035658</v>
      </c>
      <c r="G18" s="9"/>
      <c r="I18">
        <v>131.02381603645836</v>
      </c>
      <c r="J18">
        <v>111.76249999999999</v>
      </c>
      <c r="K18">
        <v>804.41666666666663</v>
      </c>
      <c r="L18">
        <v>-21.87665343915344</v>
      </c>
      <c r="M18" t="s">
        <v>210</v>
      </c>
    </row>
    <row r="19" spans="1:13" x14ac:dyDescent="0.35">
      <c r="A19" s="8" t="s">
        <v>207</v>
      </c>
      <c r="B19" s="7" t="s">
        <v>125</v>
      </c>
      <c r="C19">
        <v>-88.588896676606055</v>
      </c>
      <c r="D19">
        <v>-88.786762588028594</v>
      </c>
      <c r="E19">
        <v>-88.78676258802858</v>
      </c>
      <c r="F19">
        <v>-56.347413255349494</v>
      </c>
      <c r="G19" s="9"/>
      <c r="I19">
        <v>31.136661182692315</v>
      </c>
      <c r="J19">
        <v>53.392307692307675</v>
      </c>
      <c r="K19">
        <v>471.23076923076923</v>
      </c>
      <c r="L19">
        <v>-76.335839598997481</v>
      </c>
      <c r="M19" t="s">
        <v>210</v>
      </c>
    </row>
    <row r="20" spans="1:13" x14ac:dyDescent="0.35">
      <c r="A20" s="8" t="s">
        <v>207</v>
      </c>
      <c r="B20" s="7" t="s">
        <v>129</v>
      </c>
      <c r="C20">
        <v>-80.406766397254671</v>
      </c>
      <c r="D20">
        <v>-81.478389057230316</v>
      </c>
      <c r="E20">
        <v>-81.478389057230316</v>
      </c>
      <c r="F20">
        <v>-56.659844061594953</v>
      </c>
      <c r="G20" s="9"/>
      <c r="I20">
        <v>11.336349850000003</v>
      </c>
      <c r="J20">
        <v>34.75</v>
      </c>
      <c r="K20">
        <v>558.6</v>
      </c>
      <c r="L20">
        <v>-25.685297759765845</v>
      </c>
      <c r="M20" t="s">
        <v>210</v>
      </c>
    </row>
    <row r="21" spans="1:13" x14ac:dyDescent="0.35">
      <c r="A21" s="8" t="s">
        <v>207</v>
      </c>
      <c r="B21" s="7" t="s">
        <v>131</v>
      </c>
      <c r="C21">
        <v>-86.010306168526981</v>
      </c>
      <c r="D21">
        <v>-65.392919230830998</v>
      </c>
      <c r="E21">
        <v>-65.392919230831012</v>
      </c>
      <c r="F21">
        <v>-64.790433167406988</v>
      </c>
      <c r="G21" s="9"/>
      <c r="I21">
        <v>78.587092842592611</v>
      </c>
      <c r="J21">
        <v>80.629629629629619</v>
      </c>
      <c r="K21">
        <v>765.55555555555554</v>
      </c>
      <c r="L21">
        <v>-24.448842108701768</v>
      </c>
      <c r="M21" t="s">
        <v>211</v>
      </c>
    </row>
    <row r="22" spans="1:13" x14ac:dyDescent="0.35">
      <c r="A22" s="8" t="s">
        <v>207</v>
      </c>
      <c r="B22" s="7" t="s">
        <v>133</v>
      </c>
      <c r="C22">
        <v>-91.008867869925638</v>
      </c>
      <c r="D22">
        <v>-56.933357688800804</v>
      </c>
      <c r="E22">
        <v>-56.933357688800783</v>
      </c>
      <c r="F22">
        <v>-65.544740468073186</v>
      </c>
      <c r="G22" s="9"/>
      <c r="I22">
        <v>50.057310874999992</v>
      </c>
      <c r="J22">
        <v>71.180000000000035</v>
      </c>
      <c r="K22">
        <v>711.44</v>
      </c>
      <c r="L22">
        <v>-17.588555369097854</v>
      </c>
      <c r="M22" t="s">
        <v>211</v>
      </c>
    </row>
    <row r="23" spans="1:13" x14ac:dyDescent="0.35">
      <c r="A23" s="8" t="s">
        <v>207</v>
      </c>
      <c r="B23" s="7" t="s">
        <v>135</v>
      </c>
      <c r="C23">
        <v>-81.169252033213354</v>
      </c>
      <c r="D23">
        <v>-63.466784123799982</v>
      </c>
      <c r="E23">
        <v>-63.466784123799997</v>
      </c>
      <c r="F23">
        <v>-47.413222854291561</v>
      </c>
      <c r="G23" s="9"/>
      <c r="I23">
        <v>50.037842875000003</v>
      </c>
      <c r="J23">
        <v>66.00833333333334</v>
      </c>
      <c r="K23">
        <v>702.875</v>
      </c>
      <c r="L23">
        <v>-83.63636363636364</v>
      </c>
      <c r="M23" t="s">
        <v>211</v>
      </c>
    </row>
    <row r="24" spans="1:13" x14ac:dyDescent="0.35">
      <c r="A24" s="8" t="s">
        <v>207</v>
      </c>
      <c r="B24" s="7" t="s">
        <v>137</v>
      </c>
      <c r="C24">
        <v>-56.931498163600821</v>
      </c>
      <c r="D24">
        <v>-95.186911298598318</v>
      </c>
      <c r="E24">
        <v>-95.186911298598332</v>
      </c>
      <c r="F24">
        <v>-33.175624388899394</v>
      </c>
      <c r="G24" s="9"/>
      <c r="I24">
        <v>46.464775819444441</v>
      </c>
      <c r="J24">
        <v>67.496296296296293</v>
      </c>
      <c r="K24">
        <v>552.96296296296293</v>
      </c>
      <c r="L24">
        <v>-13.186626394173564</v>
      </c>
      <c r="M24" t="s">
        <v>210</v>
      </c>
    </row>
    <row r="25" spans="1:13" x14ac:dyDescent="0.35">
      <c r="A25" s="8" t="s">
        <v>207</v>
      </c>
      <c r="B25" s="7" t="s">
        <v>139</v>
      </c>
      <c r="C25">
        <v>-80.584803958936192</v>
      </c>
      <c r="D25">
        <v>-80.163267187697031</v>
      </c>
      <c r="E25">
        <v>-80.163267187697031</v>
      </c>
      <c r="F25">
        <v>-65.113166126051453</v>
      </c>
      <c r="G25" s="9"/>
      <c r="I25">
        <v>19.994297151153845</v>
      </c>
      <c r="J25">
        <v>32.192307692307686</v>
      </c>
      <c r="K25">
        <v>473.23076923076923</v>
      </c>
      <c r="M25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Olivier Jean Leonce Manzi</cp:lastModifiedBy>
  <dcterms:created xsi:type="dcterms:W3CDTF">2024-11-01T14:44:15Z</dcterms:created>
  <dcterms:modified xsi:type="dcterms:W3CDTF">2025-07-24T18:38:06Z</dcterms:modified>
</cp:coreProperties>
</file>