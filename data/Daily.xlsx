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thenburg\Data\Hydraulic\Publication\"/>
    </mc:Choice>
  </mc:AlternateContent>
  <xr:revisionPtr revIDLastSave="0" documentId="13_ncr:1_{DA0CD1BE-B946-438E-A2A0-80DDB853707C}" xr6:coauthVersionLast="47" xr6:coauthVersionMax="47" xr10:uidLastSave="{00000000-0000-0000-0000-000000000000}"/>
  <bookViews>
    <workbookView xWindow="-110" yWindow="-110" windowWidth="19420" windowHeight="10300" firstSheet="1" activeTab="3" xr2:uid="{E3124DA1-5069-446F-910D-D46287D0445C}"/>
  </bookViews>
  <sheets>
    <sheet name="Makera" sheetId="1" r:id="rId1"/>
    <sheet name="Makera1" sheetId="3" r:id="rId2"/>
    <sheet name="Rubona_raw" sheetId="2" r:id="rId3"/>
    <sheet name="Rubona" sheetId="5" r:id="rId4"/>
    <sheet name="AL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2" i="5"/>
  <c r="I337" i="5" l="1"/>
  <c r="J337" i="5" s="1"/>
  <c r="K337" i="5" s="1"/>
  <c r="I336" i="5"/>
  <c r="J336" i="5" s="1"/>
  <c r="K336" i="5" s="1"/>
  <c r="I335" i="5"/>
  <c r="J335" i="5" s="1"/>
  <c r="K335" i="5" s="1"/>
  <c r="I334" i="5"/>
  <c r="J334" i="5" s="1"/>
  <c r="K334" i="5" s="1"/>
  <c r="I333" i="5"/>
  <c r="J333" i="5" s="1"/>
  <c r="K333" i="5" s="1"/>
  <c r="I332" i="5"/>
  <c r="J332" i="5" s="1"/>
  <c r="K332" i="5" s="1"/>
  <c r="I331" i="5"/>
  <c r="J331" i="5" s="1"/>
  <c r="K331" i="5" s="1"/>
  <c r="I330" i="5"/>
  <c r="J330" i="5" s="1"/>
  <c r="K330" i="5" s="1"/>
  <c r="I329" i="5"/>
  <c r="J329" i="5" s="1"/>
  <c r="K329" i="5" s="1"/>
  <c r="I328" i="5"/>
  <c r="J328" i="5" s="1"/>
  <c r="K328" i="5" s="1"/>
  <c r="I327" i="5"/>
  <c r="J327" i="5" s="1"/>
  <c r="K327" i="5" s="1"/>
  <c r="I326" i="5"/>
  <c r="J326" i="5" s="1"/>
  <c r="K326" i="5" s="1"/>
  <c r="I325" i="5"/>
  <c r="J325" i="5" s="1"/>
  <c r="K325" i="5" s="1"/>
  <c r="I324" i="5"/>
  <c r="J324" i="5" s="1"/>
  <c r="K324" i="5" s="1"/>
  <c r="I323" i="5"/>
  <c r="J323" i="5" s="1"/>
  <c r="K323" i="5" s="1"/>
  <c r="I322" i="5"/>
  <c r="J322" i="5" s="1"/>
  <c r="K322" i="5" s="1"/>
  <c r="I321" i="5"/>
  <c r="J321" i="5" s="1"/>
  <c r="K321" i="5" s="1"/>
  <c r="I320" i="5"/>
  <c r="J320" i="5" s="1"/>
  <c r="K320" i="5" s="1"/>
  <c r="I319" i="5"/>
  <c r="J319" i="5" s="1"/>
  <c r="K319" i="5" s="1"/>
  <c r="I318" i="5"/>
  <c r="J318" i="5" s="1"/>
  <c r="K318" i="5" s="1"/>
  <c r="I317" i="5"/>
  <c r="J317" i="5" s="1"/>
  <c r="K317" i="5" s="1"/>
  <c r="I316" i="5"/>
  <c r="J316" i="5" s="1"/>
  <c r="K316" i="5" s="1"/>
  <c r="I315" i="5"/>
  <c r="J315" i="5" s="1"/>
  <c r="K315" i="5" s="1"/>
  <c r="I314" i="5"/>
  <c r="J314" i="5" s="1"/>
  <c r="K314" i="5" s="1"/>
  <c r="I313" i="5"/>
  <c r="J313" i="5" s="1"/>
  <c r="K313" i="5" s="1"/>
  <c r="I312" i="5"/>
  <c r="J312" i="5" s="1"/>
  <c r="K312" i="5" s="1"/>
  <c r="J311" i="5"/>
  <c r="K311" i="5" s="1"/>
  <c r="I311" i="5"/>
  <c r="I310" i="5"/>
  <c r="J310" i="5" s="1"/>
  <c r="K310" i="5" s="1"/>
  <c r="I309" i="5"/>
  <c r="J309" i="5" s="1"/>
  <c r="K309" i="5" s="1"/>
  <c r="I308" i="5"/>
  <c r="J308" i="5" s="1"/>
  <c r="K308" i="5" s="1"/>
  <c r="J307" i="5"/>
  <c r="K307" i="5" s="1"/>
  <c r="I307" i="5"/>
  <c r="I306" i="5"/>
  <c r="J306" i="5" s="1"/>
  <c r="K306" i="5" s="1"/>
  <c r="I305" i="5"/>
  <c r="J305" i="5" s="1"/>
  <c r="K305" i="5" s="1"/>
  <c r="I304" i="5"/>
  <c r="J304" i="5" s="1"/>
  <c r="K304" i="5" s="1"/>
  <c r="I303" i="5"/>
  <c r="J303" i="5" s="1"/>
  <c r="K303" i="5" s="1"/>
  <c r="I302" i="5"/>
  <c r="J302" i="5" s="1"/>
  <c r="K302" i="5" s="1"/>
  <c r="I301" i="5"/>
  <c r="J301" i="5" s="1"/>
  <c r="K301" i="5" s="1"/>
  <c r="I300" i="5"/>
  <c r="J300" i="5" s="1"/>
  <c r="K300" i="5" s="1"/>
  <c r="I299" i="5"/>
  <c r="J299" i="5" s="1"/>
  <c r="K299" i="5" s="1"/>
  <c r="I298" i="5"/>
  <c r="J298" i="5" s="1"/>
  <c r="K298" i="5" s="1"/>
  <c r="I297" i="5"/>
  <c r="J297" i="5" s="1"/>
  <c r="K297" i="5" s="1"/>
  <c r="I296" i="5"/>
  <c r="J296" i="5" s="1"/>
  <c r="K296" i="5" s="1"/>
  <c r="I295" i="5"/>
  <c r="J295" i="5" s="1"/>
  <c r="K295" i="5" s="1"/>
  <c r="I294" i="5"/>
  <c r="J294" i="5" s="1"/>
  <c r="K294" i="5" s="1"/>
  <c r="I293" i="5"/>
  <c r="J293" i="5" s="1"/>
  <c r="K293" i="5" s="1"/>
  <c r="I292" i="5"/>
  <c r="J292" i="5" s="1"/>
  <c r="K292" i="5" s="1"/>
  <c r="I291" i="5"/>
  <c r="J291" i="5" s="1"/>
  <c r="K291" i="5" s="1"/>
  <c r="H290" i="5"/>
  <c r="I290" i="5" s="1"/>
  <c r="J290" i="5" s="1"/>
  <c r="K290" i="5" s="1"/>
  <c r="I289" i="5"/>
  <c r="J289" i="5" s="1"/>
  <c r="K289" i="5" s="1"/>
  <c r="I288" i="5"/>
  <c r="J288" i="5" s="1"/>
  <c r="K288" i="5" s="1"/>
  <c r="I287" i="5"/>
  <c r="J287" i="5" s="1"/>
  <c r="K287" i="5" s="1"/>
  <c r="I286" i="5"/>
  <c r="J286" i="5" s="1"/>
  <c r="K286" i="5" s="1"/>
  <c r="I285" i="5"/>
  <c r="J285" i="5" s="1"/>
  <c r="K285" i="5" s="1"/>
  <c r="I284" i="5"/>
  <c r="J284" i="5" s="1"/>
  <c r="K284" i="5" s="1"/>
  <c r="I283" i="5"/>
  <c r="J283" i="5" s="1"/>
  <c r="K283" i="5" s="1"/>
  <c r="I282" i="5"/>
  <c r="J282" i="5" s="1"/>
  <c r="K282" i="5" s="1"/>
  <c r="I281" i="5"/>
  <c r="J281" i="5" s="1"/>
  <c r="K281" i="5" s="1"/>
  <c r="I280" i="5"/>
  <c r="J280" i="5" s="1"/>
  <c r="K280" i="5" s="1"/>
  <c r="I279" i="5"/>
  <c r="J279" i="5" s="1"/>
  <c r="K279" i="5" s="1"/>
  <c r="I278" i="5"/>
  <c r="J278" i="5" s="1"/>
  <c r="K278" i="5" s="1"/>
  <c r="I277" i="5"/>
  <c r="J277" i="5" s="1"/>
  <c r="K277" i="5" s="1"/>
  <c r="I276" i="5"/>
  <c r="J276" i="5" s="1"/>
  <c r="K276" i="5" s="1"/>
  <c r="I275" i="5"/>
  <c r="J275" i="5" s="1"/>
  <c r="K275" i="5" s="1"/>
  <c r="I274" i="5"/>
  <c r="J274" i="5" s="1"/>
  <c r="K274" i="5" s="1"/>
  <c r="I273" i="5"/>
  <c r="J273" i="5" s="1"/>
  <c r="K273" i="5" s="1"/>
  <c r="I272" i="5"/>
  <c r="J272" i="5" s="1"/>
  <c r="K272" i="5" s="1"/>
  <c r="I271" i="5"/>
  <c r="J271" i="5" s="1"/>
  <c r="K271" i="5" s="1"/>
  <c r="I270" i="5"/>
  <c r="J270" i="5" s="1"/>
  <c r="K270" i="5" s="1"/>
  <c r="I269" i="5"/>
  <c r="J269" i="5" s="1"/>
  <c r="K269" i="5" s="1"/>
  <c r="I268" i="5"/>
  <c r="J268" i="5" s="1"/>
  <c r="K268" i="5" s="1"/>
  <c r="I267" i="5"/>
  <c r="J267" i="5" s="1"/>
  <c r="K267" i="5" s="1"/>
  <c r="I266" i="5"/>
  <c r="J266" i="5" s="1"/>
  <c r="K266" i="5" s="1"/>
  <c r="I265" i="5"/>
  <c r="J265" i="5" s="1"/>
  <c r="K265" i="5" s="1"/>
  <c r="I264" i="5"/>
  <c r="J264" i="5" s="1"/>
  <c r="K264" i="5" s="1"/>
  <c r="I263" i="5"/>
  <c r="J263" i="5" s="1"/>
  <c r="K263" i="5" s="1"/>
  <c r="I262" i="5"/>
  <c r="J262" i="5" s="1"/>
  <c r="K262" i="5" s="1"/>
  <c r="I261" i="5"/>
  <c r="J261" i="5" s="1"/>
  <c r="K261" i="5" s="1"/>
  <c r="I260" i="5"/>
  <c r="J260" i="5" s="1"/>
  <c r="K260" i="5" s="1"/>
  <c r="I259" i="5"/>
  <c r="J259" i="5" s="1"/>
  <c r="K259" i="5" s="1"/>
  <c r="I258" i="5"/>
  <c r="J258" i="5" s="1"/>
  <c r="K258" i="5" s="1"/>
  <c r="I257" i="5"/>
  <c r="J257" i="5" s="1"/>
  <c r="K257" i="5" s="1"/>
  <c r="I256" i="5"/>
  <c r="J256" i="5" s="1"/>
  <c r="K256" i="5" s="1"/>
  <c r="I255" i="5"/>
  <c r="J255" i="5" s="1"/>
  <c r="K255" i="5" s="1"/>
  <c r="I254" i="5"/>
  <c r="J254" i="5" s="1"/>
  <c r="K254" i="5" s="1"/>
  <c r="I253" i="5"/>
  <c r="J253" i="5" s="1"/>
  <c r="K253" i="5" s="1"/>
  <c r="I252" i="5"/>
  <c r="J252" i="5" s="1"/>
  <c r="K252" i="5" s="1"/>
  <c r="I251" i="5"/>
  <c r="J251" i="5" s="1"/>
  <c r="K251" i="5" s="1"/>
  <c r="I250" i="5"/>
  <c r="J250" i="5" s="1"/>
  <c r="K250" i="5" s="1"/>
  <c r="I249" i="5"/>
  <c r="J249" i="5" s="1"/>
  <c r="K249" i="5" s="1"/>
  <c r="I248" i="5"/>
  <c r="J248" i="5" s="1"/>
  <c r="K248" i="5" s="1"/>
  <c r="I247" i="5"/>
  <c r="J247" i="5" s="1"/>
  <c r="K247" i="5" s="1"/>
  <c r="I246" i="5"/>
  <c r="J246" i="5" s="1"/>
  <c r="K246" i="5" s="1"/>
  <c r="I245" i="5"/>
  <c r="J245" i="5" s="1"/>
  <c r="K245" i="5" s="1"/>
  <c r="I244" i="5"/>
  <c r="J244" i="5" s="1"/>
  <c r="K244" i="5" s="1"/>
  <c r="I243" i="5"/>
  <c r="J243" i="5" s="1"/>
  <c r="K243" i="5" s="1"/>
  <c r="H242" i="5"/>
  <c r="I242" i="5" s="1"/>
  <c r="J242" i="5" s="1"/>
  <c r="K242" i="5" s="1"/>
  <c r="I241" i="5"/>
  <c r="J241" i="5" s="1"/>
  <c r="K241" i="5" s="1"/>
  <c r="I240" i="5"/>
  <c r="J240" i="5" s="1"/>
  <c r="K240" i="5" s="1"/>
  <c r="I239" i="5"/>
  <c r="J239" i="5" s="1"/>
  <c r="K239" i="5" s="1"/>
  <c r="I238" i="5"/>
  <c r="J238" i="5" s="1"/>
  <c r="K238" i="5" s="1"/>
  <c r="I237" i="5"/>
  <c r="J237" i="5" s="1"/>
  <c r="K237" i="5" s="1"/>
  <c r="I236" i="5"/>
  <c r="J236" i="5" s="1"/>
  <c r="K236" i="5" s="1"/>
  <c r="I235" i="5"/>
  <c r="J235" i="5" s="1"/>
  <c r="K235" i="5" s="1"/>
  <c r="I234" i="5"/>
  <c r="J234" i="5" s="1"/>
  <c r="K234" i="5" s="1"/>
  <c r="I233" i="5"/>
  <c r="J233" i="5" s="1"/>
  <c r="K233" i="5" s="1"/>
  <c r="I232" i="5"/>
  <c r="J232" i="5" s="1"/>
  <c r="K232" i="5" s="1"/>
  <c r="I231" i="5"/>
  <c r="J231" i="5" s="1"/>
  <c r="K231" i="5" s="1"/>
  <c r="I230" i="5"/>
  <c r="J230" i="5" s="1"/>
  <c r="K230" i="5" s="1"/>
  <c r="I229" i="5"/>
  <c r="J229" i="5" s="1"/>
  <c r="K229" i="5" s="1"/>
  <c r="I228" i="5"/>
  <c r="J228" i="5" s="1"/>
  <c r="K228" i="5" s="1"/>
  <c r="I227" i="5"/>
  <c r="J227" i="5" s="1"/>
  <c r="K227" i="5" s="1"/>
  <c r="I226" i="5"/>
  <c r="J226" i="5" s="1"/>
  <c r="K226" i="5" s="1"/>
  <c r="I225" i="5"/>
  <c r="J225" i="5" s="1"/>
  <c r="K225" i="5" s="1"/>
  <c r="I224" i="5"/>
  <c r="J224" i="5" s="1"/>
  <c r="K224" i="5" s="1"/>
  <c r="I223" i="5"/>
  <c r="J223" i="5" s="1"/>
  <c r="K223" i="5" s="1"/>
  <c r="I222" i="5"/>
  <c r="J222" i="5" s="1"/>
  <c r="K222" i="5" s="1"/>
  <c r="I221" i="5"/>
  <c r="J221" i="5" s="1"/>
  <c r="K221" i="5" s="1"/>
  <c r="I220" i="5"/>
  <c r="J220" i="5" s="1"/>
  <c r="K220" i="5" s="1"/>
  <c r="I219" i="5"/>
  <c r="J219" i="5" s="1"/>
  <c r="K219" i="5" s="1"/>
  <c r="I218" i="5"/>
  <c r="J218" i="5" s="1"/>
  <c r="K218" i="5" s="1"/>
  <c r="I217" i="5"/>
  <c r="J217" i="5" s="1"/>
  <c r="K217" i="5" s="1"/>
  <c r="I216" i="5"/>
  <c r="J216" i="5" s="1"/>
  <c r="K216" i="5" s="1"/>
  <c r="I215" i="5"/>
  <c r="J215" i="5" s="1"/>
  <c r="K215" i="5" s="1"/>
  <c r="I214" i="5"/>
  <c r="J214" i="5" s="1"/>
  <c r="K214" i="5" s="1"/>
  <c r="I213" i="5"/>
  <c r="J213" i="5" s="1"/>
  <c r="K213" i="5" s="1"/>
  <c r="I212" i="5"/>
  <c r="J212" i="5" s="1"/>
  <c r="K212" i="5" s="1"/>
  <c r="I211" i="5"/>
  <c r="J211" i="5" s="1"/>
  <c r="K211" i="5" s="1"/>
  <c r="J210" i="5"/>
  <c r="K210" i="5" s="1"/>
  <c r="I210" i="5"/>
  <c r="I209" i="5"/>
  <c r="J209" i="5" s="1"/>
  <c r="K209" i="5" s="1"/>
  <c r="I208" i="5"/>
  <c r="J208" i="5" s="1"/>
  <c r="K208" i="5" s="1"/>
  <c r="I207" i="5"/>
  <c r="J207" i="5" s="1"/>
  <c r="K207" i="5" s="1"/>
  <c r="I206" i="5"/>
  <c r="J206" i="5" s="1"/>
  <c r="K206" i="5" s="1"/>
  <c r="I205" i="5"/>
  <c r="J205" i="5" s="1"/>
  <c r="K205" i="5" s="1"/>
  <c r="J204" i="5"/>
  <c r="K204" i="5" s="1"/>
  <c r="I204" i="5"/>
  <c r="I203" i="5"/>
  <c r="J203" i="5" s="1"/>
  <c r="K203" i="5" s="1"/>
  <c r="I202" i="5"/>
  <c r="J202" i="5" s="1"/>
  <c r="K202" i="5" s="1"/>
  <c r="I201" i="5"/>
  <c r="J201" i="5" s="1"/>
  <c r="K201" i="5" s="1"/>
  <c r="I200" i="5"/>
  <c r="J200" i="5" s="1"/>
  <c r="K200" i="5" s="1"/>
  <c r="I199" i="5"/>
  <c r="J199" i="5" s="1"/>
  <c r="K199" i="5" s="1"/>
  <c r="I198" i="5"/>
  <c r="J198" i="5" s="1"/>
  <c r="K198" i="5" s="1"/>
  <c r="I197" i="5"/>
  <c r="J197" i="5" s="1"/>
  <c r="K197" i="5" s="1"/>
  <c r="I196" i="5"/>
  <c r="J196" i="5" s="1"/>
  <c r="K196" i="5" s="1"/>
  <c r="I195" i="5"/>
  <c r="J195" i="5" s="1"/>
  <c r="K195" i="5" s="1"/>
  <c r="H194" i="5"/>
  <c r="I194" i="5" s="1"/>
  <c r="J194" i="5" s="1"/>
  <c r="K194" i="5" s="1"/>
  <c r="I193" i="5"/>
  <c r="J193" i="5" s="1"/>
  <c r="K193" i="5" s="1"/>
  <c r="I192" i="5"/>
  <c r="J192" i="5" s="1"/>
  <c r="K192" i="5" s="1"/>
  <c r="I191" i="5"/>
  <c r="J191" i="5" s="1"/>
  <c r="K191" i="5" s="1"/>
  <c r="K190" i="5"/>
  <c r="I190" i="5"/>
  <c r="J190" i="5" s="1"/>
  <c r="I189" i="5"/>
  <c r="J189" i="5" s="1"/>
  <c r="K189" i="5" s="1"/>
  <c r="I188" i="5"/>
  <c r="J188" i="5" s="1"/>
  <c r="K188" i="5" s="1"/>
  <c r="I187" i="5"/>
  <c r="J187" i="5" s="1"/>
  <c r="K187" i="5" s="1"/>
  <c r="I186" i="5"/>
  <c r="J186" i="5" s="1"/>
  <c r="K186" i="5" s="1"/>
  <c r="I185" i="5"/>
  <c r="J185" i="5" s="1"/>
  <c r="K185" i="5" s="1"/>
  <c r="K184" i="5"/>
  <c r="I184" i="5"/>
  <c r="J184" i="5" s="1"/>
  <c r="I183" i="5"/>
  <c r="J183" i="5" s="1"/>
  <c r="K183" i="5" s="1"/>
  <c r="I182" i="5"/>
  <c r="J182" i="5" s="1"/>
  <c r="K182" i="5" s="1"/>
  <c r="I181" i="5"/>
  <c r="J181" i="5" s="1"/>
  <c r="K181" i="5" s="1"/>
  <c r="I180" i="5"/>
  <c r="J180" i="5" s="1"/>
  <c r="K180" i="5" s="1"/>
  <c r="I179" i="5"/>
  <c r="J179" i="5" s="1"/>
  <c r="K179" i="5" s="1"/>
  <c r="I178" i="5"/>
  <c r="J178" i="5" s="1"/>
  <c r="K178" i="5" s="1"/>
  <c r="I177" i="5"/>
  <c r="J177" i="5" s="1"/>
  <c r="K177" i="5" s="1"/>
  <c r="I176" i="5"/>
  <c r="J176" i="5" s="1"/>
  <c r="K176" i="5" s="1"/>
  <c r="I175" i="5"/>
  <c r="J175" i="5" s="1"/>
  <c r="K175" i="5" s="1"/>
  <c r="I174" i="5"/>
  <c r="J174" i="5" s="1"/>
  <c r="K174" i="5" s="1"/>
  <c r="I173" i="5"/>
  <c r="J173" i="5" s="1"/>
  <c r="K173" i="5" s="1"/>
  <c r="I172" i="5"/>
  <c r="J172" i="5" s="1"/>
  <c r="K172" i="5" s="1"/>
  <c r="I171" i="5"/>
  <c r="J171" i="5" s="1"/>
  <c r="K171" i="5" s="1"/>
  <c r="I170" i="5"/>
  <c r="J170" i="5" s="1"/>
  <c r="K170" i="5" s="1"/>
  <c r="I169" i="5"/>
  <c r="J169" i="5" s="1"/>
  <c r="K169" i="5" s="1"/>
  <c r="I168" i="5"/>
  <c r="J168" i="5" s="1"/>
  <c r="K168" i="5" s="1"/>
  <c r="I167" i="5"/>
  <c r="J167" i="5" s="1"/>
  <c r="K167" i="5" s="1"/>
  <c r="I166" i="5"/>
  <c r="J166" i="5" s="1"/>
  <c r="K166" i="5" s="1"/>
  <c r="I165" i="5"/>
  <c r="J165" i="5" s="1"/>
  <c r="K165" i="5" s="1"/>
  <c r="I164" i="5"/>
  <c r="J164" i="5" s="1"/>
  <c r="K164" i="5" s="1"/>
  <c r="I163" i="5"/>
  <c r="J163" i="5" s="1"/>
  <c r="K163" i="5" s="1"/>
  <c r="I162" i="5"/>
  <c r="J162" i="5" s="1"/>
  <c r="K162" i="5" s="1"/>
  <c r="I161" i="5"/>
  <c r="J161" i="5" s="1"/>
  <c r="K161" i="5" s="1"/>
  <c r="I160" i="5"/>
  <c r="J160" i="5" s="1"/>
  <c r="K160" i="5" s="1"/>
  <c r="I159" i="5"/>
  <c r="J159" i="5" s="1"/>
  <c r="K159" i="5" s="1"/>
  <c r="I158" i="5"/>
  <c r="J158" i="5" s="1"/>
  <c r="K158" i="5" s="1"/>
  <c r="I157" i="5"/>
  <c r="J157" i="5" s="1"/>
  <c r="K157" i="5" s="1"/>
  <c r="I156" i="5"/>
  <c r="J156" i="5" s="1"/>
  <c r="K156" i="5" s="1"/>
  <c r="I155" i="5"/>
  <c r="J155" i="5" s="1"/>
  <c r="K155" i="5" s="1"/>
  <c r="I154" i="5"/>
  <c r="J154" i="5" s="1"/>
  <c r="K154" i="5" s="1"/>
  <c r="I153" i="5"/>
  <c r="J153" i="5" s="1"/>
  <c r="K153" i="5" s="1"/>
  <c r="I152" i="5"/>
  <c r="J152" i="5" s="1"/>
  <c r="K152" i="5" s="1"/>
  <c r="I151" i="5"/>
  <c r="J151" i="5" s="1"/>
  <c r="K151" i="5" s="1"/>
  <c r="I150" i="5"/>
  <c r="J150" i="5" s="1"/>
  <c r="K150" i="5" s="1"/>
  <c r="I149" i="5"/>
  <c r="J149" i="5" s="1"/>
  <c r="K149" i="5" s="1"/>
  <c r="I148" i="5"/>
  <c r="J148" i="5" s="1"/>
  <c r="K148" i="5" s="1"/>
  <c r="I147" i="5"/>
  <c r="J147" i="5" s="1"/>
  <c r="K147" i="5" s="1"/>
  <c r="H146" i="5"/>
  <c r="I146" i="5" s="1"/>
  <c r="J146" i="5" s="1"/>
  <c r="K146" i="5" s="1"/>
  <c r="J145" i="5"/>
  <c r="K145" i="5" s="1"/>
  <c r="I145" i="5"/>
  <c r="I144" i="5"/>
  <c r="J144" i="5" s="1"/>
  <c r="K144" i="5" s="1"/>
  <c r="I143" i="5"/>
  <c r="J143" i="5" s="1"/>
  <c r="K143" i="5" s="1"/>
  <c r="I142" i="5"/>
  <c r="J142" i="5" s="1"/>
  <c r="K142" i="5" s="1"/>
  <c r="I141" i="5"/>
  <c r="J141" i="5" s="1"/>
  <c r="K141" i="5" s="1"/>
  <c r="I140" i="5"/>
  <c r="J140" i="5" s="1"/>
  <c r="K140" i="5" s="1"/>
  <c r="J139" i="5"/>
  <c r="K139" i="5" s="1"/>
  <c r="I139" i="5"/>
  <c r="I138" i="5"/>
  <c r="J138" i="5" s="1"/>
  <c r="K138" i="5" s="1"/>
  <c r="I137" i="5"/>
  <c r="J137" i="5" s="1"/>
  <c r="K137" i="5" s="1"/>
  <c r="I136" i="5"/>
  <c r="J136" i="5" s="1"/>
  <c r="K136" i="5" s="1"/>
  <c r="I135" i="5"/>
  <c r="J135" i="5" s="1"/>
  <c r="K135" i="5" s="1"/>
  <c r="I134" i="5"/>
  <c r="J134" i="5" s="1"/>
  <c r="K134" i="5" s="1"/>
  <c r="I133" i="5"/>
  <c r="J133" i="5" s="1"/>
  <c r="K133" i="5" s="1"/>
  <c r="I132" i="5"/>
  <c r="J132" i="5" s="1"/>
  <c r="K132" i="5" s="1"/>
  <c r="I131" i="5"/>
  <c r="J131" i="5" s="1"/>
  <c r="K131" i="5" s="1"/>
  <c r="I130" i="5"/>
  <c r="J130" i="5" s="1"/>
  <c r="K130" i="5" s="1"/>
  <c r="I129" i="5"/>
  <c r="J129" i="5" s="1"/>
  <c r="K129" i="5" s="1"/>
  <c r="I128" i="5"/>
  <c r="J128" i="5" s="1"/>
  <c r="K128" i="5" s="1"/>
  <c r="I127" i="5"/>
  <c r="J127" i="5" s="1"/>
  <c r="K127" i="5" s="1"/>
  <c r="I126" i="5"/>
  <c r="J126" i="5" s="1"/>
  <c r="K126" i="5" s="1"/>
  <c r="I125" i="5"/>
  <c r="J125" i="5" s="1"/>
  <c r="K125" i="5" s="1"/>
  <c r="I124" i="5"/>
  <c r="J124" i="5" s="1"/>
  <c r="K124" i="5" s="1"/>
  <c r="I123" i="5"/>
  <c r="J123" i="5" s="1"/>
  <c r="K123" i="5" s="1"/>
  <c r="I122" i="5"/>
  <c r="J122" i="5" s="1"/>
  <c r="K122" i="5" s="1"/>
  <c r="I121" i="5"/>
  <c r="J121" i="5" s="1"/>
  <c r="K121" i="5" s="1"/>
  <c r="I120" i="5"/>
  <c r="J120" i="5" s="1"/>
  <c r="K120" i="5" s="1"/>
  <c r="I119" i="5"/>
  <c r="J119" i="5" s="1"/>
  <c r="K119" i="5" s="1"/>
  <c r="I118" i="5"/>
  <c r="J118" i="5" s="1"/>
  <c r="K118" i="5" s="1"/>
  <c r="I117" i="5"/>
  <c r="J117" i="5" s="1"/>
  <c r="K117" i="5" s="1"/>
  <c r="I116" i="5"/>
  <c r="J116" i="5" s="1"/>
  <c r="K116" i="5" s="1"/>
  <c r="I115" i="5"/>
  <c r="J115" i="5" s="1"/>
  <c r="K115" i="5" s="1"/>
  <c r="I114" i="5"/>
  <c r="J114" i="5" s="1"/>
  <c r="K114" i="5" s="1"/>
  <c r="I113" i="5"/>
  <c r="J113" i="5" s="1"/>
  <c r="K113" i="5" s="1"/>
  <c r="I112" i="5"/>
  <c r="J112" i="5" s="1"/>
  <c r="K112" i="5" s="1"/>
  <c r="I111" i="5"/>
  <c r="J111" i="5" s="1"/>
  <c r="K111" i="5" s="1"/>
  <c r="I110" i="5"/>
  <c r="J110" i="5" s="1"/>
  <c r="K110" i="5" s="1"/>
  <c r="I109" i="5"/>
  <c r="J109" i="5" s="1"/>
  <c r="K109" i="5" s="1"/>
  <c r="I108" i="5"/>
  <c r="J108" i="5" s="1"/>
  <c r="K108" i="5" s="1"/>
  <c r="I107" i="5"/>
  <c r="J107" i="5" s="1"/>
  <c r="K107" i="5" s="1"/>
  <c r="I106" i="5"/>
  <c r="J106" i="5" s="1"/>
  <c r="K106" i="5" s="1"/>
  <c r="I105" i="5"/>
  <c r="J105" i="5" s="1"/>
  <c r="K105" i="5" s="1"/>
  <c r="I104" i="5"/>
  <c r="J104" i="5" s="1"/>
  <c r="K104" i="5" s="1"/>
  <c r="I103" i="5"/>
  <c r="J103" i="5" s="1"/>
  <c r="K103" i="5" s="1"/>
  <c r="I102" i="5"/>
  <c r="J102" i="5" s="1"/>
  <c r="K102" i="5" s="1"/>
  <c r="I101" i="5"/>
  <c r="J101" i="5" s="1"/>
  <c r="K101" i="5" s="1"/>
  <c r="I100" i="5"/>
  <c r="J100" i="5" s="1"/>
  <c r="K100" i="5" s="1"/>
  <c r="I99" i="5"/>
  <c r="J99" i="5" s="1"/>
  <c r="K99" i="5" s="1"/>
  <c r="H98" i="5"/>
  <c r="I98" i="5" s="1"/>
  <c r="J98" i="5" s="1"/>
  <c r="K98" i="5" s="1"/>
  <c r="I97" i="5"/>
  <c r="J97" i="5" s="1"/>
  <c r="K97" i="5" s="1"/>
  <c r="I96" i="5"/>
  <c r="J96" i="5" s="1"/>
  <c r="K96" i="5" s="1"/>
  <c r="I95" i="5"/>
  <c r="J95" i="5" s="1"/>
  <c r="K95" i="5" s="1"/>
  <c r="I94" i="5"/>
  <c r="J94" i="5" s="1"/>
  <c r="K94" i="5" s="1"/>
  <c r="I93" i="5"/>
  <c r="J93" i="5" s="1"/>
  <c r="K93" i="5" s="1"/>
  <c r="J92" i="5"/>
  <c r="K92" i="5" s="1"/>
  <c r="I92" i="5"/>
  <c r="I91" i="5"/>
  <c r="J91" i="5" s="1"/>
  <c r="K91" i="5" s="1"/>
  <c r="I90" i="5"/>
  <c r="J90" i="5" s="1"/>
  <c r="K90" i="5" s="1"/>
  <c r="I89" i="5"/>
  <c r="J89" i="5" s="1"/>
  <c r="K89" i="5" s="1"/>
  <c r="I88" i="5"/>
  <c r="J88" i="5" s="1"/>
  <c r="K88" i="5" s="1"/>
  <c r="I87" i="5"/>
  <c r="J87" i="5" s="1"/>
  <c r="K87" i="5" s="1"/>
  <c r="I86" i="5"/>
  <c r="J86" i="5" s="1"/>
  <c r="K86" i="5" s="1"/>
  <c r="I85" i="5"/>
  <c r="J85" i="5" s="1"/>
  <c r="K85" i="5" s="1"/>
  <c r="I84" i="5"/>
  <c r="J84" i="5" s="1"/>
  <c r="K84" i="5" s="1"/>
  <c r="I83" i="5"/>
  <c r="J83" i="5" s="1"/>
  <c r="K83" i="5" s="1"/>
  <c r="I82" i="5"/>
  <c r="J82" i="5" s="1"/>
  <c r="K82" i="5" s="1"/>
  <c r="I81" i="5"/>
  <c r="J81" i="5" s="1"/>
  <c r="K81" i="5" s="1"/>
  <c r="I80" i="5"/>
  <c r="J80" i="5" s="1"/>
  <c r="K80" i="5" s="1"/>
  <c r="I79" i="5"/>
  <c r="J79" i="5" s="1"/>
  <c r="K79" i="5" s="1"/>
  <c r="I78" i="5"/>
  <c r="J78" i="5" s="1"/>
  <c r="K78" i="5" s="1"/>
  <c r="I77" i="5"/>
  <c r="J77" i="5" s="1"/>
  <c r="K77" i="5" s="1"/>
  <c r="I76" i="5"/>
  <c r="J76" i="5" s="1"/>
  <c r="K76" i="5" s="1"/>
  <c r="I75" i="5"/>
  <c r="J75" i="5" s="1"/>
  <c r="K75" i="5" s="1"/>
  <c r="I74" i="5"/>
  <c r="J74" i="5" s="1"/>
  <c r="K74" i="5" s="1"/>
  <c r="I73" i="5"/>
  <c r="J73" i="5" s="1"/>
  <c r="K73" i="5" s="1"/>
  <c r="I72" i="5"/>
  <c r="J72" i="5" s="1"/>
  <c r="K72" i="5" s="1"/>
  <c r="I71" i="5"/>
  <c r="J71" i="5" s="1"/>
  <c r="K71" i="5" s="1"/>
  <c r="I70" i="5"/>
  <c r="J70" i="5" s="1"/>
  <c r="K70" i="5" s="1"/>
  <c r="I69" i="5"/>
  <c r="J69" i="5" s="1"/>
  <c r="K69" i="5" s="1"/>
  <c r="I68" i="5"/>
  <c r="J68" i="5" s="1"/>
  <c r="K68" i="5" s="1"/>
  <c r="I67" i="5"/>
  <c r="J67" i="5" s="1"/>
  <c r="K67" i="5" s="1"/>
  <c r="I66" i="5"/>
  <c r="J66" i="5" s="1"/>
  <c r="K66" i="5" s="1"/>
  <c r="I65" i="5"/>
  <c r="J65" i="5" s="1"/>
  <c r="K65" i="5" s="1"/>
  <c r="I64" i="5"/>
  <c r="J64" i="5" s="1"/>
  <c r="K64" i="5" s="1"/>
  <c r="I63" i="5"/>
  <c r="J63" i="5" s="1"/>
  <c r="K63" i="5" s="1"/>
  <c r="I62" i="5"/>
  <c r="J62" i="5" s="1"/>
  <c r="K62" i="5" s="1"/>
  <c r="I61" i="5"/>
  <c r="J61" i="5" s="1"/>
  <c r="K61" i="5" s="1"/>
  <c r="I60" i="5"/>
  <c r="J60" i="5" s="1"/>
  <c r="K60" i="5" s="1"/>
  <c r="I59" i="5"/>
  <c r="J59" i="5" s="1"/>
  <c r="K59" i="5" s="1"/>
  <c r="I58" i="5"/>
  <c r="J58" i="5" s="1"/>
  <c r="K58" i="5" s="1"/>
  <c r="I57" i="5"/>
  <c r="J57" i="5" s="1"/>
  <c r="K57" i="5" s="1"/>
  <c r="I56" i="5"/>
  <c r="J56" i="5" s="1"/>
  <c r="K56" i="5" s="1"/>
  <c r="I55" i="5"/>
  <c r="J55" i="5" s="1"/>
  <c r="K55" i="5" s="1"/>
  <c r="I54" i="5"/>
  <c r="J54" i="5" s="1"/>
  <c r="K54" i="5" s="1"/>
  <c r="I53" i="5"/>
  <c r="J53" i="5" s="1"/>
  <c r="K53" i="5" s="1"/>
  <c r="I52" i="5"/>
  <c r="J52" i="5" s="1"/>
  <c r="K52" i="5" s="1"/>
  <c r="I51" i="5"/>
  <c r="J51" i="5" s="1"/>
  <c r="K51" i="5" s="1"/>
  <c r="H50" i="5"/>
  <c r="I50" i="5" s="1"/>
  <c r="J50" i="5" s="1"/>
  <c r="K50" i="5" s="1"/>
  <c r="I49" i="5"/>
  <c r="J49" i="5" s="1"/>
  <c r="K49" i="5" s="1"/>
  <c r="I48" i="5"/>
  <c r="J48" i="5" s="1"/>
  <c r="K48" i="5" s="1"/>
  <c r="I47" i="5"/>
  <c r="J47" i="5" s="1"/>
  <c r="K47" i="5" s="1"/>
  <c r="J46" i="5"/>
  <c r="K46" i="5" s="1"/>
  <c r="I46" i="5"/>
  <c r="I45" i="5"/>
  <c r="J45" i="5" s="1"/>
  <c r="K45" i="5" s="1"/>
  <c r="I44" i="5"/>
  <c r="J44" i="5" s="1"/>
  <c r="K44" i="5" s="1"/>
  <c r="J43" i="5"/>
  <c r="K43" i="5" s="1"/>
  <c r="I43" i="5"/>
  <c r="I42" i="5"/>
  <c r="J42" i="5" s="1"/>
  <c r="K42" i="5" s="1"/>
  <c r="I41" i="5"/>
  <c r="J41" i="5" s="1"/>
  <c r="K41" i="5" s="1"/>
  <c r="I40" i="5"/>
  <c r="J40" i="5" s="1"/>
  <c r="K40" i="5" s="1"/>
  <c r="I39" i="5"/>
  <c r="J39" i="5" s="1"/>
  <c r="K39" i="5" s="1"/>
  <c r="I38" i="5"/>
  <c r="J38" i="5" s="1"/>
  <c r="K38" i="5" s="1"/>
  <c r="I37" i="5"/>
  <c r="J37" i="5" s="1"/>
  <c r="K37" i="5" s="1"/>
  <c r="I36" i="5"/>
  <c r="J36" i="5" s="1"/>
  <c r="K36" i="5" s="1"/>
  <c r="I35" i="5"/>
  <c r="J35" i="5" s="1"/>
  <c r="K35" i="5" s="1"/>
  <c r="I34" i="5"/>
  <c r="J34" i="5" s="1"/>
  <c r="K34" i="5" s="1"/>
  <c r="I33" i="5"/>
  <c r="J33" i="5" s="1"/>
  <c r="K33" i="5" s="1"/>
  <c r="I32" i="5"/>
  <c r="J32" i="5" s="1"/>
  <c r="K32" i="5" s="1"/>
  <c r="I31" i="5"/>
  <c r="J31" i="5" s="1"/>
  <c r="K31" i="5" s="1"/>
  <c r="I30" i="5"/>
  <c r="J30" i="5" s="1"/>
  <c r="K30" i="5" s="1"/>
  <c r="I29" i="5"/>
  <c r="J29" i="5" s="1"/>
  <c r="K29" i="5" s="1"/>
  <c r="J28" i="5"/>
  <c r="K28" i="5" s="1"/>
  <c r="I28" i="5"/>
  <c r="I27" i="5"/>
  <c r="J27" i="5" s="1"/>
  <c r="K27" i="5" s="1"/>
  <c r="J26" i="5"/>
  <c r="K26" i="5" s="1"/>
  <c r="I26" i="5"/>
  <c r="I25" i="5"/>
  <c r="J25" i="5" s="1"/>
  <c r="K25" i="5" s="1"/>
  <c r="I24" i="5"/>
  <c r="J24" i="5" s="1"/>
  <c r="K24" i="5" s="1"/>
  <c r="J23" i="5"/>
  <c r="K23" i="5" s="1"/>
  <c r="I23" i="5"/>
  <c r="I22" i="5"/>
  <c r="J22" i="5" s="1"/>
  <c r="K22" i="5" s="1"/>
  <c r="I21" i="5"/>
  <c r="J21" i="5" s="1"/>
  <c r="K21" i="5" s="1"/>
  <c r="I20" i="5"/>
  <c r="J20" i="5" s="1"/>
  <c r="K20" i="5" s="1"/>
  <c r="I19" i="5"/>
  <c r="J19" i="5" s="1"/>
  <c r="K19" i="5" s="1"/>
  <c r="I18" i="5"/>
  <c r="J18" i="5" s="1"/>
  <c r="K18" i="5" s="1"/>
  <c r="I17" i="5"/>
  <c r="J17" i="5" s="1"/>
  <c r="K17" i="5" s="1"/>
  <c r="I16" i="5"/>
  <c r="J16" i="5" s="1"/>
  <c r="K16" i="5" s="1"/>
  <c r="I15" i="5"/>
  <c r="J15" i="5" s="1"/>
  <c r="K15" i="5" s="1"/>
  <c r="I14" i="5"/>
  <c r="J14" i="5" s="1"/>
  <c r="K14" i="5" s="1"/>
  <c r="I13" i="5"/>
  <c r="J13" i="5" s="1"/>
  <c r="K13" i="5" s="1"/>
  <c r="I12" i="5"/>
  <c r="J12" i="5" s="1"/>
  <c r="K12" i="5" s="1"/>
  <c r="I11" i="5"/>
  <c r="J11" i="5" s="1"/>
  <c r="K11" i="5" s="1"/>
  <c r="I10" i="5"/>
  <c r="J10" i="5" s="1"/>
  <c r="K10" i="5" s="1"/>
  <c r="I9" i="5"/>
  <c r="J9" i="5" s="1"/>
  <c r="K9" i="5" s="1"/>
  <c r="I8" i="5"/>
  <c r="J8" i="5" s="1"/>
  <c r="K8" i="5" s="1"/>
  <c r="I7" i="5"/>
  <c r="J7" i="5" s="1"/>
  <c r="K7" i="5" s="1"/>
  <c r="I6" i="5"/>
  <c r="J6" i="5" s="1"/>
  <c r="K6" i="5" s="1"/>
  <c r="I5" i="5"/>
  <c r="J5" i="5" s="1"/>
  <c r="K5" i="5" s="1"/>
  <c r="I4" i="5"/>
  <c r="J4" i="5" s="1"/>
  <c r="K4" i="5" s="1"/>
  <c r="I3" i="5"/>
  <c r="J3" i="5" s="1"/>
  <c r="K3" i="5" s="1"/>
  <c r="H2" i="5"/>
  <c r="I2" i="5" s="1"/>
  <c r="J2" i="5" s="1"/>
  <c r="K2" i="5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" i="3"/>
  <c r="M400" i="2"/>
  <c r="M432" i="2"/>
  <c r="M464" i="2"/>
  <c r="K8" i="2"/>
  <c r="M8" i="2" s="1"/>
  <c r="H65" i="2"/>
  <c r="H44" i="2"/>
  <c r="I44" i="2" s="1"/>
  <c r="J44" i="2" s="1"/>
  <c r="K44" i="2" s="1"/>
  <c r="M44" i="2" s="1"/>
  <c r="H2" i="2"/>
  <c r="I2" i="2" s="1"/>
  <c r="J2" i="2" s="1"/>
  <c r="K2" i="2" s="1"/>
  <c r="M2" i="2" s="1"/>
  <c r="H674" i="4"/>
  <c r="I674" i="4" s="1"/>
  <c r="J674" i="4" s="1"/>
  <c r="H673" i="4"/>
  <c r="I673" i="4" s="1"/>
  <c r="J673" i="4" s="1"/>
  <c r="H672" i="4"/>
  <c r="I672" i="4" s="1"/>
  <c r="J672" i="4" s="1"/>
  <c r="H671" i="4"/>
  <c r="I671" i="4" s="1"/>
  <c r="J671" i="4" s="1"/>
  <c r="H670" i="4"/>
  <c r="I670" i="4" s="1"/>
  <c r="J670" i="4" s="1"/>
  <c r="H669" i="4"/>
  <c r="I669" i="4" s="1"/>
  <c r="J669" i="4" s="1"/>
  <c r="H668" i="4"/>
  <c r="I668" i="4" s="1"/>
  <c r="J668" i="4" s="1"/>
  <c r="H667" i="4"/>
  <c r="I667" i="4" s="1"/>
  <c r="J667" i="4" s="1"/>
  <c r="H666" i="4"/>
  <c r="I666" i="4" s="1"/>
  <c r="J666" i="4" s="1"/>
  <c r="H665" i="4"/>
  <c r="I665" i="4" s="1"/>
  <c r="J665" i="4" s="1"/>
  <c r="H664" i="4"/>
  <c r="I664" i="4" s="1"/>
  <c r="J664" i="4" s="1"/>
  <c r="H663" i="4"/>
  <c r="I663" i="4" s="1"/>
  <c r="J663" i="4" s="1"/>
  <c r="H662" i="4"/>
  <c r="I662" i="4" s="1"/>
  <c r="J662" i="4" s="1"/>
  <c r="H661" i="4"/>
  <c r="I661" i="4" s="1"/>
  <c r="J661" i="4" s="1"/>
  <c r="H660" i="4"/>
  <c r="I660" i="4" s="1"/>
  <c r="J660" i="4" s="1"/>
  <c r="H659" i="4"/>
  <c r="I659" i="4" s="1"/>
  <c r="J659" i="4" s="1"/>
  <c r="H658" i="4"/>
  <c r="I658" i="4" s="1"/>
  <c r="J658" i="4" s="1"/>
  <c r="H657" i="4"/>
  <c r="I657" i="4" s="1"/>
  <c r="J657" i="4" s="1"/>
  <c r="H656" i="4"/>
  <c r="I656" i="4" s="1"/>
  <c r="J656" i="4" s="1"/>
  <c r="H655" i="4"/>
  <c r="I655" i="4" s="1"/>
  <c r="J655" i="4" s="1"/>
  <c r="H654" i="4"/>
  <c r="I654" i="4" s="1"/>
  <c r="J654" i="4" s="1"/>
  <c r="H653" i="4"/>
  <c r="I653" i="4" s="1"/>
  <c r="J653" i="4" s="1"/>
  <c r="H652" i="4"/>
  <c r="I652" i="4" s="1"/>
  <c r="J652" i="4" s="1"/>
  <c r="H651" i="4"/>
  <c r="I651" i="4" s="1"/>
  <c r="J651" i="4" s="1"/>
  <c r="H650" i="4"/>
  <c r="I650" i="4" s="1"/>
  <c r="J650" i="4" s="1"/>
  <c r="G649" i="4"/>
  <c r="H649" i="4" s="1"/>
  <c r="I649" i="4" s="1"/>
  <c r="J649" i="4" s="1"/>
  <c r="H648" i="4"/>
  <c r="I648" i="4" s="1"/>
  <c r="J648" i="4" s="1"/>
  <c r="H647" i="4"/>
  <c r="I647" i="4" s="1"/>
  <c r="J647" i="4" s="1"/>
  <c r="H646" i="4"/>
  <c r="I646" i="4" s="1"/>
  <c r="J646" i="4" s="1"/>
  <c r="H645" i="4"/>
  <c r="I645" i="4" s="1"/>
  <c r="J645" i="4" s="1"/>
  <c r="H644" i="4"/>
  <c r="I644" i="4" s="1"/>
  <c r="J644" i="4" s="1"/>
  <c r="H643" i="4"/>
  <c r="I643" i="4" s="1"/>
  <c r="J643" i="4" s="1"/>
  <c r="H642" i="4"/>
  <c r="I642" i="4" s="1"/>
  <c r="J642" i="4" s="1"/>
  <c r="I641" i="4"/>
  <c r="J641" i="4" s="1"/>
  <c r="H641" i="4"/>
  <c r="H640" i="4"/>
  <c r="I640" i="4" s="1"/>
  <c r="J640" i="4" s="1"/>
  <c r="H639" i="4"/>
  <c r="I639" i="4" s="1"/>
  <c r="J639" i="4" s="1"/>
  <c r="H638" i="4"/>
  <c r="I638" i="4" s="1"/>
  <c r="J638" i="4" s="1"/>
  <c r="H637" i="4"/>
  <c r="I637" i="4" s="1"/>
  <c r="J637" i="4" s="1"/>
  <c r="H636" i="4"/>
  <c r="I636" i="4" s="1"/>
  <c r="J636" i="4" s="1"/>
  <c r="H635" i="4"/>
  <c r="I635" i="4" s="1"/>
  <c r="J635" i="4" s="1"/>
  <c r="I634" i="4"/>
  <c r="J634" i="4" s="1"/>
  <c r="H634" i="4"/>
  <c r="H633" i="4"/>
  <c r="I633" i="4" s="1"/>
  <c r="J633" i="4" s="1"/>
  <c r="H632" i="4"/>
  <c r="I632" i="4" s="1"/>
  <c r="J632" i="4" s="1"/>
  <c r="I631" i="4"/>
  <c r="J631" i="4" s="1"/>
  <c r="H631" i="4"/>
  <c r="H630" i="4"/>
  <c r="I630" i="4" s="1"/>
  <c r="J630" i="4" s="1"/>
  <c r="H629" i="4"/>
  <c r="I629" i="4" s="1"/>
  <c r="J629" i="4" s="1"/>
  <c r="H628" i="4"/>
  <c r="I628" i="4" s="1"/>
  <c r="J628" i="4" s="1"/>
  <c r="H627" i="4"/>
  <c r="I627" i="4" s="1"/>
  <c r="J627" i="4" s="1"/>
  <c r="H626" i="4"/>
  <c r="I626" i="4" s="1"/>
  <c r="J626" i="4" s="1"/>
  <c r="H625" i="4"/>
  <c r="I625" i="4" s="1"/>
  <c r="J625" i="4" s="1"/>
  <c r="H624" i="4"/>
  <c r="I624" i="4" s="1"/>
  <c r="J624" i="4" s="1"/>
  <c r="G623" i="4"/>
  <c r="H623" i="4" s="1"/>
  <c r="I623" i="4" s="1"/>
  <c r="J623" i="4" s="1"/>
  <c r="H622" i="4"/>
  <c r="I622" i="4" s="1"/>
  <c r="J622" i="4" s="1"/>
  <c r="H621" i="4"/>
  <c r="I621" i="4" s="1"/>
  <c r="J621" i="4" s="1"/>
  <c r="H620" i="4"/>
  <c r="I620" i="4" s="1"/>
  <c r="J620" i="4" s="1"/>
  <c r="H619" i="4"/>
  <c r="I619" i="4" s="1"/>
  <c r="J619" i="4" s="1"/>
  <c r="H618" i="4"/>
  <c r="I618" i="4" s="1"/>
  <c r="J618" i="4" s="1"/>
  <c r="H617" i="4"/>
  <c r="I617" i="4" s="1"/>
  <c r="J617" i="4" s="1"/>
  <c r="H616" i="4"/>
  <c r="I616" i="4" s="1"/>
  <c r="J616" i="4" s="1"/>
  <c r="H615" i="4"/>
  <c r="I615" i="4" s="1"/>
  <c r="J615" i="4" s="1"/>
  <c r="I614" i="4"/>
  <c r="J614" i="4" s="1"/>
  <c r="H614" i="4"/>
  <c r="I613" i="4"/>
  <c r="J613" i="4" s="1"/>
  <c r="H613" i="4"/>
  <c r="H612" i="4"/>
  <c r="I612" i="4" s="1"/>
  <c r="J612" i="4" s="1"/>
  <c r="H611" i="4"/>
  <c r="I611" i="4" s="1"/>
  <c r="J611" i="4" s="1"/>
  <c r="H610" i="4"/>
  <c r="I610" i="4" s="1"/>
  <c r="J610" i="4" s="1"/>
  <c r="H609" i="4"/>
  <c r="I609" i="4" s="1"/>
  <c r="J609" i="4" s="1"/>
  <c r="H608" i="4"/>
  <c r="I608" i="4" s="1"/>
  <c r="J608" i="4" s="1"/>
  <c r="H607" i="4"/>
  <c r="I607" i="4" s="1"/>
  <c r="J607" i="4" s="1"/>
  <c r="H606" i="4"/>
  <c r="I606" i="4" s="1"/>
  <c r="J606" i="4" s="1"/>
  <c r="H605" i="4"/>
  <c r="I605" i="4" s="1"/>
  <c r="J605" i="4" s="1"/>
  <c r="H604" i="4"/>
  <c r="I604" i="4" s="1"/>
  <c r="J604" i="4" s="1"/>
  <c r="H603" i="4"/>
  <c r="I603" i="4" s="1"/>
  <c r="J603" i="4" s="1"/>
  <c r="H602" i="4"/>
  <c r="I602" i="4" s="1"/>
  <c r="J602" i="4" s="1"/>
  <c r="H601" i="4"/>
  <c r="I601" i="4" s="1"/>
  <c r="J601" i="4" s="1"/>
  <c r="H600" i="4"/>
  <c r="I600" i="4" s="1"/>
  <c r="J600" i="4" s="1"/>
  <c r="H599" i="4"/>
  <c r="I599" i="4" s="1"/>
  <c r="J599" i="4" s="1"/>
  <c r="H598" i="4"/>
  <c r="I598" i="4" s="1"/>
  <c r="J598" i="4" s="1"/>
  <c r="G597" i="4"/>
  <c r="H597" i="4" s="1"/>
  <c r="I597" i="4" s="1"/>
  <c r="J597" i="4" s="1"/>
  <c r="H596" i="4"/>
  <c r="I596" i="4" s="1"/>
  <c r="J596" i="4" s="1"/>
  <c r="H595" i="4"/>
  <c r="I595" i="4" s="1"/>
  <c r="J595" i="4" s="1"/>
  <c r="H594" i="4"/>
  <c r="I594" i="4" s="1"/>
  <c r="J594" i="4" s="1"/>
  <c r="H593" i="4"/>
  <c r="I593" i="4" s="1"/>
  <c r="J593" i="4" s="1"/>
  <c r="H592" i="4"/>
  <c r="I592" i="4" s="1"/>
  <c r="J592" i="4" s="1"/>
  <c r="H591" i="4"/>
  <c r="I591" i="4" s="1"/>
  <c r="J591" i="4" s="1"/>
  <c r="H590" i="4"/>
  <c r="I590" i="4" s="1"/>
  <c r="J590" i="4" s="1"/>
  <c r="H589" i="4"/>
  <c r="I589" i="4" s="1"/>
  <c r="J589" i="4" s="1"/>
  <c r="H588" i="4"/>
  <c r="I588" i="4" s="1"/>
  <c r="J588" i="4" s="1"/>
  <c r="H587" i="4"/>
  <c r="I587" i="4" s="1"/>
  <c r="J587" i="4" s="1"/>
  <c r="H586" i="4"/>
  <c r="I586" i="4" s="1"/>
  <c r="J586" i="4" s="1"/>
  <c r="H585" i="4"/>
  <c r="I585" i="4" s="1"/>
  <c r="J585" i="4" s="1"/>
  <c r="H584" i="4"/>
  <c r="I584" i="4" s="1"/>
  <c r="J584" i="4" s="1"/>
  <c r="H583" i="4"/>
  <c r="I583" i="4" s="1"/>
  <c r="J583" i="4" s="1"/>
  <c r="I582" i="4"/>
  <c r="J582" i="4" s="1"/>
  <c r="H582" i="4"/>
  <c r="H581" i="4"/>
  <c r="I581" i="4" s="1"/>
  <c r="J581" i="4" s="1"/>
  <c r="H580" i="4"/>
  <c r="I580" i="4" s="1"/>
  <c r="J580" i="4" s="1"/>
  <c r="H579" i="4"/>
  <c r="I579" i="4" s="1"/>
  <c r="J579" i="4" s="1"/>
  <c r="H578" i="4"/>
  <c r="I578" i="4" s="1"/>
  <c r="J578" i="4" s="1"/>
  <c r="H577" i="4"/>
  <c r="I577" i="4" s="1"/>
  <c r="J577" i="4" s="1"/>
  <c r="H576" i="4"/>
  <c r="I576" i="4" s="1"/>
  <c r="J576" i="4" s="1"/>
  <c r="H575" i="4"/>
  <c r="I575" i="4" s="1"/>
  <c r="J575" i="4" s="1"/>
  <c r="H574" i="4"/>
  <c r="I574" i="4" s="1"/>
  <c r="J574" i="4" s="1"/>
  <c r="H573" i="4"/>
  <c r="I573" i="4" s="1"/>
  <c r="J573" i="4" s="1"/>
  <c r="H572" i="4"/>
  <c r="I572" i="4" s="1"/>
  <c r="J572" i="4" s="1"/>
  <c r="G571" i="4"/>
  <c r="H571" i="4" s="1"/>
  <c r="I571" i="4" s="1"/>
  <c r="J571" i="4" s="1"/>
  <c r="H570" i="4"/>
  <c r="I570" i="4" s="1"/>
  <c r="J570" i="4" s="1"/>
  <c r="H569" i="4"/>
  <c r="I569" i="4" s="1"/>
  <c r="J569" i="4" s="1"/>
  <c r="H568" i="4"/>
  <c r="I568" i="4" s="1"/>
  <c r="J568" i="4" s="1"/>
  <c r="H567" i="4"/>
  <c r="I567" i="4" s="1"/>
  <c r="J567" i="4" s="1"/>
  <c r="H566" i="4"/>
  <c r="I566" i="4" s="1"/>
  <c r="J566" i="4" s="1"/>
  <c r="H565" i="4"/>
  <c r="I565" i="4" s="1"/>
  <c r="J565" i="4" s="1"/>
  <c r="H564" i="4"/>
  <c r="I564" i="4" s="1"/>
  <c r="J564" i="4" s="1"/>
  <c r="H563" i="4"/>
  <c r="I563" i="4" s="1"/>
  <c r="J563" i="4" s="1"/>
  <c r="H562" i="4"/>
  <c r="I562" i="4" s="1"/>
  <c r="J562" i="4" s="1"/>
  <c r="I561" i="4"/>
  <c r="J561" i="4" s="1"/>
  <c r="H561" i="4"/>
  <c r="H560" i="4"/>
  <c r="I560" i="4" s="1"/>
  <c r="J560" i="4" s="1"/>
  <c r="H559" i="4"/>
  <c r="I559" i="4" s="1"/>
  <c r="J559" i="4" s="1"/>
  <c r="H558" i="4"/>
  <c r="I558" i="4" s="1"/>
  <c r="J558" i="4" s="1"/>
  <c r="H557" i="4"/>
  <c r="I557" i="4" s="1"/>
  <c r="J557" i="4" s="1"/>
  <c r="H556" i="4"/>
  <c r="I556" i="4" s="1"/>
  <c r="J556" i="4" s="1"/>
  <c r="H555" i="4"/>
  <c r="I555" i="4" s="1"/>
  <c r="J555" i="4" s="1"/>
  <c r="H554" i="4"/>
  <c r="I554" i="4" s="1"/>
  <c r="J554" i="4" s="1"/>
  <c r="H553" i="4"/>
  <c r="I553" i="4" s="1"/>
  <c r="J553" i="4" s="1"/>
  <c r="I552" i="4"/>
  <c r="J552" i="4" s="1"/>
  <c r="H552" i="4"/>
  <c r="H551" i="4"/>
  <c r="I551" i="4" s="1"/>
  <c r="J551" i="4" s="1"/>
  <c r="H550" i="4"/>
  <c r="I550" i="4" s="1"/>
  <c r="J550" i="4" s="1"/>
  <c r="H549" i="4"/>
  <c r="I549" i="4" s="1"/>
  <c r="J549" i="4" s="1"/>
  <c r="H548" i="4"/>
  <c r="I548" i="4" s="1"/>
  <c r="J548" i="4" s="1"/>
  <c r="H547" i="4"/>
  <c r="I547" i="4" s="1"/>
  <c r="J547" i="4" s="1"/>
  <c r="H546" i="4"/>
  <c r="I546" i="4" s="1"/>
  <c r="J546" i="4" s="1"/>
  <c r="G545" i="4"/>
  <c r="H545" i="4" s="1"/>
  <c r="I545" i="4" s="1"/>
  <c r="J545" i="4" s="1"/>
  <c r="H544" i="4"/>
  <c r="I544" i="4" s="1"/>
  <c r="J544" i="4" s="1"/>
  <c r="H543" i="4"/>
  <c r="I543" i="4" s="1"/>
  <c r="J543" i="4" s="1"/>
  <c r="H542" i="4"/>
  <c r="I542" i="4" s="1"/>
  <c r="J542" i="4" s="1"/>
  <c r="H541" i="4"/>
  <c r="I541" i="4" s="1"/>
  <c r="J541" i="4" s="1"/>
  <c r="H540" i="4"/>
  <c r="I540" i="4" s="1"/>
  <c r="J540" i="4" s="1"/>
  <c r="H539" i="4"/>
  <c r="I539" i="4" s="1"/>
  <c r="J539" i="4" s="1"/>
  <c r="H538" i="4"/>
  <c r="I538" i="4" s="1"/>
  <c r="J538" i="4" s="1"/>
  <c r="H537" i="4"/>
  <c r="I537" i="4" s="1"/>
  <c r="J537" i="4" s="1"/>
  <c r="H536" i="4"/>
  <c r="I536" i="4" s="1"/>
  <c r="J536" i="4" s="1"/>
  <c r="H535" i="4"/>
  <c r="I535" i="4" s="1"/>
  <c r="J535" i="4" s="1"/>
  <c r="H534" i="4"/>
  <c r="I534" i="4" s="1"/>
  <c r="J534" i="4" s="1"/>
  <c r="H533" i="4"/>
  <c r="I533" i="4" s="1"/>
  <c r="J533" i="4" s="1"/>
  <c r="H532" i="4"/>
  <c r="I532" i="4" s="1"/>
  <c r="J532" i="4" s="1"/>
  <c r="H531" i="4"/>
  <c r="I531" i="4" s="1"/>
  <c r="J531" i="4" s="1"/>
  <c r="H530" i="4"/>
  <c r="I530" i="4" s="1"/>
  <c r="J530" i="4" s="1"/>
  <c r="H529" i="4"/>
  <c r="I529" i="4" s="1"/>
  <c r="J529" i="4" s="1"/>
  <c r="H528" i="4"/>
  <c r="I528" i="4" s="1"/>
  <c r="J528" i="4" s="1"/>
  <c r="H527" i="4"/>
  <c r="I527" i="4" s="1"/>
  <c r="J527" i="4" s="1"/>
  <c r="H526" i="4"/>
  <c r="I526" i="4" s="1"/>
  <c r="J526" i="4" s="1"/>
  <c r="H525" i="4"/>
  <c r="I525" i="4" s="1"/>
  <c r="J525" i="4" s="1"/>
  <c r="H524" i="4"/>
  <c r="I524" i="4" s="1"/>
  <c r="J524" i="4" s="1"/>
  <c r="H523" i="4"/>
  <c r="I523" i="4" s="1"/>
  <c r="J523" i="4" s="1"/>
  <c r="H522" i="4"/>
  <c r="I522" i="4" s="1"/>
  <c r="J522" i="4" s="1"/>
  <c r="H521" i="4"/>
  <c r="I521" i="4" s="1"/>
  <c r="J521" i="4" s="1"/>
  <c r="H520" i="4"/>
  <c r="I520" i="4" s="1"/>
  <c r="J520" i="4" s="1"/>
  <c r="H519" i="4"/>
  <c r="I519" i="4" s="1"/>
  <c r="J519" i="4" s="1"/>
  <c r="H518" i="4"/>
  <c r="I518" i="4" s="1"/>
  <c r="J518" i="4" s="1"/>
  <c r="H517" i="4"/>
  <c r="I517" i="4" s="1"/>
  <c r="J517" i="4" s="1"/>
  <c r="H516" i="4"/>
  <c r="I516" i="4" s="1"/>
  <c r="J516" i="4" s="1"/>
  <c r="H515" i="4"/>
  <c r="I515" i="4" s="1"/>
  <c r="J515" i="4" s="1"/>
  <c r="H514" i="4"/>
  <c r="I514" i="4" s="1"/>
  <c r="J514" i="4" s="1"/>
  <c r="H513" i="4"/>
  <c r="I513" i="4" s="1"/>
  <c r="J513" i="4" s="1"/>
  <c r="H512" i="4"/>
  <c r="I512" i="4" s="1"/>
  <c r="J512" i="4" s="1"/>
  <c r="H511" i="4"/>
  <c r="I511" i="4" s="1"/>
  <c r="J511" i="4" s="1"/>
  <c r="I510" i="4"/>
  <c r="J510" i="4" s="1"/>
  <c r="H510" i="4"/>
  <c r="H509" i="4"/>
  <c r="I509" i="4" s="1"/>
  <c r="J509" i="4" s="1"/>
  <c r="H508" i="4"/>
  <c r="I508" i="4" s="1"/>
  <c r="J508" i="4" s="1"/>
  <c r="H507" i="4"/>
  <c r="I507" i="4" s="1"/>
  <c r="J507" i="4" s="1"/>
  <c r="H506" i="4"/>
  <c r="I506" i="4" s="1"/>
  <c r="J506" i="4" s="1"/>
  <c r="H505" i="4"/>
  <c r="I505" i="4" s="1"/>
  <c r="J505" i="4" s="1"/>
  <c r="H504" i="4"/>
  <c r="I504" i="4" s="1"/>
  <c r="J504" i="4" s="1"/>
  <c r="H503" i="4"/>
  <c r="I503" i="4" s="1"/>
  <c r="J503" i="4" s="1"/>
  <c r="H502" i="4"/>
  <c r="I502" i="4" s="1"/>
  <c r="J502" i="4" s="1"/>
  <c r="H501" i="4"/>
  <c r="I501" i="4" s="1"/>
  <c r="J501" i="4" s="1"/>
  <c r="H500" i="4"/>
  <c r="I500" i="4" s="1"/>
  <c r="J500" i="4" s="1"/>
  <c r="H499" i="4"/>
  <c r="I499" i="4" s="1"/>
  <c r="J499" i="4" s="1"/>
  <c r="H498" i="4"/>
  <c r="I498" i="4" s="1"/>
  <c r="J498" i="4" s="1"/>
  <c r="H497" i="4"/>
  <c r="I497" i="4" s="1"/>
  <c r="J497" i="4" s="1"/>
  <c r="H496" i="4"/>
  <c r="I496" i="4" s="1"/>
  <c r="J496" i="4" s="1"/>
  <c r="H495" i="4"/>
  <c r="I495" i="4" s="1"/>
  <c r="J495" i="4" s="1"/>
  <c r="H494" i="4"/>
  <c r="I494" i="4" s="1"/>
  <c r="J494" i="4" s="1"/>
  <c r="G493" i="4"/>
  <c r="H493" i="4" s="1"/>
  <c r="I493" i="4" s="1"/>
  <c r="J493" i="4" s="1"/>
  <c r="H492" i="4"/>
  <c r="I492" i="4" s="1"/>
  <c r="J492" i="4" s="1"/>
  <c r="H491" i="4"/>
  <c r="I491" i="4" s="1"/>
  <c r="J491" i="4" s="1"/>
  <c r="H490" i="4"/>
  <c r="I490" i="4" s="1"/>
  <c r="J490" i="4" s="1"/>
  <c r="H489" i="4"/>
  <c r="I489" i="4" s="1"/>
  <c r="J489" i="4" s="1"/>
  <c r="H488" i="4"/>
  <c r="I488" i="4" s="1"/>
  <c r="J488" i="4" s="1"/>
  <c r="H487" i="4"/>
  <c r="I487" i="4" s="1"/>
  <c r="J487" i="4" s="1"/>
  <c r="H486" i="4"/>
  <c r="I486" i="4" s="1"/>
  <c r="J486" i="4" s="1"/>
  <c r="H485" i="4"/>
  <c r="I485" i="4" s="1"/>
  <c r="J485" i="4" s="1"/>
  <c r="H484" i="4"/>
  <c r="I484" i="4" s="1"/>
  <c r="J484" i="4" s="1"/>
  <c r="H483" i="4"/>
  <c r="I483" i="4" s="1"/>
  <c r="J483" i="4" s="1"/>
  <c r="H482" i="4"/>
  <c r="I482" i="4" s="1"/>
  <c r="J482" i="4" s="1"/>
  <c r="H481" i="4"/>
  <c r="I481" i="4" s="1"/>
  <c r="J481" i="4" s="1"/>
  <c r="H480" i="4"/>
  <c r="I480" i="4" s="1"/>
  <c r="J480" i="4" s="1"/>
  <c r="H479" i="4"/>
  <c r="I479" i="4" s="1"/>
  <c r="J479" i="4" s="1"/>
  <c r="H478" i="4"/>
  <c r="I478" i="4" s="1"/>
  <c r="J478" i="4" s="1"/>
  <c r="H477" i="4"/>
  <c r="I477" i="4" s="1"/>
  <c r="J477" i="4" s="1"/>
  <c r="H476" i="4"/>
  <c r="I476" i="4" s="1"/>
  <c r="J476" i="4" s="1"/>
  <c r="H475" i="4"/>
  <c r="I475" i="4" s="1"/>
  <c r="J475" i="4" s="1"/>
  <c r="H474" i="4"/>
  <c r="I474" i="4" s="1"/>
  <c r="J474" i="4" s="1"/>
  <c r="H473" i="4"/>
  <c r="I473" i="4" s="1"/>
  <c r="J473" i="4" s="1"/>
  <c r="H472" i="4"/>
  <c r="I472" i="4" s="1"/>
  <c r="J472" i="4" s="1"/>
  <c r="H471" i="4"/>
  <c r="I471" i="4" s="1"/>
  <c r="J471" i="4" s="1"/>
  <c r="H470" i="4"/>
  <c r="I470" i="4" s="1"/>
  <c r="J470" i="4" s="1"/>
  <c r="H469" i="4"/>
  <c r="I469" i="4" s="1"/>
  <c r="J469" i="4" s="1"/>
  <c r="H468" i="4"/>
  <c r="I468" i="4" s="1"/>
  <c r="J468" i="4" s="1"/>
  <c r="G467" i="4"/>
  <c r="H467" i="4" s="1"/>
  <c r="I467" i="4" s="1"/>
  <c r="J467" i="4" s="1"/>
  <c r="H466" i="4"/>
  <c r="I466" i="4" s="1"/>
  <c r="J466" i="4" s="1"/>
  <c r="H465" i="4"/>
  <c r="I465" i="4" s="1"/>
  <c r="J465" i="4" s="1"/>
  <c r="H464" i="4"/>
  <c r="I464" i="4" s="1"/>
  <c r="J464" i="4" s="1"/>
  <c r="H463" i="4"/>
  <c r="I463" i="4" s="1"/>
  <c r="J463" i="4" s="1"/>
  <c r="H462" i="4"/>
  <c r="I462" i="4" s="1"/>
  <c r="J462" i="4" s="1"/>
  <c r="H461" i="4"/>
  <c r="I461" i="4" s="1"/>
  <c r="J461" i="4" s="1"/>
  <c r="H460" i="4"/>
  <c r="I460" i="4" s="1"/>
  <c r="J460" i="4" s="1"/>
  <c r="H459" i="4"/>
  <c r="I459" i="4" s="1"/>
  <c r="J459" i="4" s="1"/>
  <c r="H458" i="4"/>
  <c r="I458" i="4" s="1"/>
  <c r="J458" i="4" s="1"/>
  <c r="H457" i="4"/>
  <c r="I457" i="4" s="1"/>
  <c r="J457" i="4" s="1"/>
  <c r="H456" i="4"/>
  <c r="I456" i="4" s="1"/>
  <c r="J456" i="4" s="1"/>
  <c r="H455" i="4"/>
  <c r="I455" i="4" s="1"/>
  <c r="J455" i="4" s="1"/>
  <c r="H454" i="4"/>
  <c r="I454" i="4" s="1"/>
  <c r="J454" i="4" s="1"/>
  <c r="H453" i="4"/>
  <c r="I453" i="4" s="1"/>
  <c r="J453" i="4" s="1"/>
  <c r="I452" i="4"/>
  <c r="J452" i="4" s="1"/>
  <c r="H452" i="4"/>
  <c r="H451" i="4"/>
  <c r="I451" i="4" s="1"/>
  <c r="J451" i="4" s="1"/>
  <c r="H450" i="4"/>
  <c r="I450" i="4" s="1"/>
  <c r="J450" i="4" s="1"/>
  <c r="I449" i="4"/>
  <c r="J449" i="4" s="1"/>
  <c r="H449" i="4"/>
  <c r="H448" i="4"/>
  <c r="I448" i="4" s="1"/>
  <c r="J448" i="4" s="1"/>
  <c r="H447" i="4"/>
  <c r="I447" i="4" s="1"/>
  <c r="J447" i="4" s="1"/>
  <c r="H446" i="4"/>
  <c r="I446" i="4" s="1"/>
  <c r="J446" i="4" s="1"/>
  <c r="H445" i="4"/>
  <c r="I445" i="4" s="1"/>
  <c r="J445" i="4" s="1"/>
  <c r="H444" i="4"/>
  <c r="I444" i="4" s="1"/>
  <c r="J444" i="4" s="1"/>
  <c r="H443" i="4"/>
  <c r="I443" i="4" s="1"/>
  <c r="J443" i="4" s="1"/>
  <c r="H442" i="4"/>
  <c r="I442" i="4" s="1"/>
  <c r="J442" i="4" s="1"/>
  <c r="H441" i="4"/>
  <c r="I441" i="4" s="1"/>
  <c r="J441" i="4" s="1"/>
  <c r="G440" i="4"/>
  <c r="H440" i="4" s="1"/>
  <c r="I440" i="4" s="1"/>
  <c r="J440" i="4" s="1"/>
  <c r="H439" i="4"/>
  <c r="I439" i="4" s="1"/>
  <c r="J439" i="4" s="1"/>
  <c r="H438" i="4"/>
  <c r="I438" i="4" s="1"/>
  <c r="J438" i="4" s="1"/>
  <c r="H437" i="4"/>
  <c r="I437" i="4" s="1"/>
  <c r="J437" i="4" s="1"/>
  <c r="H436" i="4"/>
  <c r="I436" i="4" s="1"/>
  <c r="J436" i="4" s="1"/>
  <c r="H435" i="4"/>
  <c r="I435" i="4" s="1"/>
  <c r="J435" i="4" s="1"/>
  <c r="H434" i="4"/>
  <c r="I434" i="4" s="1"/>
  <c r="J434" i="4" s="1"/>
  <c r="H433" i="4"/>
  <c r="I433" i="4" s="1"/>
  <c r="J433" i="4" s="1"/>
  <c r="H432" i="4"/>
  <c r="I432" i="4" s="1"/>
  <c r="J432" i="4" s="1"/>
  <c r="H431" i="4"/>
  <c r="I431" i="4" s="1"/>
  <c r="J431" i="4" s="1"/>
  <c r="H430" i="4"/>
  <c r="I430" i="4" s="1"/>
  <c r="J430" i="4" s="1"/>
  <c r="H429" i="4"/>
  <c r="I429" i="4" s="1"/>
  <c r="J429" i="4" s="1"/>
  <c r="H428" i="4"/>
  <c r="I428" i="4" s="1"/>
  <c r="J428" i="4" s="1"/>
  <c r="H427" i="4"/>
  <c r="I427" i="4" s="1"/>
  <c r="J427" i="4" s="1"/>
  <c r="H426" i="4"/>
  <c r="I426" i="4" s="1"/>
  <c r="J426" i="4" s="1"/>
  <c r="H425" i="4"/>
  <c r="I425" i="4" s="1"/>
  <c r="J425" i="4" s="1"/>
  <c r="H424" i="4"/>
  <c r="I424" i="4" s="1"/>
  <c r="J424" i="4" s="1"/>
  <c r="H423" i="4"/>
  <c r="I423" i="4" s="1"/>
  <c r="J423" i="4" s="1"/>
  <c r="H422" i="4"/>
  <c r="I422" i="4" s="1"/>
  <c r="J422" i="4" s="1"/>
  <c r="H421" i="4"/>
  <c r="I421" i="4" s="1"/>
  <c r="J421" i="4" s="1"/>
  <c r="H420" i="4"/>
  <c r="I420" i="4" s="1"/>
  <c r="J420" i="4" s="1"/>
  <c r="H419" i="4"/>
  <c r="I419" i="4" s="1"/>
  <c r="J419" i="4" s="1"/>
  <c r="H418" i="4"/>
  <c r="I418" i="4" s="1"/>
  <c r="J418" i="4" s="1"/>
  <c r="H417" i="4"/>
  <c r="I417" i="4" s="1"/>
  <c r="J417" i="4" s="1"/>
  <c r="H416" i="4"/>
  <c r="I416" i="4" s="1"/>
  <c r="J416" i="4" s="1"/>
  <c r="H415" i="4"/>
  <c r="I415" i="4" s="1"/>
  <c r="J415" i="4" s="1"/>
  <c r="H414" i="4"/>
  <c r="I414" i="4" s="1"/>
  <c r="J414" i="4" s="1"/>
  <c r="G413" i="4"/>
  <c r="H413" i="4" s="1"/>
  <c r="I413" i="4" s="1"/>
  <c r="J413" i="4" s="1"/>
  <c r="H412" i="4"/>
  <c r="I412" i="4" s="1"/>
  <c r="J412" i="4" s="1"/>
  <c r="H411" i="4"/>
  <c r="I411" i="4" s="1"/>
  <c r="J411" i="4" s="1"/>
  <c r="H410" i="4"/>
  <c r="I410" i="4" s="1"/>
  <c r="J410" i="4" s="1"/>
  <c r="H409" i="4"/>
  <c r="I409" i="4" s="1"/>
  <c r="J409" i="4" s="1"/>
  <c r="H408" i="4"/>
  <c r="I408" i="4" s="1"/>
  <c r="J408" i="4" s="1"/>
  <c r="H407" i="4"/>
  <c r="I407" i="4" s="1"/>
  <c r="J407" i="4" s="1"/>
  <c r="H406" i="4"/>
  <c r="I406" i="4" s="1"/>
  <c r="J406" i="4" s="1"/>
  <c r="H405" i="4"/>
  <c r="I405" i="4" s="1"/>
  <c r="J405" i="4" s="1"/>
  <c r="H404" i="4"/>
  <c r="I404" i="4" s="1"/>
  <c r="J404" i="4" s="1"/>
  <c r="H403" i="4"/>
  <c r="I403" i="4" s="1"/>
  <c r="J403" i="4" s="1"/>
  <c r="H402" i="4"/>
  <c r="I402" i="4" s="1"/>
  <c r="J402" i="4" s="1"/>
  <c r="H401" i="4"/>
  <c r="I401" i="4" s="1"/>
  <c r="J401" i="4" s="1"/>
  <c r="H400" i="4"/>
  <c r="I400" i="4" s="1"/>
  <c r="J400" i="4" s="1"/>
  <c r="H399" i="4"/>
  <c r="I399" i="4" s="1"/>
  <c r="J399" i="4" s="1"/>
  <c r="H398" i="4"/>
  <c r="I398" i="4" s="1"/>
  <c r="J398" i="4" s="1"/>
  <c r="H397" i="4"/>
  <c r="I397" i="4" s="1"/>
  <c r="J397" i="4" s="1"/>
  <c r="H396" i="4"/>
  <c r="I396" i="4" s="1"/>
  <c r="J396" i="4" s="1"/>
  <c r="H395" i="4"/>
  <c r="I395" i="4" s="1"/>
  <c r="J395" i="4" s="1"/>
  <c r="H394" i="4"/>
  <c r="I394" i="4" s="1"/>
  <c r="J394" i="4" s="1"/>
  <c r="H393" i="4"/>
  <c r="I393" i="4" s="1"/>
  <c r="J393" i="4" s="1"/>
  <c r="H392" i="4"/>
  <c r="I392" i="4" s="1"/>
  <c r="J392" i="4" s="1"/>
  <c r="H391" i="4"/>
  <c r="I391" i="4" s="1"/>
  <c r="J391" i="4" s="1"/>
  <c r="H390" i="4"/>
  <c r="I390" i="4" s="1"/>
  <c r="J390" i="4" s="1"/>
  <c r="H389" i="4"/>
  <c r="I389" i="4" s="1"/>
  <c r="J389" i="4" s="1"/>
  <c r="H388" i="4"/>
  <c r="I388" i="4" s="1"/>
  <c r="J388" i="4" s="1"/>
  <c r="H387" i="4"/>
  <c r="I387" i="4" s="1"/>
  <c r="J387" i="4" s="1"/>
  <c r="G386" i="4"/>
  <c r="H386" i="4" s="1"/>
  <c r="I386" i="4" s="1"/>
  <c r="J386" i="4" s="1"/>
  <c r="H385" i="4"/>
  <c r="I385" i="4" s="1"/>
  <c r="J385" i="4" s="1"/>
  <c r="H384" i="4"/>
  <c r="I384" i="4" s="1"/>
  <c r="J384" i="4" s="1"/>
  <c r="I383" i="4"/>
  <c r="J383" i="4" s="1"/>
  <c r="H383" i="4"/>
  <c r="H382" i="4"/>
  <c r="I382" i="4" s="1"/>
  <c r="J382" i="4" s="1"/>
  <c r="H381" i="4"/>
  <c r="I381" i="4" s="1"/>
  <c r="J381" i="4" s="1"/>
  <c r="H380" i="4"/>
  <c r="I380" i="4" s="1"/>
  <c r="J380" i="4" s="1"/>
  <c r="H379" i="4"/>
  <c r="I379" i="4" s="1"/>
  <c r="J379" i="4" s="1"/>
  <c r="H378" i="4"/>
  <c r="I378" i="4" s="1"/>
  <c r="J378" i="4" s="1"/>
  <c r="H377" i="4"/>
  <c r="I377" i="4" s="1"/>
  <c r="J377" i="4" s="1"/>
  <c r="H376" i="4"/>
  <c r="I376" i="4" s="1"/>
  <c r="J376" i="4" s="1"/>
  <c r="H375" i="4"/>
  <c r="I375" i="4" s="1"/>
  <c r="J375" i="4" s="1"/>
  <c r="H374" i="4"/>
  <c r="I374" i="4" s="1"/>
  <c r="J374" i="4" s="1"/>
  <c r="H373" i="4"/>
  <c r="I373" i="4" s="1"/>
  <c r="J373" i="4" s="1"/>
  <c r="H372" i="4"/>
  <c r="I372" i="4" s="1"/>
  <c r="J372" i="4" s="1"/>
  <c r="H371" i="4"/>
  <c r="I371" i="4" s="1"/>
  <c r="J371" i="4" s="1"/>
  <c r="H370" i="4"/>
  <c r="I370" i="4" s="1"/>
  <c r="J370" i="4" s="1"/>
  <c r="H369" i="4"/>
  <c r="I369" i="4" s="1"/>
  <c r="J369" i="4" s="1"/>
  <c r="H368" i="4"/>
  <c r="I368" i="4" s="1"/>
  <c r="J368" i="4" s="1"/>
  <c r="I367" i="4"/>
  <c r="J367" i="4" s="1"/>
  <c r="H367" i="4"/>
  <c r="H366" i="4"/>
  <c r="I366" i="4" s="1"/>
  <c r="J366" i="4" s="1"/>
  <c r="H365" i="4"/>
  <c r="I365" i="4" s="1"/>
  <c r="J365" i="4" s="1"/>
  <c r="H364" i="4"/>
  <c r="I364" i="4" s="1"/>
  <c r="J364" i="4" s="1"/>
  <c r="H363" i="4"/>
  <c r="I363" i="4" s="1"/>
  <c r="J363" i="4" s="1"/>
  <c r="H362" i="4"/>
  <c r="I362" i="4" s="1"/>
  <c r="J362" i="4" s="1"/>
  <c r="H361" i="4"/>
  <c r="I361" i="4" s="1"/>
  <c r="J361" i="4" s="1"/>
  <c r="H360" i="4"/>
  <c r="I360" i="4" s="1"/>
  <c r="J360" i="4" s="1"/>
  <c r="H359" i="4"/>
  <c r="I359" i="4" s="1"/>
  <c r="J359" i="4" s="1"/>
  <c r="H358" i="4"/>
  <c r="I358" i="4" s="1"/>
  <c r="J358" i="4" s="1"/>
  <c r="H357" i="4"/>
  <c r="I357" i="4" s="1"/>
  <c r="J357" i="4" s="1"/>
  <c r="H356" i="4"/>
  <c r="I356" i="4" s="1"/>
  <c r="J356" i="4" s="1"/>
  <c r="H355" i="4"/>
  <c r="I355" i="4" s="1"/>
  <c r="J355" i="4" s="1"/>
  <c r="H354" i="4"/>
  <c r="I354" i="4" s="1"/>
  <c r="J354" i="4" s="1"/>
  <c r="H353" i="4"/>
  <c r="I353" i="4" s="1"/>
  <c r="J353" i="4" s="1"/>
  <c r="H352" i="4"/>
  <c r="I352" i="4" s="1"/>
  <c r="J352" i="4" s="1"/>
  <c r="H351" i="4"/>
  <c r="I351" i="4" s="1"/>
  <c r="J351" i="4" s="1"/>
  <c r="H350" i="4"/>
  <c r="I350" i="4" s="1"/>
  <c r="J350" i="4" s="1"/>
  <c r="H349" i="4"/>
  <c r="I349" i="4" s="1"/>
  <c r="J349" i="4" s="1"/>
  <c r="H348" i="4"/>
  <c r="I348" i="4" s="1"/>
  <c r="J348" i="4" s="1"/>
  <c r="H347" i="4"/>
  <c r="I347" i="4" s="1"/>
  <c r="J347" i="4" s="1"/>
  <c r="H346" i="4"/>
  <c r="I346" i="4" s="1"/>
  <c r="J346" i="4" s="1"/>
  <c r="H345" i="4"/>
  <c r="I345" i="4" s="1"/>
  <c r="J345" i="4" s="1"/>
  <c r="H344" i="4"/>
  <c r="I344" i="4" s="1"/>
  <c r="J344" i="4" s="1"/>
  <c r="H343" i="4"/>
  <c r="I343" i="4" s="1"/>
  <c r="J343" i="4" s="1"/>
  <c r="H342" i="4"/>
  <c r="I342" i="4" s="1"/>
  <c r="J342" i="4" s="1"/>
  <c r="H341" i="4"/>
  <c r="I341" i="4" s="1"/>
  <c r="J341" i="4" s="1"/>
  <c r="H340" i="4"/>
  <c r="I340" i="4" s="1"/>
  <c r="J340" i="4" s="1"/>
  <c r="I339" i="4"/>
  <c r="J339" i="4" s="1"/>
  <c r="H339" i="4"/>
  <c r="G338" i="4"/>
  <c r="H338" i="4" s="1"/>
  <c r="I338" i="4" s="1"/>
  <c r="J338" i="4" s="1"/>
  <c r="H337" i="4"/>
  <c r="I337" i="4" s="1"/>
  <c r="J337" i="4" s="1"/>
  <c r="H336" i="4"/>
  <c r="I336" i="4" s="1"/>
  <c r="J336" i="4" s="1"/>
  <c r="H335" i="4"/>
  <c r="I335" i="4" s="1"/>
  <c r="J335" i="4" s="1"/>
  <c r="I334" i="4"/>
  <c r="J334" i="4" s="1"/>
  <c r="H334" i="4"/>
  <c r="H333" i="4"/>
  <c r="I333" i="4" s="1"/>
  <c r="J333" i="4" s="1"/>
  <c r="H332" i="4"/>
  <c r="I332" i="4" s="1"/>
  <c r="J332" i="4" s="1"/>
  <c r="H331" i="4"/>
  <c r="I331" i="4" s="1"/>
  <c r="J331" i="4" s="1"/>
  <c r="H330" i="4"/>
  <c r="I330" i="4" s="1"/>
  <c r="J330" i="4" s="1"/>
  <c r="H329" i="4"/>
  <c r="I329" i="4" s="1"/>
  <c r="J329" i="4" s="1"/>
  <c r="H328" i="4"/>
  <c r="I328" i="4" s="1"/>
  <c r="J328" i="4" s="1"/>
  <c r="H327" i="4"/>
  <c r="I327" i="4" s="1"/>
  <c r="J327" i="4" s="1"/>
  <c r="H326" i="4"/>
  <c r="I326" i="4" s="1"/>
  <c r="J326" i="4" s="1"/>
  <c r="H325" i="4"/>
  <c r="I325" i="4" s="1"/>
  <c r="J325" i="4" s="1"/>
  <c r="H324" i="4"/>
  <c r="I324" i="4" s="1"/>
  <c r="J324" i="4" s="1"/>
  <c r="H323" i="4"/>
  <c r="I323" i="4" s="1"/>
  <c r="J323" i="4" s="1"/>
  <c r="H322" i="4"/>
  <c r="I322" i="4" s="1"/>
  <c r="J322" i="4" s="1"/>
  <c r="H321" i="4"/>
  <c r="I321" i="4" s="1"/>
  <c r="J321" i="4" s="1"/>
  <c r="H320" i="4"/>
  <c r="I320" i="4" s="1"/>
  <c r="J320" i="4" s="1"/>
  <c r="H319" i="4"/>
  <c r="I319" i="4" s="1"/>
  <c r="J319" i="4" s="1"/>
  <c r="I318" i="4"/>
  <c r="J318" i="4" s="1"/>
  <c r="H318" i="4"/>
  <c r="H317" i="4"/>
  <c r="I317" i="4" s="1"/>
  <c r="J317" i="4" s="1"/>
  <c r="H316" i="4"/>
  <c r="I316" i="4" s="1"/>
  <c r="J316" i="4" s="1"/>
  <c r="H315" i="4"/>
  <c r="I315" i="4" s="1"/>
  <c r="J315" i="4" s="1"/>
  <c r="I314" i="4"/>
  <c r="J314" i="4" s="1"/>
  <c r="H314" i="4"/>
  <c r="H313" i="4"/>
  <c r="I313" i="4" s="1"/>
  <c r="J313" i="4" s="1"/>
  <c r="H312" i="4"/>
  <c r="I312" i="4" s="1"/>
  <c r="J312" i="4" s="1"/>
  <c r="H311" i="4"/>
  <c r="I311" i="4" s="1"/>
  <c r="J311" i="4" s="1"/>
  <c r="H310" i="4"/>
  <c r="I310" i="4" s="1"/>
  <c r="J310" i="4" s="1"/>
  <c r="H309" i="4"/>
  <c r="I309" i="4" s="1"/>
  <c r="J309" i="4" s="1"/>
  <c r="H308" i="4"/>
  <c r="I308" i="4" s="1"/>
  <c r="J308" i="4" s="1"/>
  <c r="H307" i="4"/>
  <c r="I307" i="4" s="1"/>
  <c r="J307" i="4" s="1"/>
  <c r="I306" i="4"/>
  <c r="J306" i="4" s="1"/>
  <c r="H306" i="4"/>
  <c r="H305" i="4"/>
  <c r="I305" i="4" s="1"/>
  <c r="J305" i="4" s="1"/>
  <c r="H304" i="4"/>
  <c r="I304" i="4" s="1"/>
  <c r="J304" i="4" s="1"/>
  <c r="I303" i="4"/>
  <c r="J303" i="4" s="1"/>
  <c r="H303" i="4"/>
  <c r="H302" i="4"/>
  <c r="I302" i="4" s="1"/>
  <c r="J302" i="4" s="1"/>
  <c r="H301" i="4"/>
  <c r="I301" i="4" s="1"/>
  <c r="J301" i="4" s="1"/>
  <c r="H300" i="4"/>
  <c r="I300" i="4" s="1"/>
  <c r="J300" i="4" s="1"/>
  <c r="H299" i="4"/>
  <c r="I299" i="4" s="1"/>
  <c r="J299" i="4" s="1"/>
  <c r="H298" i="4"/>
  <c r="I298" i="4" s="1"/>
  <c r="J298" i="4" s="1"/>
  <c r="H297" i="4"/>
  <c r="I297" i="4" s="1"/>
  <c r="J297" i="4" s="1"/>
  <c r="H296" i="4"/>
  <c r="I296" i="4" s="1"/>
  <c r="J296" i="4" s="1"/>
  <c r="H295" i="4"/>
  <c r="I295" i="4" s="1"/>
  <c r="J295" i="4" s="1"/>
  <c r="H294" i="4"/>
  <c r="I294" i="4" s="1"/>
  <c r="J294" i="4" s="1"/>
  <c r="H293" i="4"/>
  <c r="I293" i="4" s="1"/>
  <c r="J293" i="4" s="1"/>
  <c r="H292" i="4"/>
  <c r="I292" i="4" s="1"/>
  <c r="J292" i="4" s="1"/>
  <c r="H291" i="4"/>
  <c r="I291" i="4" s="1"/>
  <c r="J291" i="4" s="1"/>
  <c r="G290" i="4"/>
  <c r="H290" i="4" s="1"/>
  <c r="I290" i="4" s="1"/>
  <c r="J290" i="4" s="1"/>
  <c r="H289" i="4"/>
  <c r="I289" i="4" s="1"/>
  <c r="J289" i="4" s="1"/>
  <c r="H288" i="4"/>
  <c r="I288" i="4" s="1"/>
  <c r="J288" i="4" s="1"/>
  <c r="H287" i="4"/>
  <c r="I287" i="4" s="1"/>
  <c r="J287" i="4" s="1"/>
  <c r="H286" i="4"/>
  <c r="I286" i="4" s="1"/>
  <c r="J286" i="4" s="1"/>
  <c r="H285" i="4"/>
  <c r="I285" i="4" s="1"/>
  <c r="J285" i="4" s="1"/>
  <c r="H284" i="4"/>
  <c r="I284" i="4" s="1"/>
  <c r="J284" i="4" s="1"/>
  <c r="H283" i="4"/>
  <c r="I283" i="4" s="1"/>
  <c r="J283" i="4" s="1"/>
  <c r="H282" i="4"/>
  <c r="I282" i="4" s="1"/>
  <c r="J282" i="4" s="1"/>
  <c r="H281" i="4"/>
  <c r="I281" i="4" s="1"/>
  <c r="J281" i="4" s="1"/>
  <c r="I280" i="4"/>
  <c r="J280" i="4" s="1"/>
  <c r="H280" i="4"/>
  <c r="H279" i="4"/>
  <c r="I279" i="4" s="1"/>
  <c r="J279" i="4" s="1"/>
  <c r="H278" i="4"/>
  <c r="I278" i="4" s="1"/>
  <c r="J278" i="4" s="1"/>
  <c r="H277" i="4"/>
  <c r="I277" i="4" s="1"/>
  <c r="J277" i="4" s="1"/>
  <c r="H276" i="4"/>
  <c r="I276" i="4" s="1"/>
  <c r="J276" i="4" s="1"/>
  <c r="H275" i="4"/>
  <c r="I275" i="4" s="1"/>
  <c r="J275" i="4" s="1"/>
  <c r="H274" i="4"/>
  <c r="I274" i="4" s="1"/>
  <c r="J274" i="4" s="1"/>
  <c r="H273" i="4"/>
  <c r="I273" i="4" s="1"/>
  <c r="J273" i="4" s="1"/>
  <c r="H272" i="4"/>
  <c r="I272" i="4" s="1"/>
  <c r="J272" i="4" s="1"/>
  <c r="H271" i="4"/>
  <c r="I271" i="4" s="1"/>
  <c r="J271" i="4" s="1"/>
  <c r="H270" i="4"/>
  <c r="I270" i="4" s="1"/>
  <c r="J270" i="4" s="1"/>
  <c r="H269" i="4"/>
  <c r="I269" i="4" s="1"/>
  <c r="J269" i="4" s="1"/>
  <c r="H268" i="4"/>
  <c r="I268" i="4" s="1"/>
  <c r="J268" i="4" s="1"/>
  <c r="H267" i="4"/>
  <c r="I267" i="4" s="1"/>
  <c r="J267" i="4" s="1"/>
  <c r="H266" i="4"/>
  <c r="I266" i="4" s="1"/>
  <c r="J266" i="4" s="1"/>
  <c r="H265" i="4"/>
  <c r="I265" i="4" s="1"/>
  <c r="J265" i="4" s="1"/>
  <c r="H264" i="4"/>
  <c r="I264" i="4" s="1"/>
  <c r="J264" i="4" s="1"/>
  <c r="H263" i="4"/>
  <c r="I263" i="4" s="1"/>
  <c r="J263" i="4" s="1"/>
  <c r="H262" i="4"/>
  <c r="I262" i="4" s="1"/>
  <c r="J262" i="4" s="1"/>
  <c r="H261" i="4"/>
  <c r="I261" i="4" s="1"/>
  <c r="J261" i="4" s="1"/>
  <c r="H260" i="4"/>
  <c r="I260" i="4" s="1"/>
  <c r="J260" i="4" s="1"/>
  <c r="H259" i="4"/>
  <c r="I259" i="4" s="1"/>
  <c r="J259" i="4" s="1"/>
  <c r="H258" i="4"/>
  <c r="I258" i="4" s="1"/>
  <c r="J258" i="4" s="1"/>
  <c r="H257" i="4"/>
  <c r="I257" i="4" s="1"/>
  <c r="J257" i="4" s="1"/>
  <c r="H256" i="4"/>
  <c r="I256" i="4" s="1"/>
  <c r="J256" i="4" s="1"/>
  <c r="H255" i="4"/>
  <c r="I255" i="4" s="1"/>
  <c r="J255" i="4" s="1"/>
  <c r="H254" i="4"/>
  <c r="I254" i="4" s="1"/>
  <c r="J254" i="4" s="1"/>
  <c r="H253" i="4"/>
  <c r="I253" i="4" s="1"/>
  <c r="J253" i="4" s="1"/>
  <c r="H252" i="4"/>
  <c r="I252" i="4" s="1"/>
  <c r="J252" i="4" s="1"/>
  <c r="H251" i="4"/>
  <c r="I251" i="4" s="1"/>
  <c r="J251" i="4" s="1"/>
  <c r="H250" i="4"/>
  <c r="I250" i="4" s="1"/>
  <c r="J250" i="4" s="1"/>
  <c r="H249" i="4"/>
  <c r="I249" i="4" s="1"/>
  <c r="J249" i="4" s="1"/>
  <c r="H248" i="4"/>
  <c r="I248" i="4" s="1"/>
  <c r="J248" i="4" s="1"/>
  <c r="H247" i="4"/>
  <c r="I247" i="4" s="1"/>
  <c r="J247" i="4" s="1"/>
  <c r="H246" i="4"/>
  <c r="I246" i="4" s="1"/>
  <c r="J246" i="4" s="1"/>
  <c r="H245" i="4"/>
  <c r="I245" i="4" s="1"/>
  <c r="J245" i="4" s="1"/>
  <c r="H244" i="4"/>
  <c r="I244" i="4" s="1"/>
  <c r="J244" i="4" s="1"/>
  <c r="H243" i="4"/>
  <c r="I243" i="4" s="1"/>
  <c r="J243" i="4" s="1"/>
  <c r="G242" i="4"/>
  <c r="H242" i="4" s="1"/>
  <c r="I242" i="4" s="1"/>
  <c r="J242" i="4" s="1"/>
  <c r="H241" i="4"/>
  <c r="I241" i="4" s="1"/>
  <c r="J241" i="4" s="1"/>
  <c r="H240" i="4"/>
  <c r="I240" i="4" s="1"/>
  <c r="J240" i="4" s="1"/>
  <c r="H239" i="4"/>
  <c r="I239" i="4" s="1"/>
  <c r="J239" i="4" s="1"/>
  <c r="H238" i="4"/>
  <c r="I238" i="4" s="1"/>
  <c r="J238" i="4" s="1"/>
  <c r="J237" i="4"/>
  <c r="H237" i="4"/>
  <c r="I237" i="4" s="1"/>
  <c r="H236" i="4"/>
  <c r="I236" i="4" s="1"/>
  <c r="J236" i="4" s="1"/>
  <c r="H235" i="4"/>
  <c r="I235" i="4" s="1"/>
  <c r="J235" i="4" s="1"/>
  <c r="H234" i="4"/>
  <c r="I234" i="4" s="1"/>
  <c r="J234" i="4" s="1"/>
  <c r="H233" i="4"/>
  <c r="I233" i="4" s="1"/>
  <c r="J233" i="4" s="1"/>
  <c r="I232" i="4"/>
  <c r="J232" i="4" s="1"/>
  <c r="H232" i="4"/>
  <c r="H231" i="4"/>
  <c r="I231" i="4" s="1"/>
  <c r="J231" i="4" s="1"/>
  <c r="H230" i="4"/>
  <c r="I230" i="4" s="1"/>
  <c r="J230" i="4" s="1"/>
  <c r="H229" i="4"/>
  <c r="I229" i="4" s="1"/>
  <c r="J229" i="4" s="1"/>
  <c r="H228" i="4"/>
  <c r="I228" i="4" s="1"/>
  <c r="J228" i="4" s="1"/>
  <c r="H227" i="4"/>
  <c r="I227" i="4" s="1"/>
  <c r="J227" i="4" s="1"/>
  <c r="H226" i="4"/>
  <c r="I226" i="4" s="1"/>
  <c r="J226" i="4" s="1"/>
  <c r="H225" i="4"/>
  <c r="I225" i="4" s="1"/>
  <c r="J225" i="4" s="1"/>
  <c r="H224" i="4"/>
  <c r="I224" i="4" s="1"/>
  <c r="J224" i="4" s="1"/>
  <c r="H223" i="4"/>
  <c r="I223" i="4" s="1"/>
  <c r="J223" i="4" s="1"/>
  <c r="H222" i="4"/>
  <c r="I222" i="4" s="1"/>
  <c r="J222" i="4" s="1"/>
  <c r="H221" i="4"/>
  <c r="I221" i="4" s="1"/>
  <c r="J221" i="4" s="1"/>
  <c r="H220" i="4"/>
  <c r="I220" i="4" s="1"/>
  <c r="J220" i="4" s="1"/>
  <c r="H219" i="4"/>
  <c r="I219" i="4" s="1"/>
  <c r="J219" i="4" s="1"/>
  <c r="H218" i="4"/>
  <c r="I218" i="4" s="1"/>
  <c r="J218" i="4" s="1"/>
  <c r="H217" i="4"/>
  <c r="I217" i="4" s="1"/>
  <c r="J217" i="4" s="1"/>
  <c r="H216" i="4"/>
  <c r="I216" i="4" s="1"/>
  <c r="J216" i="4" s="1"/>
  <c r="H215" i="4"/>
  <c r="I215" i="4" s="1"/>
  <c r="J215" i="4" s="1"/>
  <c r="H214" i="4"/>
  <c r="I214" i="4" s="1"/>
  <c r="J214" i="4" s="1"/>
  <c r="H213" i="4"/>
  <c r="I213" i="4" s="1"/>
  <c r="J213" i="4" s="1"/>
  <c r="H212" i="4"/>
  <c r="I212" i="4" s="1"/>
  <c r="J212" i="4" s="1"/>
  <c r="H211" i="4"/>
  <c r="I211" i="4" s="1"/>
  <c r="J211" i="4" s="1"/>
  <c r="H210" i="4"/>
  <c r="I210" i="4" s="1"/>
  <c r="J210" i="4" s="1"/>
  <c r="H209" i="4"/>
  <c r="I209" i="4" s="1"/>
  <c r="J209" i="4" s="1"/>
  <c r="H208" i="4"/>
  <c r="I208" i="4" s="1"/>
  <c r="J208" i="4" s="1"/>
  <c r="H207" i="4"/>
  <c r="I207" i="4" s="1"/>
  <c r="J207" i="4" s="1"/>
  <c r="H206" i="4"/>
  <c r="I206" i="4" s="1"/>
  <c r="J206" i="4" s="1"/>
  <c r="J205" i="4"/>
  <c r="H205" i="4"/>
  <c r="I205" i="4" s="1"/>
  <c r="H204" i="4"/>
  <c r="I204" i="4" s="1"/>
  <c r="J204" i="4" s="1"/>
  <c r="H203" i="4"/>
  <c r="I203" i="4" s="1"/>
  <c r="J203" i="4" s="1"/>
  <c r="I202" i="4"/>
  <c r="J202" i="4" s="1"/>
  <c r="H202" i="4"/>
  <c r="H201" i="4"/>
  <c r="I201" i="4" s="1"/>
  <c r="J201" i="4" s="1"/>
  <c r="H200" i="4"/>
  <c r="I200" i="4" s="1"/>
  <c r="J200" i="4" s="1"/>
  <c r="H199" i="4"/>
  <c r="I199" i="4" s="1"/>
  <c r="J199" i="4" s="1"/>
  <c r="H198" i="4"/>
  <c r="I198" i="4" s="1"/>
  <c r="J198" i="4" s="1"/>
  <c r="H197" i="4"/>
  <c r="I197" i="4" s="1"/>
  <c r="J197" i="4" s="1"/>
  <c r="H196" i="4"/>
  <c r="I196" i="4" s="1"/>
  <c r="J196" i="4" s="1"/>
  <c r="H195" i="4"/>
  <c r="I195" i="4" s="1"/>
  <c r="J195" i="4" s="1"/>
  <c r="G194" i="4"/>
  <c r="H194" i="4" s="1"/>
  <c r="I194" i="4" s="1"/>
  <c r="J194" i="4" s="1"/>
  <c r="H193" i="4"/>
  <c r="I193" i="4" s="1"/>
  <c r="J193" i="4" s="1"/>
  <c r="H192" i="4"/>
  <c r="I192" i="4" s="1"/>
  <c r="J192" i="4" s="1"/>
  <c r="H191" i="4"/>
  <c r="I191" i="4" s="1"/>
  <c r="J191" i="4" s="1"/>
  <c r="H190" i="4"/>
  <c r="I190" i="4" s="1"/>
  <c r="J190" i="4" s="1"/>
  <c r="H189" i="4"/>
  <c r="I189" i="4" s="1"/>
  <c r="J189" i="4" s="1"/>
  <c r="H188" i="4"/>
  <c r="I188" i="4" s="1"/>
  <c r="J188" i="4" s="1"/>
  <c r="H187" i="4"/>
  <c r="I187" i="4" s="1"/>
  <c r="J187" i="4" s="1"/>
  <c r="H186" i="4"/>
  <c r="I186" i="4" s="1"/>
  <c r="J186" i="4" s="1"/>
  <c r="H185" i="4"/>
  <c r="I185" i="4" s="1"/>
  <c r="J185" i="4" s="1"/>
  <c r="H184" i="4"/>
  <c r="I184" i="4" s="1"/>
  <c r="J184" i="4" s="1"/>
  <c r="H183" i="4"/>
  <c r="I183" i="4" s="1"/>
  <c r="J183" i="4" s="1"/>
  <c r="H182" i="4"/>
  <c r="I182" i="4" s="1"/>
  <c r="J182" i="4" s="1"/>
  <c r="H181" i="4"/>
  <c r="I181" i="4" s="1"/>
  <c r="J181" i="4" s="1"/>
  <c r="H180" i="4"/>
  <c r="I180" i="4" s="1"/>
  <c r="J180" i="4" s="1"/>
  <c r="H179" i="4"/>
  <c r="I179" i="4" s="1"/>
  <c r="J179" i="4" s="1"/>
  <c r="H178" i="4"/>
  <c r="I178" i="4" s="1"/>
  <c r="J178" i="4" s="1"/>
  <c r="H177" i="4"/>
  <c r="I177" i="4" s="1"/>
  <c r="J177" i="4" s="1"/>
  <c r="H176" i="4"/>
  <c r="I176" i="4" s="1"/>
  <c r="J176" i="4" s="1"/>
  <c r="H175" i="4"/>
  <c r="I175" i="4" s="1"/>
  <c r="J175" i="4" s="1"/>
  <c r="H174" i="4"/>
  <c r="I174" i="4" s="1"/>
  <c r="J174" i="4" s="1"/>
  <c r="H173" i="4"/>
  <c r="I173" i="4" s="1"/>
  <c r="J173" i="4" s="1"/>
  <c r="H172" i="4"/>
  <c r="I172" i="4" s="1"/>
  <c r="J172" i="4" s="1"/>
  <c r="H171" i="4"/>
  <c r="I171" i="4" s="1"/>
  <c r="J171" i="4" s="1"/>
  <c r="H170" i="4"/>
  <c r="I170" i="4" s="1"/>
  <c r="J170" i="4" s="1"/>
  <c r="H169" i="4"/>
  <c r="I169" i="4" s="1"/>
  <c r="J169" i="4" s="1"/>
  <c r="J168" i="4"/>
  <c r="H168" i="4"/>
  <c r="I168" i="4" s="1"/>
  <c r="H167" i="4"/>
  <c r="I167" i="4" s="1"/>
  <c r="J167" i="4" s="1"/>
  <c r="H166" i="4"/>
  <c r="I166" i="4" s="1"/>
  <c r="J166" i="4" s="1"/>
  <c r="H165" i="4"/>
  <c r="I165" i="4" s="1"/>
  <c r="J165" i="4" s="1"/>
  <c r="H164" i="4"/>
  <c r="I164" i="4" s="1"/>
  <c r="J164" i="4" s="1"/>
  <c r="I163" i="4"/>
  <c r="J163" i="4" s="1"/>
  <c r="H163" i="4"/>
  <c r="H162" i="4"/>
  <c r="I162" i="4" s="1"/>
  <c r="J162" i="4" s="1"/>
  <c r="H161" i="4"/>
  <c r="I161" i="4" s="1"/>
  <c r="J161" i="4" s="1"/>
  <c r="H160" i="4"/>
  <c r="I160" i="4" s="1"/>
  <c r="J160" i="4" s="1"/>
  <c r="H159" i="4"/>
  <c r="I159" i="4" s="1"/>
  <c r="J159" i="4" s="1"/>
  <c r="H158" i="4"/>
  <c r="I158" i="4" s="1"/>
  <c r="J158" i="4" s="1"/>
  <c r="H157" i="4"/>
  <c r="I157" i="4" s="1"/>
  <c r="J157" i="4" s="1"/>
  <c r="H156" i="4"/>
  <c r="I156" i="4" s="1"/>
  <c r="J156" i="4" s="1"/>
  <c r="I155" i="4"/>
  <c r="J155" i="4" s="1"/>
  <c r="H155" i="4"/>
  <c r="H154" i="4"/>
  <c r="I154" i="4" s="1"/>
  <c r="J154" i="4" s="1"/>
  <c r="H153" i="4"/>
  <c r="I153" i="4" s="1"/>
  <c r="J153" i="4" s="1"/>
  <c r="J152" i="4"/>
  <c r="H152" i="4"/>
  <c r="I152" i="4" s="1"/>
  <c r="H151" i="4"/>
  <c r="I151" i="4" s="1"/>
  <c r="J151" i="4" s="1"/>
  <c r="H150" i="4"/>
  <c r="I150" i="4" s="1"/>
  <c r="J150" i="4" s="1"/>
  <c r="I149" i="4"/>
  <c r="J149" i="4" s="1"/>
  <c r="H149" i="4"/>
  <c r="H148" i="4"/>
  <c r="I148" i="4" s="1"/>
  <c r="J148" i="4" s="1"/>
  <c r="H147" i="4"/>
  <c r="I147" i="4" s="1"/>
  <c r="J147" i="4" s="1"/>
  <c r="G146" i="4"/>
  <c r="H146" i="4" s="1"/>
  <c r="I146" i="4" s="1"/>
  <c r="J146" i="4" s="1"/>
  <c r="H145" i="4"/>
  <c r="I145" i="4" s="1"/>
  <c r="J145" i="4" s="1"/>
  <c r="H144" i="4"/>
  <c r="I144" i="4" s="1"/>
  <c r="J144" i="4" s="1"/>
  <c r="H143" i="4"/>
  <c r="I143" i="4" s="1"/>
  <c r="J143" i="4" s="1"/>
  <c r="I142" i="4"/>
  <c r="J142" i="4" s="1"/>
  <c r="H142" i="4"/>
  <c r="H141" i="4"/>
  <c r="I141" i="4" s="1"/>
  <c r="J141" i="4" s="1"/>
  <c r="H140" i="4"/>
  <c r="I140" i="4" s="1"/>
  <c r="J140" i="4" s="1"/>
  <c r="H139" i="4"/>
  <c r="I139" i="4" s="1"/>
  <c r="J139" i="4" s="1"/>
  <c r="H138" i="4"/>
  <c r="I138" i="4" s="1"/>
  <c r="J138" i="4" s="1"/>
  <c r="H137" i="4"/>
  <c r="I137" i="4" s="1"/>
  <c r="J137" i="4" s="1"/>
  <c r="H136" i="4"/>
  <c r="I136" i="4" s="1"/>
  <c r="J136" i="4" s="1"/>
  <c r="H135" i="4"/>
  <c r="I135" i="4" s="1"/>
  <c r="J135" i="4" s="1"/>
  <c r="H134" i="4"/>
  <c r="I134" i="4" s="1"/>
  <c r="J134" i="4" s="1"/>
  <c r="H133" i="4"/>
  <c r="I133" i="4" s="1"/>
  <c r="J133" i="4" s="1"/>
  <c r="H132" i="4"/>
  <c r="I132" i="4" s="1"/>
  <c r="J132" i="4" s="1"/>
  <c r="H131" i="4"/>
  <c r="I131" i="4" s="1"/>
  <c r="J131" i="4" s="1"/>
  <c r="H130" i="4"/>
  <c r="I130" i="4" s="1"/>
  <c r="J130" i="4" s="1"/>
  <c r="H129" i="4"/>
  <c r="I129" i="4" s="1"/>
  <c r="J129" i="4" s="1"/>
  <c r="H128" i="4"/>
  <c r="I128" i="4" s="1"/>
  <c r="J128" i="4" s="1"/>
  <c r="H127" i="4"/>
  <c r="I127" i="4" s="1"/>
  <c r="J127" i="4" s="1"/>
  <c r="H126" i="4"/>
  <c r="I126" i="4" s="1"/>
  <c r="J126" i="4" s="1"/>
  <c r="H125" i="4"/>
  <c r="I125" i="4" s="1"/>
  <c r="J125" i="4" s="1"/>
  <c r="H124" i="4"/>
  <c r="I124" i="4" s="1"/>
  <c r="J124" i="4" s="1"/>
  <c r="H123" i="4"/>
  <c r="I123" i="4" s="1"/>
  <c r="J123" i="4" s="1"/>
  <c r="H122" i="4"/>
  <c r="I122" i="4" s="1"/>
  <c r="J122" i="4" s="1"/>
  <c r="H121" i="4"/>
  <c r="I121" i="4" s="1"/>
  <c r="J121" i="4" s="1"/>
  <c r="H120" i="4"/>
  <c r="I120" i="4" s="1"/>
  <c r="J120" i="4" s="1"/>
  <c r="H119" i="4"/>
  <c r="I119" i="4" s="1"/>
  <c r="J119" i="4" s="1"/>
  <c r="H118" i="4"/>
  <c r="I118" i="4" s="1"/>
  <c r="J118" i="4" s="1"/>
  <c r="H117" i="4"/>
  <c r="I117" i="4" s="1"/>
  <c r="J117" i="4" s="1"/>
  <c r="H116" i="4"/>
  <c r="I116" i="4" s="1"/>
  <c r="J116" i="4" s="1"/>
  <c r="H115" i="4"/>
  <c r="I115" i="4" s="1"/>
  <c r="J115" i="4" s="1"/>
  <c r="H114" i="4"/>
  <c r="I114" i="4" s="1"/>
  <c r="J114" i="4" s="1"/>
  <c r="H113" i="4"/>
  <c r="I113" i="4" s="1"/>
  <c r="J113" i="4" s="1"/>
  <c r="H112" i="4"/>
  <c r="I112" i="4" s="1"/>
  <c r="J112" i="4" s="1"/>
  <c r="H111" i="4"/>
  <c r="I111" i="4" s="1"/>
  <c r="J111" i="4" s="1"/>
  <c r="H110" i="4"/>
  <c r="I110" i="4" s="1"/>
  <c r="J110" i="4" s="1"/>
  <c r="H109" i="4"/>
  <c r="I109" i="4" s="1"/>
  <c r="J109" i="4" s="1"/>
  <c r="H108" i="4"/>
  <c r="I108" i="4" s="1"/>
  <c r="J108" i="4" s="1"/>
  <c r="H107" i="4"/>
  <c r="I107" i="4" s="1"/>
  <c r="J107" i="4" s="1"/>
  <c r="H106" i="4"/>
  <c r="I106" i="4" s="1"/>
  <c r="J106" i="4" s="1"/>
  <c r="H105" i="4"/>
  <c r="I105" i="4" s="1"/>
  <c r="J105" i="4" s="1"/>
  <c r="I104" i="4"/>
  <c r="J104" i="4" s="1"/>
  <c r="H104" i="4"/>
  <c r="H103" i="4"/>
  <c r="I103" i="4" s="1"/>
  <c r="J103" i="4" s="1"/>
  <c r="H102" i="4"/>
  <c r="I102" i="4" s="1"/>
  <c r="J102" i="4" s="1"/>
  <c r="J101" i="4"/>
  <c r="H101" i="4"/>
  <c r="I101" i="4" s="1"/>
  <c r="H100" i="4"/>
  <c r="I100" i="4" s="1"/>
  <c r="J100" i="4" s="1"/>
  <c r="H99" i="4"/>
  <c r="I99" i="4" s="1"/>
  <c r="J99" i="4" s="1"/>
  <c r="G98" i="4"/>
  <c r="H98" i="4" s="1"/>
  <c r="I98" i="4" s="1"/>
  <c r="J98" i="4" s="1"/>
  <c r="H97" i="4"/>
  <c r="I97" i="4" s="1"/>
  <c r="J97" i="4" s="1"/>
  <c r="H96" i="4"/>
  <c r="I96" i="4" s="1"/>
  <c r="J96" i="4" s="1"/>
  <c r="H95" i="4"/>
  <c r="I95" i="4" s="1"/>
  <c r="J95" i="4" s="1"/>
  <c r="H94" i="4"/>
  <c r="I94" i="4" s="1"/>
  <c r="J94" i="4" s="1"/>
  <c r="H93" i="4"/>
  <c r="I93" i="4" s="1"/>
  <c r="J93" i="4" s="1"/>
  <c r="H92" i="4"/>
  <c r="I92" i="4" s="1"/>
  <c r="J92" i="4" s="1"/>
  <c r="H91" i="4"/>
  <c r="I91" i="4" s="1"/>
  <c r="J91" i="4" s="1"/>
  <c r="H90" i="4"/>
  <c r="I90" i="4" s="1"/>
  <c r="J90" i="4" s="1"/>
  <c r="H89" i="4"/>
  <c r="I89" i="4" s="1"/>
  <c r="J89" i="4" s="1"/>
  <c r="H88" i="4"/>
  <c r="I88" i="4" s="1"/>
  <c r="J88" i="4" s="1"/>
  <c r="H87" i="4"/>
  <c r="I87" i="4" s="1"/>
  <c r="J87" i="4" s="1"/>
  <c r="H86" i="4"/>
  <c r="I86" i="4" s="1"/>
  <c r="J86" i="4" s="1"/>
  <c r="H85" i="4"/>
  <c r="I85" i="4" s="1"/>
  <c r="J85" i="4" s="1"/>
  <c r="H84" i="4"/>
  <c r="I84" i="4" s="1"/>
  <c r="J84" i="4" s="1"/>
  <c r="H83" i="4"/>
  <c r="I83" i="4" s="1"/>
  <c r="J83" i="4" s="1"/>
  <c r="H82" i="4"/>
  <c r="I82" i="4" s="1"/>
  <c r="J82" i="4" s="1"/>
  <c r="H81" i="4"/>
  <c r="I81" i="4" s="1"/>
  <c r="J81" i="4" s="1"/>
  <c r="H80" i="4"/>
  <c r="I80" i="4" s="1"/>
  <c r="J80" i="4" s="1"/>
  <c r="H79" i="4"/>
  <c r="I79" i="4" s="1"/>
  <c r="J79" i="4" s="1"/>
  <c r="H78" i="4"/>
  <c r="I78" i="4" s="1"/>
  <c r="J78" i="4" s="1"/>
  <c r="H77" i="4"/>
  <c r="I77" i="4" s="1"/>
  <c r="J77" i="4" s="1"/>
  <c r="H76" i="4"/>
  <c r="I76" i="4" s="1"/>
  <c r="J76" i="4" s="1"/>
  <c r="H75" i="4"/>
  <c r="I75" i="4" s="1"/>
  <c r="J75" i="4" s="1"/>
  <c r="I74" i="4"/>
  <c r="J74" i="4" s="1"/>
  <c r="H74" i="4"/>
  <c r="H73" i="4"/>
  <c r="I73" i="4" s="1"/>
  <c r="J73" i="4" s="1"/>
  <c r="H72" i="4"/>
  <c r="I72" i="4" s="1"/>
  <c r="J72" i="4" s="1"/>
  <c r="H71" i="4"/>
  <c r="I71" i="4" s="1"/>
  <c r="J71" i="4" s="1"/>
  <c r="H70" i="4"/>
  <c r="I70" i="4" s="1"/>
  <c r="J70" i="4" s="1"/>
  <c r="H69" i="4"/>
  <c r="I69" i="4" s="1"/>
  <c r="J69" i="4" s="1"/>
  <c r="H68" i="4"/>
  <c r="I68" i="4" s="1"/>
  <c r="J68" i="4" s="1"/>
  <c r="H67" i="4"/>
  <c r="I67" i="4" s="1"/>
  <c r="J67" i="4" s="1"/>
  <c r="I66" i="4"/>
  <c r="J66" i="4" s="1"/>
  <c r="H66" i="4"/>
  <c r="H65" i="4"/>
  <c r="I65" i="4" s="1"/>
  <c r="J65" i="4" s="1"/>
  <c r="H64" i="4"/>
  <c r="I64" i="4" s="1"/>
  <c r="J64" i="4" s="1"/>
  <c r="H63" i="4"/>
  <c r="I63" i="4" s="1"/>
  <c r="J63" i="4" s="1"/>
  <c r="H62" i="4"/>
  <c r="I62" i="4" s="1"/>
  <c r="J62" i="4" s="1"/>
  <c r="H61" i="4"/>
  <c r="I61" i="4" s="1"/>
  <c r="J61" i="4" s="1"/>
  <c r="H60" i="4"/>
  <c r="I60" i="4" s="1"/>
  <c r="J60" i="4" s="1"/>
  <c r="H59" i="4"/>
  <c r="I59" i="4" s="1"/>
  <c r="J59" i="4" s="1"/>
  <c r="H58" i="4"/>
  <c r="I58" i="4" s="1"/>
  <c r="J58" i="4" s="1"/>
  <c r="I57" i="4"/>
  <c r="J57" i="4" s="1"/>
  <c r="H57" i="4"/>
  <c r="H56" i="4"/>
  <c r="I56" i="4" s="1"/>
  <c r="J56" i="4" s="1"/>
  <c r="H55" i="4"/>
  <c r="I55" i="4" s="1"/>
  <c r="J55" i="4" s="1"/>
  <c r="H54" i="4"/>
  <c r="I54" i="4" s="1"/>
  <c r="J54" i="4" s="1"/>
  <c r="H53" i="4"/>
  <c r="I53" i="4" s="1"/>
  <c r="J53" i="4" s="1"/>
  <c r="I52" i="4"/>
  <c r="J52" i="4" s="1"/>
  <c r="H52" i="4"/>
  <c r="H51" i="4"/>
  <c r="I51" i="4" s="1"/>
  <c r="J51" i="4" s="1"/>
  <c r="G50" i="4"/>
  <c r="H50" i="4" s="1"/>
  <c r="I50" i="4" s="1"/>
  <c r="J50" i="4" s="1"/>
  <c r="H49" i="4"/>
  <c r="I49" i="4" s="1"/>
  <c r="J49" i="4" s="1"/>
  <c r="H48" i="4"/>
  <c r="I48" i="4" s="1"/>
  <c r="J48" i="4" s="1"/>
  <c r="H47" i="4"/>
  <c r="I47" i="4" s="1"/>
  <c r="J47" i="4" s="1"/>
  <c r="H46" i="4"/>
  <c r="I46" i="4" s="1"/>
  <c r="J46" i="4" s="1"/>
  <c r="H45" i="4"/>
  <c r="I45" i="4" s="1"/>
  <c r="J45" i="4" s="1"/>
  <c r="H44" i="4"/>
  <c r="I44" i="4" s="1"/>
  <c r="J44" i="4" s="1"/>
  <c r="H43" i="4"/>
  <c r="I43" i="4" s="1"/>
  <c r="J43" i="4" s="1"/>
  <c r="H42" i="4"/>
  <c r="I42" i="4" s="1"/>
  <c r="J42" i="4" s="1"/>
  <c r="H41" i="4"/>
  <c r="I41" i="4" s="1"/>
  <c r="J41" i="4" s="1"/>
  <c r="H40" i="4"/>
  <c r="I40" i="4" s="1"/>
  <c r="J40" i="4" s="1"/>
  <c r="H39" i="4"/>
  <c r="I39" i="4" s="1"/>
  <c r="J39" i="4" s="1"/>
  <c r="H38" i="4"/>
  <c r="I38" i="4" s="1"/>
  <c r="J38" i="4" s="1"/>
  <c r="H37" i="4"/>
  <c r="I37" i="4" s="1"/>
  <c r="J37" i="4" s="1"/>
  <c r="H36" i="4"/>
  <c r="I36" i="4" s="1"/>
  <c r="J36" i="4" s="1"/>
  <c r="H35" i="4"/>
  <c r="I35" i="4" s="1"/>
  <c r="J35" i="4" s="1"/>
  <c r="H34" i="4"/>
  <c r="I34" i="4" s="1"/>
  <c r="J34" i="4" s="1"/>
  <c r="H33" i="4"/>
  <c r="I33" i="4" s="1"/>
  <c r="J33" i="4" s="1"/>
  <c r="H32" i="4"/>
  <c r="I32" i="4" s="1"/>
  <c r="J32" i="4" s="1"/>
  <c r="H31" i="4"/>
  <c r="I31" i="4" s="1"/>
  <c r="J31" i="4" s="1"/>
  <c r="H30" i="4"/>
  <c r="I30" i="4" s="1"/>
  <c r="J30" i="4" s="1"/>
  <c r="H29" i="4"/>
  <c r="I29" i="4" s="1"/>
  <c r="J29" i="4" s="1"/>
  <c r="H28" i="4"/>
  <c r="I28" i="4" s="1"/>
  <c r="J28" i="4" s="1"/>
  <c r="H27" i="4"/>
  <c r="I27" i="4" s="1"/>
  <c r="J27" i="4" s="1"/>
  <c r="H26" i="4"/>
  <c r="I26" i="4" s="1"/>
  <c r="J26" i="4" s="1"/>
  <c r="H25" i="4"/>
  <c r="I25" i="4" s="1"/>
  <c r="J25" i="4" s="1"/>
  <c r="H24" i="4"/>
  <c r="I24" i="4" s="1"/>
  <c r="J24" i="4" s="1"/>
  <c r="H23" i="4"/>
  <c r="I23" i="4" s="1"/>
  <c r="J23" i="4" s="1"/>
  <c r="H22" i="4"/>
  <c r="I22" i="4" s="1"/>
  <c r="J22" i="4" s="1"/>
  <c r="H21" i="4"/>
  <c r="I21" i="4" s="1"/>
  <c r="J21" i="4" s="1"/>
  <c r="H20" i="4"/>
  <c r="I20" i="4" s="1"/>
  <c r="J20" i="4" s="1"/>
  <c r="H19" i="4"/>
  <c r="I19" i="4" s="1"/>
  <c r="J19" i="4" s="1"/>
  <c r="H18" i="4"/>
  <c r="I18" i="4" s="1"/>
  <c r="J18" i="4" s="1"/>
  <c r="H17" i="4"/>
  <c r="I17" i="4" s="1"/>
  <c r="J17" i="4" s="1"/>
  <c r="H16" i="4"/>
  <c r="I16" i="4" s="1"/>
  <c r="J16" i="4" s="1"/>
  <c r="H15" i="4"/>
  <c r="I15" i="4" s="1"/>
  <c r="J15" i="4" s="1"/>
  <c r="H14" i="4"/>
  <c r="I14" i="4" s="1"/>
  <c r="J14" i="4" s="1"/>
  <c r="H13" i="4"/>
  <c r="I13" i="4" s="1"/>
  <c r="J13" i="4" s="1"/>
  <c r="H12" i="4"/>
  <c r="I12" i="4" s="1"/>
  <c r="J12" i="4" s="1"/>
  <c r="H11" i="4"/>
  <c r="I11" i="4" s="1"/>
  <c r="J11" i="4" s="1"/>
  <c r="H10" i="4"/>
  <c r="I10" i="4" s="1"/>
  <c r="J10" i="4" s="1"/>
  <c r="H9" i="4"/>
  <c r="I9" i="4" s="1"/>
  <c r="J9" i="4" s="1"/>
  <c r="H8" i="4"/>
  <c r="I8" i="4" s="1"/>
  <c r="J8" i="4" s="1"/>
  <c r="H7" i="4"/>
  <c r="I7" i="4" s="1"/>
  <c r="J7" i="4" s="1"/>
  <c r="H6" i="4"/>
  <c r="I6" i="4" s="1"/>
  <c r="J6" i="4" s="1"/>
  <c r="H5" i="4"/>
  <c r="I5" i="4" s="1"/>
  <c r="J5" i="4" s="1"/>
  <c r="H4" i="4"/>
  <c r="I4" i="4" s="1"/>
  <c r="J4" i="4" s="1"/>
  <c r="H3" i="4"/>
  <c r="I3" i="4" s="1"/>
  <c r="J3" i="4" s="1"/>
  <c r="G2" i="4"/>
  <c r="H2" i="4" s="1"/>
  <c r="I2" i="4" s="1"/>
  <c r="J2" i="4" s="1"/>
  <c r="J21" i="3"/>
  <c r="J53" i="3"/>
  <c r="J77" i="3"/>
  <c r="J85" i="3"/>
  <c r="J149" i="3"/>
  <c r="J181" i="3"/>
  <c r="J205" i="3"/>
  <c r="J213" i="3"/>
  <c r="J245" i="3"/>
  <c r="I4" i="3"/>
  <c r="J4" i="3" s="1"/>
  <c r="I12" i="3"/>
  <c r="J12" i="3" s="1"/>
  <c r="I20" i="3"/>
  <c r="J20" i="3" s="1"/>
  <c r="I28" i="3"/>
  <c r="J28" i="3" s="1"/>
  <c r="I36" i="3"/>
  <c r="J36" i="3" s="1"/>
  <c r="I44" i="3"/>
  <c r="J44" i="3" s="1"/>
  <c r="I52" i="3"/>
  <c r="J52" i="3" s="1"/>
  <c r="I60" i="3"/>
  <c r="J60" i="3" s="1"/>
  <c r="I68" i="3"/>
  <c r="J68" i="3" s="1"/>
  <c r="I76" i="3"/>
  <c r="J76" i="3" s="1"/>
  <c r="I84" i="3"/>
  <c r="J84" i="3" s="1"/>
  <c r="I92" i="3"/>
  <c r="J92" i="3" s="1"/>
  <c r="I100" i="3"/>
  <c r="J100" i="3" s="1"/>
  <c r="I108" i="3"/>
  <c r="J108" i="3" s="1"/>
  <c r="I115" i="3"/>
  <c r="J115" i="3" s="1"/>
  <c r="I116" i="3"/>
  <c r="J116" i="3" s="1"/>
  <c r="I124" i="3"/>
  <c r="J124" i="3" s="1"/>
  <c r="I131" i="3"/>
  <c r="J131" i="3" s="1"/>
  <c r="I132" i="3"/>
  <c r="J132" i="3" s="1"/>
  <c r="I140" i="3"/>
  <c r="J140" i="3" s="1"/>
  <c r="I147" i="3"/>
  <c r="J147" i="3" s="1"/>
  <c r="I148" i="3"/>
  <c r="J148" i="3" s="1"/>
  <c r="I156" i="3"/>
  <c r="J156" i="3" s="1"/>
  <c r="I163" i="3"/>
  <c r="J163" i="3" s="1"/>
  <c r="I164" i="3"/>
  <c r="J164" i="3" s="1"/>
  <c r="I172" i="3"/>
  <c r="J172" i="3" s="1"/>
  <c r="I179" i="3"/>
  <c r="J179" i="3" s="1"/>
  <c r="I180" i="3"/>
  <c r="J180" i="3" s="1"/>
  <c r="I188" i="3"/>
  <c r="J188" i="3" s="1"/>
  <c r="I195" i="3"/>
  <c r="J195" i="3" s="1"/>
  <c r="I196" i="3"/>
  <c r="J196" i="3" s="1"/>
  <c r="I204" i="3"/>
  <c r="J204" i="3" s="1"/>
  <c r="I211" i="3"/>
  <c r="J211" i="3" s="1"/>
  <c r="I212" i="3"/>
  <c r="J212" i="3" s="1"/>
  <c r="I220" i="3"/>
  <c r="J220" i="3" s="1"/>
  <c r="I228" i="3"/>
  <c r="J228" i="3" s="1"/>
  <c r="I236" i="3"/>
  <c r="J236" i="3" s="1"/>
  <c r="I243" i="3"/>
  <c r="J243" i="3" s="1"/>
  <c r="I244" i="3"/>
  <c r="J244" i="3" s="1"/>
  <c r="I252" i="3"/>
  <c r="J252" i="3" s="1"/>
  <c r="I260" i="3"/>
  <c r="J260" i="3" s="1"/>
  <c r="I268" i="3"/>
  <c r="J268" i="3" s="1"/>
  <c r="I275" i="3"/>
  <c r="J275" i="3" s="1"/>
  <c r="I276" i="3"/>
  <c r="J276" i="3" s="1"/>
  <c r="I284" i="3"/>
  <c r="J284" i="3" s="1"/>
  <c r="I2" i="3"/>
  <c r="J2" i="3" s="1"/>
  <c r="H3" i="3"/>
  <c r="I3" i="3" s="1"/>
  <c r="J3" i="3" s="1"/>
  <c r="H4" i="3"/>
  <c r="H5" i="3"/>
  <c r="I5" i="3" s="1"/>
  <c r="J5" i="3" s="1"/>
  <c r="H6" i="3"/>
  <c r="I6" i="3" s="1"/>
  <c r="J6" i="3" s="1"/>
  <c r="H7" i="3"/>
  <c r="I7" i="3" s="1"/>
  <c r="J7" i="3" s="1"/>
  <c r="H8" i="3"/>
  <c r="I8" i="3" s="1"/>
  <c r="J8" i="3" s="1"/>
  <c r="H9" i="3"/>
  <c r="I9" i="3" s="1"/>
  <c r="J9" i="3" s="1"/>
  <c r="H10" i="3"/>
  <c r="I10" i="3" s="1"/>
  <c r="J10" i="3" s="1"/>
  <c r="H11" i="3"/>
  <c r="I11" i="3" s="1"/>
  <c r="J11" i="3" s="1"/>
  <c r="H12" i="3"/>
  <c r="H13" i="3"/>
  <c r="I13" i="3" s="1"/>
  <c r="J13" i="3" s="1"/>
  <c r="H14" i="3"/>
  <c r="I14" i="3" s="1"/>
  <c r="J14" i="3" s="1"/>
  <c r="H15" i="3"/>
  <c r="I15" i="3" s="1"/>
  <c r="J15" i="3" s="1"/>
  <c r="H16" i="3"/>
  <c r="I16" i="3" s="1"/>
  <c r="J16" i="3" s="1"/>
  <c r="H17" i="3"/>
  <c r="I17" i="3" s="1"/>
  <c r="J17" i="3" s="1"/>
  <c r="H18" i="3"/>
  <c r="I18" i="3" s="1"/>
  <c r="J18" i="3" s="1"/>
  <c r="H19" i="3"/>
  <c r="I19" i="3" s="1"/>
  <c r="J19" i="3" s="1"/>
  <c r="H20" i="3"/>
  <c r="H21" i="3"/>
  <c r="I21" i="3" s="1"/>
  <c r="H22" i="3"/>
  <c r="I22" i="3" s="1"/>
  <c r="J22" i="3" s="1"/>
  <c r="H23" i="3"/>
  <c r="I23" i="3" s="1"/>
  <c r="J23" i="3" s="1"/>
  <c r="H24" i="3"/>
  <c r="I24" i="3" s="1"/>
  <c r="J24" i="3" s="1"/>
  <c r="H25" i="3"/>
  <c r="I25" i="3" s="1"/>
  <c r="J25" i="3" s="1"/>
  <c r="H26" i="3"/>
  <c r="I26" i="3" s="1"/>
  <c r="J26" i="3" s="1"/>
  <c r="H27" i="3"/>
  <c r="I27" i="3" s="1"/>
  <c r="J27" i="3" s="1"/>
  <c r="H28" i="3"/>
  <c r="H30" i="3"/>
  <c r="I30" i="3" s="1"/>
  <c r="J30" i="3" s="1"/>
  <c r="H31" i="3"/>
  <c r="I31" i="3" s="1"/>
  <c r="J31" i="3" s="1"/>
  <c r="H32" i="3"/>
  <c r="I32" i="3" s="1"/>
  <c r="J32" i="3" s="1"/>
  <c r="H33" i="3"/>
  <c r="I33" i="3" s="1"/>
  <c r="J33" i="3" s="1"/>
  <c r="H34" i="3"/>
  <c r="I34" i="3" s="1"/>
  <c r="J34" i="3" s="1"/>
  <c r="H35" i="3"/>
  <c r="I35" i="3" s="1"/>
  <c r="J35" i="3" s="1"/>
  <c r="H36" i="3"/>
  <c r="H37" i="3"/>
  <c r="I37" i="3" s="1"/>
  <c r="J37" i="3" s="1"/>
  <c r="H38" i="3"/>
  <c r="I38" i="3" s="1"/>
  <c r="J38" i="3" s="1"/>
  <c r="H39" i="3"/>
  <c r="I39" i="3" s="1"/>
  <c r="J39" i="3" s="1"/>
  <c r="H40" i="3"/>
  <c r="I40" i="3" s="1"/>
  <c r="J40" i="3" s="1"/>
  <c r="H41" i="3"/>
  <c r="I41" i="3" s="1"/>
  <c r="J41" i="3" s="1"/>
  <c r="H42" i="3"/>
  <c r="I42" i="3" s="1"/>
  <c r="J42" i="3" s="1"/>
  <c r="H43" i="3"/>
  <c r="I43" i="3" s="1"/>
  <c r="J43" i="3" s="1"/>
  <c r="H44" i="3"/>
  <c r="H45" i="3"/>
  <c r="I45" i="3" s="1"/>
  <c r="J45" i="3" s="1"/>
  <c r="H46" i="3"/>
  <c r="I46" i="3" s="1"/>
  <c r="J46" i="3" s="1"/>
  <c r="H47" i="3"/>
  <c r="I47" i="3" s="1"/>
  <c r="J47" i="3" s="1"/>
  <c r="H48" i="3"/>
  <c r="I48" i="3" s="1"/>
  <c r="J48" i="3" s="1"/>
  <c r="H49" i="3"/>
  <c r="I49" i="3" s="1"/>
  <c r="J49" i="3" s="1"/>
  <c r="H50" i="3"/>
  <c r="I50" i="3" s="1"/>
  <c r="J50" i="3" s="1"/>
  <c r="H51" i="3"/>
  <c r="I51" i="3" s="1"/>
  <c r="J51" i="3" s="1"/>
  <c r="H52" i="3"/>
  <c r="H53" i="3"/>
  <c r="I53" i="3" s="1"/>
  <c r="H54" i="3"/>
  <c r="I54" i="3" s="1"/>
  <c r="J54" i="3" s="1"/>
  <c r="H55" i="3"/>
  <c r="I55" i="3" s="1"/>
  <c r="J55" i="3" s="1"/>
  <c r="H57" i="3"/>
  <c r="I57" i="3" s="1"/>
  <c r="J57" i="3" s="1"/>
  <c r="H58" i="3"/>
  <c r="I58" i="3" s="1"/>
  <c r="J58" i="3" s="1"/>
  <c r="H59" i="3"/>
  <c r="I59" i="3" s="1"/>
  <c r="J59" i="3" s="1"/>
  <c r="H60" i="3"/>
  <c r="H61" i="3"/>
  <c r="I61" i="3" s="1"/>
  <c r="J61" i="3" s="1"/>
  <c r="H62" i="3"/>
  <c r="I62" i="3" s="1"/>
  <c r="J62" i="3" s="1"/>
  <c r="H63" i="3"/>
  <c r="I63" i="3" s="1"/>
  <c r="J63" i="3" s="1"/>
  <c r="H64" i="3"/>
  <c r="I64" i="3" s="1"/>
  <c r="J64" i="3" s="1"/>
  <c r="H65" i="3"/>
  <c r="I65" i="3" s="1"/>
  <c r="J65" i="3" s="1"/>
  <c r="H66" i="3"/>
  <c r="I66" i="3" s="1"/>
  <c r="J66" i="3" s="1"/>
  <c r="H67" i="3"/>
  <c r="I67" i="3" s="1"/>
  <c r="J67" i="3" s="1"/>
  <c r="H68" i="3"/>
  <c r="H69" i="3"/>
  <c r="I69" i="3" s="1"/>
  <c r="J69" i="3" s="1"/>
  <c r="H70" i="3"/>
  <c r="I70" i="3" s="1"/>
  <c r="J70" i="3" s="1"/>
  <c r="H71" i="3"/>
  <c r="I71" i="3" s="1"/>
  <c r="J71" i="3" s="1"/>
  <c r="H72" i="3"/>
  <c r="I72" i="3" s="1"/>
  <c r="J72" i="3" s="1"/>
  <c r="H73" i="3"/>
  <c r="I73" i="3" s="1"/>
  <c r="J73" i="3" s="1"/>
  <c r="H74" i="3"/>
  <c r="I74" i="3" s="1"/>
  <c r="J74" i="3" s="1"/>
  <c r="H75" i="3"/>
  <c r="I75" i="3" s="1"/>
  <c r="J75" i="3" s="1"/>
  <c r="H76" i="3"/>
  <c r="H77" i="3"/>
  <c r="I77" i="3" s="1"/>
  <c r="H78" i="3"/>
  <c r="I78" i="3" s="1"/>
  <c r="J78" i="3" s="1"/>
  <c r="H79" i="3"/>
  <c r="I79" i="3" s="1"/>
  <c r="J79" i="3" s="1"/>
  <c r="H80" i="3"/>
  <c r="I80" i="3" s="1"/>
  <c r="J80" i="3" s="1"/>
  <c r="H81" i="3"/>
  <c r="I81" i="3" s="1"/>
  <c r="J81" i="3" s="1"/>
  <c r="H82" i="3"/>
  <c r="I82" i="3" s="1"/>
  <c r="J82" i="3" s="1"/>
  <c r="H83" i="3"/>
  <c r="I83" i="3" s="1"/>
  <c r="J83" i="3" s="1"/>
  <c r="H84" i="3"/>
  <c r="H85" i="3"/>
  <c r="I85" i="3" s="1"/>
  <c r="H86" i="3"/>
  <c r="I86" i="3" s="1"/>
  <c r="J86" i="3" s="1"/>
  <c r="H87" i="3"/>
  <c r="I87" i="3" s="1"/>
  <c r="J87" i="3" s="1"/>
  <c r="H88" i="3"/>
  <c r="I88" i="3" s="1"/>
  <c r="J88" i="3" s="1"/>
  <c r="H89" i="3"/>
  <c r="I89" i="3" s="1"/>
  <c r="J89" i="3" s="1"/>
  <c r="H90" i="3"/>
  <c r="I90" i="3" s="1"/>
  <c r="J90" i="3" s="1"/>
  <c r="H91" i="3"/>
  <c r="I91" i="3" s="1"/>
  <c r="J91" i="3" s="1"/>
  <c r="H92" i="3"/>
  <c r="H93" i="3"/>
  <c r="I93" i="3" s="1"/>
  <c r="J93" i="3" s="1"/>
  <c r="H94" i="3"/>
  <c r="I94" i="3" s="1"/>
  <c r="J94" i="3" s="1"/>
  <c r="H95" i="3"/>
  <c r="I95" i="3" s="1"/>
  <c r="J95" i="3" s="1"/>
  <c r="H96" i="3"/>
  <c r="I96" i="3" s="1"/>
  <c r="J96" i="3" s="1"/>
  <c r="H97" i="3"/>
  <c r="I97" i="3" s="1"/>
  <c r="J97" i="3" s="1"/>
  <c r="H98" i="3"/>
  <c r="I98" i="3" s="1"/>
  <c r="J98" i="3" s="1"/>
  <c r="H99" i="3"/>
  <c r="I99" i="3" s="1"/>
  <c r="J99" i="3" s="1"/>
  <c r="H100" i="3"/>
  <c r="H101" i="3"/>
  <c r="I101" i="3" s="1"/>
  <c r="J101" i="3" s="1"/>
  <c r="H102" i="3"/>
  <c r="I102" i="3" s="1"/>
  <c r="J102" i="3" s="1"/>
  <c r="H103" i="3"/>
  <c r="I103" i="3" s="1"/>
  <c r="J103" i="3" s="1"/>
  <c r="H104" i="3"/>
  <c r="I104" i="3" s="1"/>
  <c r="J104" i="3" s="1"/>
  <c r="H105" i="3"/>
  <c r="I105" i="3" s="1"/>
  <c r="J105" i="3" s="1"/>
  <c r="H106" i="3"/>
  <c r="I106" i="3" s="1"/>
  <c r="J106" i="3" s="1"/>
  <c r="H107" i="3"/>
  <c r="I107" i="3" s="1"/>
  <c r="J107" i="3" s="1"/>
  <c r="H108" i="3"/>
  <c r="H110" i="3"/>
  <c r="I110" i="3" s="1"/>
  <c r="J110" i="3" s="1"/>
  <c r="H111" i="3"/>
  <c r="I111" i="3" s="1"/>
  <c r="J111" i="3" s="1"/>
  <c r="H112" i="3"/>
  <c r="I112" i="3" s="1"/>
  <c r="J112" i="3" s="1"/>
  <c r="H113" i="3"/>
  <c r="I113" i="3" s="1"/>
  <c r="J113" i="3" s="1"/>
  <c r="H114" i="3"/>
  <c r="I114" i="3" s="1"/>
  <c r="J114" i="3" s="1"/>
  <c r="H115" i="3"/>
  <c r="H116" i="3"/>
  <c r="H117" i="3"/>
  <c r="I117" i="3" s="1"/>
  <c r="J117" i="3" s="1"/>
  <c r="H118" i="3"/>
  <c r="I118" i="3" s="1"/>
  <c r="J118" i="3" s="1"/>
  <c r="H119" i="3"/>
  <c r="I119" i="3" s="1"/>
  <c r="J119" i="3" s="1"/>
  <c r="H120" i="3"/>
  <c r="I120" i="3" s="1"/>
  <c r="J120" i="3" s="1"/>
  <c r="H121" i="3"/>
  <c r="I121" i="3" s="1"/>
  <c r="J121" i="3" s="1"/>
  <c r="H122" i="3"/>
  <c r="I122" i="3" s="1"/>
  <c r="J122" i="3" s="1"/>
  <c r="H123" i="3"/>
  <c r="I123" i="3" s="1"/>
  <c r="J123" i="3" s="1"/>
  <c r="H124" i="3"/>
  <c r="H125" i="3"/>
  <c r="I125" i="3" s="1"/>
  <c r="J125" i="3" s="1"/>
  <c r="H126" i="3"/>
  <c r="I126" i="3" s="1"/>
  <c r="J126" i="3" s="1"/>
  <c r="H127" i="3"/>
  <c r="I127" i="3" s="1"/>
  <c r="J127" i="3" s="1"/>
  <c r="H128" i="3"/>
  <c r="I128" i="3" s="1"/>
  <c r="J128" i="3" s="1"/>
  <c r="H129" i="3"/>
  <c r="I129" i="3" s="1"/>
  <c r="J129" i="3" s="1"/>
  <c r="H130" i="3"/>
  <c r="I130" i="3" s="1"/>
  <c r="J130" i="3" s="1"/>
  <c r="H131" i="3"/>
  <c r="H132" i="3"/>
  <c r="H133" i="3"/>
  <c r="I133" i="3" s="1"/>
  <c r="J133" i="3" s="1"/>
  <c r="H134" i="3"/>
  <c r="I134" i="3" s="1"/>
  <c r="J134" i="3" s="1"/>
  <c r="H135" i="3"/>
  <c r="I135" i="3" s="1"/>
  <c r="J135" i="3" s="1"/>
  <c r="H136" i="3"/>
  <c r="I136" i="3" s="1"/>
  <c r="J136" i="3" s="1"/>
  <c r="H137" i="3"/>
  <c r="I137" i="3" s="1"/>
  <c r="J137" i="3" s="1"/>
  <c r="H138" i="3"/>
  <c r="I138" i="3" s="1"/>
  <c r="J138" i="3" s="1"/>
  <c r="H139" i="3"/>
  <c r="I139" i="3" s="1"/>
  <c r="J139" i="3" s="1"/>
  <c r="H140" i="3"/>
  <c r="H141" i="3"/>
  <c r="I141" i="3" s="1"/>
  <c r="J141" i="3" s="1"/>
  <c r="H142" i="3"/>
  <c r="I142" i="3" s="1"/>
  <c r="J142" i="3" s="1"/>
  <c r="H143" i="3"/>
  <c r="I143" i="3" s="1"/>
  <c r="J143" i="3" s="1"/>
  <c r="H144" i="3"/>
  <c r="I144" i="3" s="1"/>
  <c r="J144" i="3" s="1"/>
  <c r="H145" i="3"/>
  <c r="I145" i="3" s="1"/>
  <c r="J145" i="3" s="1"/>
  <c r="H146" i="3"/>
  <c r="I146" i="3" s="1"/>
  <c r="J146" i="3" s="1"/>
  <c r="H147" i="3"/>
  <c r="H148" i="3"/>
  <c r="H149" i="3"/>
  <c r="I149" i="3" s="1"/>
  <c r="H150" i="3"/>
  <c r="I150" i="3" s="1"/>
  <c r="J150" i="3" s="1"/>
  <c r="H151" i="3"/>
  <c r="I151" i="3" s="1"/>
  <c r="J151" i="3" s="1"/>
  <c r="H152" i="3"/>
  <c r="I152" i="3" s="1"/>
  <c r="J152" i="3" s="1"/>
  <c r="H153" i="3"/>
  <c r="I153" i="3" s="1"/>
  <c r="J153" i="3" s="1"/>
  <c r="H154" i="3"/>
  <c r="I154" i="3" s="1"/>
  <c r="J154" i="3" s="1"/>
  <c r="H155" i="3"/>
  <c r="I155" i="3" s="1"/>
  <c r="J155" i="3" s="1"/>
  <c r="H156" i="3"/>
  <c r="H157" i="3"/>
  <c r="I157" i="3" s="1"/>
  <c r="J157" i="3" s="1"/>
  <c r="H158" i="3"/>
  <c r="I158" i="3" s="1"/>
  <c r="J158" i="3" s="1"/>
  <c r="H159" i="3"/>
  <c r="I159" i="3" s="1"/>
  <c r="J159" i="3" s="1"/>
  <c r="H160" i="3"/>
  <c r="I160" i="3" s="1"/>
  <c r="J160" i="3" s="1"/>
  <c r="H162" i="3"/>
  <c r="I162" i="3" s="1"/>
  <c r="J162" i="3" s="1"/>
  <c r="H163" i="3"/>
  <c r="H164" i="3"/>
  <c r="H165" i="3"/>
  <c r="I165" i="3" s="1"/>
  <c r="J165" i="3" s="1"/>
  <c r="H166" i="3"/>
  <c r="I166" i="3" s="1"/>
  <c r="J166" i="3" s="1"/>
  <c r="H167" i="3"/>
  <c r="I167" i="3" s="1"/>
  <c r="J167" i="3" s="1"/>
  <c r="H168" i="3"/>
  <c r="I168" i="3" s="1"/>
  <c r="J168" i="3" s="1"/>
  <c r="H169" i="3"/>
  <c r="I169" i="3" s="1"/>
  <c r="J169" i="3" s="1"/>
  <c r="H170" i="3"/>
  <c r="I170" i="3" s="1"/>
  <c r="J170" i="3" s="1"/>
  <c r="H171" i="3"/>
  <c r="I171" i="3" s="1"/>
  <c r="J171" i="3" s="1"/>
  <c r="H172" i="3"/>
  <c r="H173" i="3"/>
  <c r="I173" i="3" s="1"/>
  <c r="J173" i="3" s="1"/>
  <c r="H174" i="3"/>
  <c r="I174" i="3" s="1"/>
  <c r="J174" i="3" s="1"/>
  <c r="H175" i="3"/>
  <c r="I175" i="3" s="1"/>
  <c r="J175" i="3" s="1"/>
  <c r="H176" i="3"/>
  <c r="I176" i="3" s="1"/>
  <c r="J176" i="3" s="1"/>
  <c r="H177" i="3"/>
  <c r="I177" i="3" s="1"/>
  <c r="J177" i="3" s="1"/>
  <c r="H178" i="3"/>
  <c r="I178" i="3" s="1"/>
  <c r="J178" i="3" s="1"/>
  <c r="H179" i="3"/>
  <c r="H180" i="3"/>
  <c r="H181" i="3"/>
  <c r="I181" i="3" s="1"/>
  <c r="H182" i="3"/>
  <c r="I182" i="3" s="1"/>
  <c r="J182" i="3" s="1"/>
  <c r="H183" i="3"/>
  <c r="I183" i="3" s="1"/>
  <c r="J183" i="3" s="1"/>
  <c r="H184" i="3"/>
  <c r="I184" i="3" s="1"/>
  <c r="J184" i="3" s="1"/>
  <c r="H185" i="3"/>
  <c r="I185" i="3" s="1"/>
  <c r="J185" i="3" s="1"/>
  <c r="H186" i="3"/>
  <c r="I186" i="3" s="1"/>
  <c r="J186" i="3" s="1"/>
  <c r="H187" i="3"/>
  <c r="I187" i="3" s="1"/>
  <c r="J187" i="3" s="1"/>
  <c r="H188" i="3"/>
  <c r="H189" i="3"/>
  <c r="I189" i="3" s="1"/>
  <c r="J189" i="3" s="1"/>
  <c r="H190" i="3"/>
  <c r="I190" i="3" s="1"/>
  <c r="J190" i="3" s="1"/>
  <c r="H191" i="3"/>
  <c r="I191" i="3" s="1"/>
  <c r="J191" i="3" s="1"/>
  <c r="H192" i="3"/>
  <c r="I192" i="3" s="1"/>
  <c r="J192" i="3" s="1"/>
  <c r="H193" i="3"/>
  <c r="I193" i="3" s="1"/>
  <c r="J193" i="3" s="1"/>
  <c r="H194" i="3"/>
  <c r="I194" i="3" s="1"/>
  <c r="J194" i="3" s="1"/>
  <c r="H195" i="3"/>
  <c r="H196" i="3"/>
  <c r="H197" i="3"/>
  <c r="I197" i="3" s="1"/>
  <c r="J197" i="3" s="1"/>
  <c r="H198" i="3"/>
  <c r="I198" i="3" s="1"/>
  <c r="J198" i="3" s="1"/>
  <c r="H199" i="3"/>
  <c r="I199" i="3" s="1"/>
  <c r="J199" i="3" s="1"/>
  <c r="H200" i="3"/>
  <c r="I200" i="3" s="1"/>
  <c r="J200" i="3" s="1"/>
  <c r="H201" i="3"/>
  <c r="I201" i="3" s="1"/>
  <c r="J201" i="3" s="1"/>
  <c r="H202" i="3"/>
  <c r="I202" i="3" s="1"/>
  <c r="J202" i="3" s="1"/>
  <c r="H203" i="3"/>
  <c r="I203" i="3" s="1"/>
  <c r="J203" i="3" s="1"/>
  <c r="H204" i="3"/>
  <c r="H205" i="3"/>
  <c r="I205" i="3" s="1"/>
  <c r="H206" i="3"/>
  <c r="I206" i="3" s="1"/>
  <c r="J206" i="3" s="1"/>
  <c r="H207" i="3"/>
  <c r="I207" i="3" s="1"/>
  <c r="J207" i="3" s="1"/>
  <c r="H208" i="3"/>
  <c r="I208" i="3" s="1"/>
  <c r="J208" i="3" s="1"/>
  <c r="H209" i="3"/>
  <c r="I209" i="3" s="1"/>
  <c r="J209" i="3" s="1"/>
  <c r="H210" i="3"/>
  <c r="I210" i="3" s="1"/>
  <c r="J210" i="3" s="1"/>
  <c r="H211" i="3"/>
  <c r="H212" i="3"/>
  <c r="H214" i="3"/>
  <c r="I214" i="3" s="1"/>
  <c r="J214" i="3" s="1"/>
  <c r="H215" i="3"/>
  <c r="I215" i="3" s="1"/>
  <c r="J215" i="3" s="1"/>
  <c r="H216" i="3"/>
  <c r="I216" i="3" s="1"/>
  <c r="J216" i="3" s="1"/>
  <c r="H217" i="3"/>
  <c r="I217" i="3" s="1"/>
  <c r="J217" i="3" s="1"/>
  <c r="H218" i="3"/>
  <c r="I218" i="3" s="1"/>
  <c r="J218" i="3" s="1"/>
  <c r="H219" i="3"/>
  <c r="I219" i="3" s="1"/>
  <c r="J219" i="3" s="1"/>
  <c r="H220" i="3"/>
  <c r="H221" i="3"/>
  <c r="I221" i="3" s="1"/>
  <c r="J221" i="3" s="1"/>
  <c r="H222" i="3"/>
  <c r="I222" i="3" s="1"/>
  <c r="J222" i="3" s="1"/>
  <c r="H223" i="3"/>
  <c r="I223" i="3" s="1"/>
  <c r="J223" i="3" s="1"/>
  <c r="H224" i="3"/>
  <c r="I224" i="3" s="1"/>
  <c r="J224" i="3" s="1"/>
  <c r="H225" i="3"/>
  <c r="I225" i="3" s="1"/>
  <c r="J225" i="3" s="1"/>
  <c r="H226" i="3"/>
  <c r="I226" i="3" s="1"/>
  <c r="J226" i="3" s="1"/>
  <c r="H227" i="3"/>
  <c r="I227" i="3" s="1"/>
  <c r="J227" i="3" s="1"/>
  <c r="H228" i="3"/>
  <c r="H229" i="3"/>
  <c r="I229" i="3" s="1"/>
  <c r="J229" i="3" s="1"/>
  <c r="H230" i="3"/>
  <c r="I230" i="3" s="1"/>
  <c r="J230" i="3" s="1"/>
  <c r="H231" i="3"/>
  <c r="I231" i="3" s="1"/>
  <c r="J231" i="3" s="1"/>
  <c r="H232" i="3"/>
  <c r="I232" i="3" s="1"/>
  <c r="J232" i="3" s="1"/>
  <c r="H233" i="3"/>
  <c r="I233" i="3" s="1"/>
  <c r="J233" i="3" s="1"/>
  <c r="H234" i="3"/>
  <c r="I234" i="3" s="1"/>
  <c r="J234" i="3" s="1"/>
  <c r="H235" i="3"/>
  <c r="I235" i="3" s="1"/>
  <c r="J235" i="3" s="1"/>
  <c r="H236" i="3"/>
  <c r="H237" i="3"/>
  <c r="I237" i="3" s="1"/>
  <c r="J237" i="3" s="1"/>
  <c r="H238" i="3"/>
  <c r="I238" i="3" s="1"/>
  <c r="J238" i="3" s="1"/>
  <c r="H240" i="3"/>
  <c r="I240" i="3" s="1"/>
  <c r="J240" i="3" s="1"/>
  <c r="H241" i="3"/>
  <c r="I241" i="3" s="1"/>
  <c r="J241" i="3" s="1"/>
  <c r="H242" i="3"/>
  <c r="I242" i="3" s="1"/>
  <c r="J242" i="3" s="1"/>
  <c r="H243" i="3"/>
  <c r="H244" i="3"/>
  <c r="H245" i="3"/>
  <c r="I245" i="3" s="1"/>
  <c r="H246" i="3"/>
  <c r="I246" i="3" s="1"/>
  <c r="J246" i="3" s="1"/>
  <c r="H247" i="3"/>
  <c r="I247" i="3" s="1"/>
  <c r="J247" i="3" s="1"/>
  <c r="H248" i="3"/>
  <c r="I248" i="3" s="1"/>
  <c r="J248" i="3" s="1"/>
  <c r="H249" i="3"/>
  <c r="I249" i="3" s="1"/>
  <c r="J249" i="3" s="1"/>
  <c r="H250" i="3"/>
  <c r="I250" i="3" s="1"/>
  <c r="J250" i="3" s="1"/>
  <c r="H251" i="3"/>
  <c r="I251" i="3" s="1"/>
  <c r="J251" i="3" s="1"/>
  <c r="H252" i="3"/>
  <c r="H253" i="3"/>
  <c r="I253" i="3" s="1"/>
  <c r="J253" i="3" s="1"/>
  <c r="H254" i="3"/>
  <c r="I254" i="3" s="1"/>
  <c r="J254" i="3" s="1"/>
  <c r="H255" i="3"/>
  <c r="I255" i="3" s="1"/>
  <c r="J255" i="3" s="1"/>
  <c r="H256" i="3"/>
  <c r="I256" i="3" s="1"/>
  <c r="J256" i="3" s="1"/>
  <c r="H257" i="3"/>
  <c r="I257" i="3" s="1"/>
  <c r="J257" i="3" s="1"/>
  <c r="H258" i="3"/>
  <c r="I258" i="3" s="1"/>
  <c r="J258" i="3" s="1"/>
  <c r="H259" i="3"/>
  <c r="I259" i="3" s="1"/>
  <c r="J259" i="3" s="1"/>
  <c r="H260" i="3"/>
  <c r="H261" i="3"/>
  <c r="I261" i="3" s="1"/>
  <c r="J261" i="3" s="1"/>
  <c r="H262" i="3"/>
  <c r="I262" i="3" s="1"/>
  <c r="J262" i="3" s="1"/>
  <c r="H263" i="3"/>
  <c r="I263" i="3" s="1"/>
  <c r="J263" i="3" s="1"/>
  <c r="H264" i="3"/>
  <c r="I264" i="3" s="1"/>
  <c r="J264" i="3" s="1"/>
  <c r="H266" i="3"/>
  <c r="I266" i="3" s="1"/>
  <c r="J266" i="3" s="1"/>
  <c r="H267" i="3"/>
  <c r="I267" i="3" s="1"/>
  <c r="J267" i="3" s="1"/>
  <c r="H268" i="3"/>
  <c r="H269" i="3"/>
  <c r="I269" i="3" s="1"/>
  <c r="J269" i="3" s="1"/>
  <c r="H270" i="3"/>
  <c r="I270" i="3" s="1"/>
  <c r="J270" i="3" s="1"/>
  <c r="H271" i="3"/>
  <c r="I271" i="3" s="1"/>
  <c r="J271" i="3" s="1"/>
  <c r="H272" i="3"/>
  <c r="I272" i="3" s="1"/>
  <c r="J272" i="3" s="1"/>
  <c r="H273" i="3"/>
  <c r="I273" i="3" s="1"/>
  <c r="J273" i="3" s="1"/>
  <c r="H274" i="3"/>
  <c r="I274" i="3" s="1"/>
  <c r="J274" i="3" s="1"/>
  <c r="H275" i="3"/>
  <c r="H276" i="3"/>
  <c r="H277" i="3"/>
  <c r="I277" i="3" s="1"/>
  <c r="J277" i="3" s="1"/>
  <c r="H278" i="3"/>
  <c r="I278" i="3" s="1"/>
  <c r="J278" i="3" s="1"/>
  <c r="H279" i="3"/>
  <c r="I279" i="3" s="1"/>
  <c r="J279" i="3" s="1"/>
  <c r="H280" i="3"/>
  <c r="I280" i="3" s="1"/>
  <c r="J280" i="3" s="1"/>
  <c r="H281" i="3"/>
  <c r="I281" i="3" s="1"/>
  <c r="J281" i="3" s="1"/>
  <c r="H282" i="3"/>
  <c r="I282" i="3" s="1"/>
  <c r="J282" i="3" s="1"/>
  <c r="H283" i="3"/>
  <c r="I283" i="3" s="1"/>
  <c r="J283" i="3" s="1"/>
  <c r="H284" i="3"/>
  <c r="H285" i="3"/>
  <c r="I285" i="3" s="1"/>
  <c r="J285" i="3" s="1"/>
  <c r="H286" i="3"/>
  <c r="I286" i="3" s="1"/>
  <c r="J286" i="3" s="1"/>
  <c r="H287" i="3"/>
  <c r="I287" i="3" s="1"/>
  <c r="J287" i="3" s="1"/>
  <c r="H288" i="3"/>
  <c r="I288" i="3" s="1"/>
  <c r="J288" i="3" s="1"/>
  <c r="H289" i="3"/>
  <c r="I289" i="3" s="1"/>
  <c r="J289" i="3" s="1"/>
  <c r="H290" i="3"/>
  <c r="I290" i="3" s="1"/>
  <c r="J290" i="3" s="1"/>
  <c r="H2" i="3"/>
  <c r="G265" i="3"/>
  <c r="H265" i="3" s="1"/>
  <c r="I265" i="3" s="1"/>
  <c r="J265" i="3" s="1"/>
  <c r="G239" i="3"/>
  <c r="H239" i="3" s="1"/>
  <c r="I239" i="3" s="1"/>
  <c r="J239" i="3" s="1"/>
  <c r="G213" i="3"/>
  <c r="H213" i="3" s="1"/>
  <c r="I213" i="3" s="1"/>
  <c r="G187" i="3"/>
  <c r="G161" i="3"/>
  <c r="H161" i="3" s="1"/>
  <c r="I161" i="3" s="1"/>
  <c r="J161" i="3" s="1"/>
  <c r="G109" i="3"/>
  <c r="H109" i="3" s="1"/>
  <c r="I109" i="3" s="1"/>
  <c r="J109" i="3" s="1"/>
  <c r="G83" i="3"/>
  <c r="G56" i="3"/>
  <c r="H56" i="3" s="1"/>
  <c r="I56" i="3" s="1"/>
  <c r="J56" i="3" s="1"/>
  <c r="G29" i="3"/>
  <c r="H29" i="3" s="1"/>
  <c r="I29" i="3" s="1"/>
  <c r="J29" i="3" s="1"/>
  <c r="G2" i="3"/>
  <c r="I252" i="2"/>
  <c r="J252" i="2" s="1"/>
  <c r="K252" i="2" s="1"/>
  <c r="M252" i="2" s="1"/>
  <c r="I253" i="2"/>
  <c r="J253" i="2" s="1"/>
  <c r="K253" i="2" s="1"/>
  <c r="M253" i="2" s="1"/>
  <c r="I254" i="2"/>
  <c r="J254" i="2" s="1"/>
  <c r="K254" i="2" s="1"/>
  <c r="M254" i="2" s="1"/>
  <c r="I255" i="2"/>
  <c r="J255" i="2" s="1"/>
  <c r="K255" i="2" s="1"/>
  <c r="M255" i="2" s="1"/>
  <c r="I256" i="2"/>
  <c r="J256" i="2" s="1"/>
  <c r="K256" i="2" s="1"/>
  <c r="M256" i="2" s="1"/>
  <c r="I257" i="2"/>
  <c r="J257" i="2" s="1"/>
  <c r="K257" i="2" s="1"/>
  <c r="M257" i="2" s="1"/>
  <c r="I258" i="2"/>
  <c r="J258" i="2" s="1"/>
  <c r="K258" i="2" s="1"/>
  <c r="M258" i="2" s="1"/>
  <c r="I259" i="2"/>
  <c r="J259" i="2" s="1"/>
  <c r="K259" i="2" s="1"/>
  <c r="M259" i="2" s="1"/>
  <c r="I260" i="2"/>
  <c r="J260" i="2" s="1"/>
  <c r="K260" i="2" s="1"/>
  <c r="M260" i="2" s="1"/>
  <c r="I261" i="2"/>
  <c r="J261" i="2" s="1"/>
  <c r="K261" i="2" s="1"/>
  <c r="M261" i="2" s="1"/>
  <c r="I262" i="2"/>
  <c r="J262" i="2" s="1"/>
  <c r="K262" i="2" s="1"/>
  <c r="M262" i="2" s="1"/>
  <c r="I263" i="2"/>
  <c r="J263" i="2" s="1"/>
  <c r="K263" i="2" s="1"/>
  <c r="M263" i="2" s="1"/>
  <c r="I264" i="2"/>
  <c r="J264" i="2" s="1"/>
  <c r="K264" i="2" s="1"/>
  <c r="M264" i="2" s="1"/>
  <c r="I265" i="2"/>
  <c r="J265" i="2" s="1"/>
  <c r="K265" i="2" s="1"/>
  <c r="M265" i="2" s="1"/>
  <c r="I266" i="2"/>
  <c r="J266" i="2" s="1"/>
  <c r="K266" i="2" s="1"/>
  <c r="M266" i="2" s="1"/>
  <c r="I267" i="2"/>
  <c r="J267" i="2" s="1"/>
  <c r="K267" i="2" s="1"/>
  <c r="M267" i="2" s="1"/>
  <c r="I268" i="2"/>
  <c r="J268" i="2" s="1"/>
  <c r="K268" i="2" s="1"/>
  <c r="M268" i="2" s="1"/>
  <c r="I269" i="2"/>
  <c r="J269" i="2" s="1"/>
  <c r="K269" i="2" s="1"/>
  <c r="M269" i="2" s="1"/>
  <c r="I270" i="2"/>
  <c r="J270" i="2" s="1"/>
  <c r="K270" i="2" s="1"/>
  <c r="M270" i="2" s="1"/>
  <c r="I271" i="2"/>
  <c r="J271" i="2" s="1"/>
  <c r="K271" i="2" s="1"/>
  <c r="M271" i="2" s="1"/>
  <c r="I272" i="2"/>
  <c r="J272" i="2" s="1"/>
  <c r="K272" i="2" s="1"/>
  <c r="M272" i="2" s="1"/>
  <c r="I273" i="2"/>
  <c r="J273" i="2" s="1"/>
  <c r="K273" i="2" s="1"/>
  <c r="M273" i="2" s="1"/>
  <c r="I274" i="2"/>
  <c r="J274" i="2" s="1"/>
  <c r="K274" i="2" s="1"/>
  <c r="M274" i="2" s="1"/>
  <c r="I275" i="2"/>
  <c r="J275" i="2" s="1"/>
  <c r="K275" i="2" s="1"/>
  <c r="M275" i="2" s="1"/>
  <c r="I276" i="2"/>
  <c r="J276" i="2" s="1"/>
  <c r="K276" i="2" s="1"/>
  <c r="M276" i="2" s="1"/>
  <c r="I277" i="2"/>
  <c r="J277" i="2" s="1"/>
  <c r="K277" i="2" s="1"/>
  <c r="M277" i="2" s="1"/>
  <c r="I278" i="2"/>
  <c r="J278" i="2" s="1"/>
  <c r="K278" i="2" s="1"/>
  <c r="M278" i="2" s="1"/>
  <c r="I279" i="2"/>
  <c r="J279" i="2" s="1"/>
  <c r="K279" i="2" s="1"/>
  <c r="M279" i="2" s="1"/>
  <c r="I280" i="2"/>
  <c r="J280" i="2" s="1"/>
  <c r="K280" i="2" s="1"/>
  <c r="M280" i="2" s="1"/>
  <c r="I281" i="2"/>
  <c r="J281" i="2" s="1"/>
  <c r="K281" i="2" s="1"/>
  <c r="M281" i="2" s="1"/>
  <c r="I282" i="2"/>
  <c r="J282" i="2" s="1"/>
  <c r="K282" i="2" s="1"/>
  <c r="M282" i="2" s="1"/>
  <c r="I283" i="2"/>
  <c r="J283" i="2" s="1"/>
  <c r="K283" i="2" s="1"/>
  <c r="M283" i="2" s="1"/>
  <c r="I284" i="2"/>
  <c r="J284" i="2" s="1"/>
  <c r="K284" i="2" s="1"/>
  <c r="M284" i="2" s="1"/>
  <c r="I285" i="2"/>
  <c r="J285" i="2" s="1"/>
  <c r="K285" i="2" s="1"/>
  <c r="M285" i="2" s="1"/>
  <c r="I286" i="2"/>
  <c r="J286" i="2" s="1"/>
  <c r="K286" i="2" s="1"/>
  <c r="M286" i="2" s="1"/>
  <c r="I287" i="2"/>
  <c r="J287" i="2" s="1"/>
  <c r="K287" i="2" s="1"/>
  <c r="M287" i="2" s="1"/>
  <c r="I288" i="2"/>
  <c r="J288" i="2" s="1"/>
  <c r="K288" i="2" s="1"/>
  <c r="M288" i="2" s="1"/>
  <c r="I289" i="2"/>
  <c r="J289" i="2" s="1"/>
  <c r="K289" i="2" s="1"/>
  <c r="M289" i="2" s="1"/>
  <c r="I290" i="2"/>
  <c r="J290" i="2" s="1"/>
  <c r="K290" i="2" s="1"/>
  <c r="M290" i="2" s="1"/>
  <c r="I291" i="2"/>
  <c r="J291" i="2" s="1"/>
  <c r="K291" i="2" s="1"/>
  <c r="M291" i="2" s="1"/>
  <c r="I292" i="2"/>
  <c r="J292" i="2" s="1"/>
  <c r="K292" i="2" s="1"/>
  <c r="M292" i="2" s="1"/>
  <c r="I293" i="2"/>
  <c r="J293" i="2" s="1"/>
  <c r="K293" i="2" s="1"/>
  <c r="M293" i="2" s="1"/>
  <c r="I294" i="2"/>
  <c r="J294" i="2" s="1"/>
  <c r="K294" i="2" s="1"/>
  <c r="M294" i="2" s="1"/>
  <c r="I295" i="2"/>
  <c r="J295" i="2" s="1"/>
  <c r="K295" i="2" s="1"/>
  <c r="M295" i="2" s="1"/>
  <c r="I296" i="2"/>
  <c r="J296" i="2" s="1"/>
  <c r="K296" i="2" s="1"/>
  <c r="M296" i="2" s="1"/>
  <c r="I297" i="2"/>
  <c r="J297" i="2" s="1"/>
  <c r="K297" i="2" s="1"/>
  <c r="M297" i="2" s="1"/>
  <c r="I298" i="2"/>
  <c r="J298" i="2" s="1"/>
  <c r="K298" i="2" s="1"/>
  <c r="M298" i="2" s="1"/>
  <c r="I444" i="2"/>
  <c r="J444" i="2" s="1"/>
  <c r="K444" i="2" s="1"/>
  <c r="M444" i="2" s="1"/>
  <c r="I445" i="2"/>
  <c r="J445" i="2" s="1"/>
  <c r="K445" i="2" s="1"/>
  <c r="M445" i="2" s="1"/>
  <c r="I446" i="2"/>
  <c r="J446" i="2" s="1"/>
  <c r="K446" i="2" s="1"/>
  <c r="M446" i="2" s="1"/>
  <c r="I447" i="2"/>
  <c r="J447" i="2" s="1"/>
  <c r="K447" i="2" s="1"/>
  <c r="M447" i="2" s="1"/>
  <c r="I448" i="2"/>
  <c r="J448" i="2" s="1"/>
  <c r="K448" i="2" s="1"/>
  <c r="M448" i="2" s="1"/>
  <c r="I449" i="2"/>
  <c r="J449" i="2" s="1"/>
  <c r="K449" i="2" s="1"/>
  <c r="M449" i="2" s="1"/>
  <c r="I450" i="2"/>
  <c r="J450" i="2" s="1"/>
  <c r="K450" i="2" s="1"/>
  <c r="M450" i="2" s="1"/>
  <c r="I451" i="2"/>
  <c r="J451" i="2" s="1"/>
  <c r="K451" i="2" s="1"/>
  <c r="M451" i="2" s="1"/>
  <c r="I452" i="2"/>
  <c r="J452" i="2" s="1"/>
  <c r="K452" i="2" s="1"/>
  <c r="M452" i="2" s="1"/>
  <c r="I453" i="2"/>
  <c r="J453" i="2" s="1"/>
  <c r="K453" i="2" s="1"/>
  <c r="M453" i="2" s="1"/>
  <c r="I454" i="2"/>
  <c r="J454" i="2" s="1"/>
  <c r="K454" i="2" s="1"/>
  <c r="M454" i="2" s="1"/>
  <c r="I455" i="2"/>
  <c r="J455" i="2" s="1"/>
  <c r="K455" i="2" s="1"/>
  <c r="M455" i="2" s="1"/>
  <c r="I456" i="2"/>
  <c r="J456" i="2" s="1"/>
  <c r="K456" i="2" s="1"/>
  <c r="M456" i="2" s="1"/>
  <c r="I457" i="2"/>
  <c r="J457" i="2" s="1"/>
  <c r="K457" i="2" s="1"/>
  <c r="M457" i="2" s="1"/>
  <c r="I458" i="2"/>
  <c r="J458" i="2" s="1"/>
  <c r="K458" i="2" s="1"/>
  <c r="M458" i="2" s="1"/>
  <c r="I459" i="2"/>
  <c r="J459" i="2" s="1"/>
  <c r="K459" i="2" s="1"/>
  <c r="M459" i="2" s="1"/>
  <c r="I460" i="2"/>
  <c r="J460" i="2" s="1"/>
  <c r="K460" i="2" s="1"/>
  <c r="M460" i="2" s="1"/>
  <c r="I461" i="2"/>
  <c r="J461" i="2" s="1"/>
  <c r="K461" i="2" s="1"/>
  <c r="M461" i="2" s="1"/>
  <c r="I462" i="2"/>
  <c r="J462" i="2" s="1"/>
  <c r="K462" i="2" s="1"/>
  <c r="M462" i="2" s="1"/>
  <c r="I463" i="2"/>
  <c r="J463" i="2" s="1"/>
  <c r="K463" i="2" s="1"/>
  <c r="M463" i="2" s="1"/>
  <c r="I464" i="2"/>
  <c r="J464" i="2" s="1"/>
  <c r="K464" i="2" s="1"/>
  <c r="I465" i="2"/>
  <c r="J465" i="2" s="1"/>
  <c r="K465" i="2" s="1"/>
  <c r="M465" i="2" s="1"/>
  <c r="I466" i="2"/>
  <c r="J466" i="2" s="1"/>
  <c r="K466" i="2" s="1"/>
  <c r="M466" i="2" s="1"/>
  <c r="I467" i="2"/>
  <c r="J467" i="2" s="1"/>
  <c r="K467" i="2" s="1"/>
  <c r="M467" i="2" s="1"/>
  <c r="I468" i="2"/>
  <c r="J468" i="2" s="1"/>
  <c r="K468" i="2" s="1"/>
  <c r="M468" i="2" s="1"/>
  <c r="I469" i="2"/>
  <c r="J469" i="2" s="1"/>
  <c r="K469" i="2" s="1"/>
  <c r="M469" i="2" s="1"/>
  <c r="I470" i="2"/>
  <c r="J470" i="2" s="1"/>
  <c r="K470" i="2" s="1"/>
  <c r="M470" i="2" s="1"/>
  <c r="I471" i="2"/>
  <c r="J471" i="2" s="1"/>
  <c r="K471" i="2" s="1"/>
  <c r="M471" i="2" s="1"/>
  <c r="I472" i="2"/>
  <c r="J472" i="2" s="1"/>
  <c r="K472" i="2" s="1"/>
  <c r="M472" i="2" s="1"/>
  <c r="I473" i="2"/>
  <c r="J473" i="2" s="1"/>
  <c r="K473" i="2" s="1"/>
  <c r="M473" i="2" s="1"/>
  <c r="I474" i="2"/>
  <c r="J474" i="2" s="1"/>
  <c r="K474" i="2" s="1"/>
  <c r="M474" i="2" s="1"/>
  <c r="I475" i="2"/>
  <c r="J475" i="2" s="1"/>
  <c r="K475" i="2" s="1"/>
  <c r="M475" i="2" s="1"/>
  <c r="I476" i="2"/>
  <c r="J476" i="2" s="1"/>
  <c r="K476" i="2" s="1"/>
  <c r="M476" i="2" s="1"/>
  <c r="I477" i="2"/>
  <c r="J477" i="2" s="1"/>
  <c r="K477" i="2" s="1"/>
  <c r="M477" i="2" s="1"/>
  <c r="I478" i="2"/>
  <c r="J478" i="2" s="1"/>
  <c r="K478" i="2" s="1"/>
  <c r="M478" i="2" s="1"/>
  <c r="I479" i="2"/>
  <c r="J479" i="2" s="1"/>
  <c r="K479" i="2" s="1"/>
  <c r="M479" i="2" s="1"/>
  <c r="I480" i="2"/>
  <c r="J480" i="2" s="1"/>
  <c r="K480" i="2" s="1"/>
  <c r="M480" i="2" s="1"/>
  <c r="I481" i="2"/>
  <c r="J481" i="2" s="1"/>
  <c r="K481" i="2" s="1"/>
  <c r="M481" i="2" s="1"/>
  <c r="I482" i="2"/>
  <c r="J482" i="2" s="1"/>
  <c r="K482" i="2" s="1"/>
  <c r="M482" i="2" s="1"/>
  <c r="I483" i="2"/>
  <c r="J483" i="2" s="1"/>
  <c r="K483" i="2" s="1"/>
  <c r="M483" i="2" s="1"/>
  <c r="I484" i="2"/>
  <c r="J484" i="2" s="1"/>
  <c r="K484" i="2" s="1"/>
  <c r="M484" i="2" s="1"/>
  <c r="I485" i="2"/>
  <c r="J485" i="2" s="1"/>
  <c r="K485" i="2" s="1"/>
  <c r="M485" i="2" s="1"/>
  <c r="I486" i="2"/>
  <c r="J486" i="2" s="1"/>
  <c r="K486" i="2" s="1"/>
  <c r="M486" i="2" s="1"/>
  <c r="I487" i="2"/>
  <c r="J487" i="2" s="1"/>
  <c r="K487" i="2" s="1"/>
  <c r="M487" i="2" s="1"/>
  <c r="I488" i="2"/>
  <c r="J488" i="2" s="1"/>
  <c r="K488" i="2" s="1"/>
  <c r="M488" i="2" s="1"/>
  <c r="I489" i="2"/>
  <c r="J489" i="2" s="1"/>
  <c r="K489" i="2" s="1"/>
  <c r="M489" i="2" s="1"/>
  <c r="I490" i="2"/>
  <c r="J490" i="2" s="1"/>
  <c r="K490" i="2" s="1"/>
  <c r="M490" i="2" s="1"/>
  <c r="I396" i="2"/>
  <c r="J396" i="2" s="1"/>
  <c r="K396" i="2" s="1"/>
  <c r="M396" i="2" s="1"/>
  <c r="I397" i="2"/>
  <c r="J397" i="2" s="1"/>
  <c r="K397" i="2" s="1"/>
  <c r="M397" i="2" s="1"/>
  <c r="I398" i="2"/>
  <c r="J398" i="2" s="1"/>
  <c r="K398" i="2" s="1"/>
  <c r="M398" i="2" s="1"/>
  <c r="I399" i="2"/>
  <c r="J399" i="2" s="1"/>
  <c r="K399" i="2" s="1"/>
  <c r="M399" i="2" s="1"/>
  <c r="I400" i="2"/>
  <c r="J400" i="2" s="1"/>
  <c r="K400" i="2" s="1"/>
  <c r="I401" i="2"/>
  <c r="J401" i="2" s="1"/>
  <c r="K401" i="2" s="1"/>
  <c r="M401" i="2" s="1"/>
  <c r="I402" i="2"/>
  <c r="J402" i="2" s="1"/>
  <c r="K402" i="2" s="1"/>
  <c r="M402" i="2" s="1"/>
  <c r="I403" i="2"/>
  <c r="J403" i="2" s="1"/>
  <c r="K403" i="2" s="1"/>
  <c r="M403" i="2" s="1"/>
  <c r="I404" i="2"/>
  <c r="J404" i="2" s="1"/>
  <c r="K404" i="2" s="1"/>
  <c r="M404" i="2" s="1"/>
  <c r="I405" i="2"/>
  <c r="J405" i="2" s="1"/>
  <c r="K405" i="2" s="1"/>
  <c r="M405" i="2" s="1"/>
  <c r="I406" i="2"/>
  <c r="J406" i="2" s="1"/>
  <c r="K406" i="2" s="1"/>
  <c r="M406" i="2" s="1"/>
  <c r="I407" i="2"/>
  <c r="J407" i="2" s="1"/>
  <c r="K407" i="2" s="1"/>
  <c r="M407" i="2" s="1"/>
  <c r="I408" i="2"/>
  <c r="J408" i="2" s="1"/>
  <c r="K408" i="2" s="1"/>
  <c r="M408" i="2" s="1"/>
  <c r="I409" i="2"/>
  <c r="J409" i="2" s="1"/>
  <c r="K409" i="2" s="1"/>
  <c r="M409" i="2" s="1"/>
  <c r="I410" i="2"/>
  <c r="J410" i="2" s="1"/>
  <c r="K410" i="2" s="1"/>
  <c r="M410" i="2" s="1"/>
  <c r="I411" i="2"/>
  <c r="J411" i="2" s="1"/>
  <c r="K411" i="2" s="1"/>
  <c r="M411" i="2" s="1"/>
  <c r="I412" i="2"/>
  <c r="J412" i="2" s="1"/>
  <c r="K412" i="2" s="1"/>
  <c r="M412" i="2" s="1"/>
  <c r="I413" i="2"/>
  <c r="J413" i="2" s="1"/>
  <c r="K413" i="2" s="1"/>
  <c r="M413" i="2" s="1"/>
  <c r="I414" i="2"/>
  <c r="J414" i="2" s="1"/>
  <c r="K414" i="2" s="1"/>
  <c r="M414" i="2" s="1"/>
  <c r="I415" i="2"/>
  <c r="J415" i="2" s="1"/>
  <c r="K415" i="2" s="1"/>
  <c r="M415" i="2" s="1"/>
  <c r="I416" i="2"/>
  <c r="J416" i="2" s="1"/>
  <c r="K416" i="2" s="1"/>
  <c r="M416" i="2" s="1"/>
  <c r="I417" i="2"/>
  <c r="J417" i="2" s="1"/>
  <c r="K417" i="2" s="1"/>
  <c r="M417" i="2" s="1"/>
  <c r="I418" i="2"/>
  <c r="J418" i="2" s="1"/>
  <c r="K418" i="2" s="1"/>
  <c r="M418" i="2" s="1"/>
  <c r="I419" i="2"/>
  <c r="J419" i="2" s="1"/>
  <c r="K419" i="2" s="1"/>
  <c r="M419" i="2" s="1"/>
  <c r="I420" i="2"/>
  <c r="J420" i="2" s="1"/>
  <c r="K420" i="2" s="1"/>
  <c r="M420" i="2" s="1"/>
  <c r="I421" i="2"/>
  <c r="J421" i="2" s="1"/>
  <c r="K421" i="2" s="1"/>
  <c r="M421" i="2" s="1"/>
  <c r="I422" i="2"/>
  <c r="J422" i="2" s="1"/>
  <c r="K422" i="2" s="1"/>
  <c r="M422" i="2" s="1"/>
  <c r="I423" i="2"/>
  <c r="J423" i="2" s="1"/>
  <c r="K423" i="2" s="1"/>
  <c r="M423" i="2" s="1"/>
  <c r="I424" i="2"/>
  <c r="J424" i="2" s="1"/>
  <c r="K424" i="2" s="1"/>
  <c r="M424" i="2" s="1"/>
  <c r="I425" i="2"/>
  <c r="J425" i="2" s="1"/>
  <c r="K425" i="2" s="1"/>
  <c r="M425" i="2" s="1"/>
  <c r="I426" i="2"/>
  <c r="J426" i="2" s="1"/>
  <c r="K426" i="2" s="1"/>
  <c r="M426" i="2" s="1"/>
  <c r="I427" i="2"/>
  <c r="J427" i="2" s="1"/>
  <c r="K427" i="2" s="1"/>
  <c r="M427" i="2" s="1"/>
  <c r="I428" i="2"/>
  <c r="J428" i="2" s="1"/>
  <c r="K428" i="2" s="1"/>
  <c r="M428" i="2" s="1"/>
  <c r="I429" i="2"/>
  <c r="J429" i="2" s="1"/>
  <c r="K429" i="2" s="1"/>
  <c r="M429" i="2" s="1"/>
  <c r="I430" i="2"/>
  <c r="J430" i="2" s="1"/>
  <c r="K430" i="2" s="1"/>
  <c r="M430" i="2" s="1"/>
  <c r="I431" i="2"/>
  <c r="J431" i="2" s="1"/>
  <c r="K431" i="2" s="1"/>
  <c r="M431" i="2" s="1"/>
  <c r="I432" i="2"/>
  <c r="J432" i="2" s="1"/>
  <c r="K432" i="2" s="1"/>
  <c r="I433" i="2"/>
  <c r="J433" i="2" s="1"/>
  <c r="K433" i="2" s="1"/>
  <c r="M433" i="2" s="1"/>
  <c r="I434" i="2"/>
  <c r="J434" i="2" s="1"/>
  <c r="K434" i="2" s="1"/>
  <c r="M434" i="2" s="1"/>
  <c r="I435" i="2"/>
  <c r="J435" i="2" s="1"/>
  <c r="K435" i="2" s="1"/>
  <c r="M435" i="2" s="1"/>
  <c r="I436" i="2"/>
  <c r="J436" i="2" s="1"/>
  <c r="K436" i="2" s="1"/>
  <c r="M436" i="2" s="1"/>
  <c r="I437" i="2"/>
  <c r="J437" i="2" s="1"/>
  <c r="K437" i="2" s="1"/>
  <c r="M437" i="2" s="1"/>
  <c r="I438" i="2"/>
  <c r="J438" i="2" s="1"/>
  <c r="K438" i="2" s="1"/>
  <c r="M438" i="2" s="1"/>
  <c r="I439" i="2"/>
  <c r="J439" i="2" s="1"/>
  <c r="K439" i="2" s="1"/>
  <c r="M439" i="2" s="1"/>
  <c r="I440" i="2"/>
  <c r="J440" i="2" s="1"/>
  <c r="K440" i="2" s="1"/>
  <c r="M440" i="2" s="1"/>
  <c r="I441" i="2"/>
  <c r="J441" i="2" s="1"/>
  <c r="K441" i="2" s="1"/>
  <c r="M441" i="2" s="1"/>
  <c r="I442" i="2"/>
  <c r="J442" i="2" s="1"/>
  <c r="K442" i="2" s="1"/>
  <c r="M442" i="2" s="1"/>
  <c r="I348" i="2"/>
  <c r="J348" i="2" s="1"/>
  <c r="K348" i="2" s="1"/>
  <c r="M348" i="2" s="1"/>
  <c r="I349" i="2"/>
  <c r="J349" i="2" s="1"/>
  <c r="K349" i="2" s="1"/>
  <c r="M349" i="2" s="1"/>
  <c r="I350" i="2"/>
  <c r="J350" i="2" s="1"/>
  <c r="K350" i="2" s="1"/>
  <c r="M350" i="2" s="1"/>
  <c r="I351" i="2"/>
  <c r="J351" i="2" s="1"/>
  <c r="K351" i="2" s="1"/>
  <c r="M351" i="2" s="1"/>
  <c r="I352" i="2"/>
  <c r="J352" i="2" s="1"/>
  <c r="K352" i="2" s="1"/>
  <c r="M352" i="2" s="1"/>
  <c r="I353" i="2"/>
  <c r="J353" i="2" s="1"/>
  <c r="K353" i="2" s="1"/>
  <c r="M353" i="2" s="1"/>
  <c r="I354" i="2"/>
  <c r="J354" i="2" s="1"/>
  <c r="K354" i="2" s="1"/>
  <c r="M354" i="2" s="1"/>
  <c r="I355" i="2"/>
  <c r="J355" i="2" s="1"/>
  <c r="K355" i="2" s="1"/>
  <c r="M355" i="2" s="1"/>
  <c r="I356" i="2"/>
  <c r="J356" i="2" s="1"/>
  <c r="K356" i="2" s="1"/>
  <c r="M356" i="2" s="1"/>
  <c r="I357" i="2"/>
  <c r="J357" i="2" s="1"/>
  <c r="K357" i="2" s="1"/>
  <c r="M357" i="2" s="1"/>
  <c r="I358" i="2"/>
  <c r="J358" i="2" s="1"/>
  <c r="K358" i="2" s="1"/>
  <c r="M358" i="2" s="1"/>
  <c r="I359" i="2"/>
  <c r="J359" i="2" s="1"/>
  <c r="K359" i="2" s="1"/>
  <c r="M359" i="2" s="1"/>
  <c r="I360" i="2"/>
  <c r="J360" i="2" s="1"/>
  <c r="K360" i="2" s="1"/>
  <c r="M360" i="2" s="1"/>
  <c r="I361" i="2"/>
  <c r="J361" i="2" s="1"/>
  <c r="K361" i="2" s="1"/>
  <c r="M361" i="2" s="1"/>
  <c r="I362" i="2"/>
  <c r="J362" i="2" s="1"/>
  <c r="K362" i="2" s="1"/>
  <c r="M362" i="2" s="1"/>
  <c r="I363" i="2"/>
  <c r="J363" i="2" s="1"/>
  <c r="K363" i="2" s="1"/>
  <c r="M363" i="2" s="1"/>
  <c r="I364" i="2"/>
  <c r="J364" i="2" s="1"/>
  <c r="K364" i="2" s="1"/>
  <c r="M364" i="2" s="1"/>
  <c r="I365" i="2"/>
  <c r="J365" i="2" s="1"/>
  <c r="K365" i="2" s="1"/>
  <c r="M365" i="2" s="1"/>
  <c r="I366" i="2"/>
  <c r="J366" i="2" s="1"/>
  <c r="K366" i="2" s="1"/>
  <c r="M366" i="2" s="1"/>
  <c r="I367" i="2"/>
  <c r="J367" i="2" s="1"/>
  <c r="K367" i="2" s="1"/>
  <c r="M367" i="2" s="1"/>
  <c r="I368" i="2"/>
  <c r="J368" i="2" s="1"/>
  <c r="K368" i="2" s="1"/>
  <c r="M368" i="2" s="1"/>
  <c r="I369" i="2"/>
  <c r="J369" i="2" s="1"/>
  <c r="K369" i="2" s="1"/>
  <c r="M369" i="2" s="1"/>
  <c r="I370" i="2"/>
  <c r="J370" i="2" s="1"/>
  <c r="K370" i="2" s="1"/>
  <c r="M370" i="2" s="1"/>
  <c r="I371" i="2"/>
  <c r="J371" i="2" s="1"/>
  <c r="K371" i="2" s="1"/>
  <c r="M371" i="2" s="1"/>
  <c r="I372" i="2"/>
  <c r="J372" i="2" s="1"/>
  <c r="K372" i="2" s="1"/>
  <c r="M372" i="2" s="1"/>
  <c r="I373" i="2"/>
  <c r="J373" i="2" s="1"/>
  <c r="K373" i="2" s="1"/>
  <c r="M373" i="2" s="1"/>
  <c r="I374" i="2"/>
  <c r="J374" i="2" s="1"/>
  <c r="K374" i="2" s="1"/>
  <c r="M374" i="2" s="1"/>
  <c r="I375" i="2"/>
  <c r="J375" i="2" s="1"/>
  <c r="K375" i="2" s="1"/>
  <c r="M375" i="2" s="1"/>
  <c r="I376" i="2"/>
  <c r="J376" i="2" s="1"/>
  <c r="K376" i="2" s="1"/>
  <c r="M376" i="2" s="1"/>
  <c r="I377" i="2"/>
  <c r="J377" i="2" s="1"/>
  <c r="K377" i="2" s="1"/>
  <c r="M377" i="2" s="1"/>
  <c r="I378" i="2"/>
  <c r="J378" i="2" s="1"/>
  <c r="K378" i="2" s="1"/>
  <c r="M378" i="2" s="1"/>
  <c r="I379" i="2"/>
  <c r="J379" i="2" s="1"/>
  <c r="K379" i="2" s="1"/>
  <c r="M379" i="2" s="1"/>
  <c r="I380" i="2"/>
  <c r="J380" i="2" s="1"/>
  <c r="K380" i="2" s="1"/>
  <c r="M380" i="2" s="1"/>
  <c r="I381" i="2"/>
  <c r="J381" i="2" s="1"/>
  <c r="K381" i="2" s="1"/>
  <c r="M381" i="2" s="1"/>
  <c r="I382" i="2"/>
  <c r="J382" i="2" s="1"/>
  <c r="K382" i="2" s="1"/>
  <c r="M382" i="2" s="1"/>
  <c r="I383" i="2"/>
  <c r="J383" i="2" s="1"/>
  <c r="K383" i="2" s="1"/>
  <c r="M383" i="2" s="1"/>
  <c r="I384" i="2"/>
  <c r="J384" i="2" s="1"/>
  <c r="K384" i="2" s="1"/>
  <c r="M384" i="2" s="1"/>
  <c r="I385" i="2"/>
  <c r="J385" i="2" s="1"/>
  <c r="K385" i="2" s="1"/>
  <c r="M385" i="2" s="1"/>
  <c r="I386" i="2"/>
  <c r="J386" i="2" s="1"/>
  <c r="K386" i="2" s="1"/>
  <c r="M386" i="2" s="1"/>
  <c r="I387" i="2"/>
  <c r="J387" i="2" s="1"/>
  <c r="K387" i="2" s="1"/>
  <c r="M387" i="2" s="1"/>
  <c r="I388" i="2"/>
  <c r="J388" i="2" s="1"/>
  <c r="K388" i="2" s="1"/>
  <c r="M388" i="2" s="1"/>
  <c r="I389" i="2"/>
  <c r="J389" i="2" s="1"/>
  <c r="K389" i="2" s="1"/>
  <c r="M389" i="2" s="1"/>
  <c r="I390" i="2"/>
  <c r="J390" i="2" s="1"/>
  <c r="K390" i="2" s="1"/>
  <c r="M390" i="2" s="1"/>
  <c r="I391" i="2"/>
  <c r="J391" i="2" s="1"/>
  <c r="K391" i="2" s="1"/>
  <c r="M391" i="2" s="1"/>
  <c r="I392" i="2"/>
  <c r="J392" i="2" s="1"/>
  <c r="K392" i="2" s="1"/>
  <c r="M392" i="2" s="1"/>
  <c r="I393" i="2"/>
  <c r="J393" i="2" s="1"/>
  <c r="K393" i="2" s="1"/>
  <c r="M393" i="2" s="1"/>
  <c r="I394" i="2"/>
  <c r="J394" i="2" s="1"/>
  <c r="K394" i="2" s="1"/>
  <c r="M394" i="2" s="1"/>
  <c r="I108" i="2"/>
  <c r="J108" i="2" s="1"/>
  <c r="K108" i="2" s="1"/>
  <c r="M108" i="2" s="1"/>
  <c r="I109" i="2"/>
  <c r="J109" i="2" s="1"/>
  <c r="K109" i="2" s="1"/>
  <c r="M109" i="2" s="1"/>
  <c r="I110" i="2"/>
  <c r="J110" i="2" s="1"/>
  <c r="K110" i="2" s="1"/>
  <c r="M110" i="2" s="1"/>
  <c r="I111" i="2"/>
  <c r="J111" i="2" s="1"/>
  <c r="K111" i="2" s="1"/>
  <c r="M111" i="2" s="1"/>
  <c r="I112" i="2"/>
  <c r="J112" i="2" s="1"/>
  <c r="K112" i="2" s="1"/>
  <c r="M112" i="2" s="1"/>
  <c r="I113" i="2"/>
  <c r="J113" i="2" s="1"/>
  <c r="K113" i="2" s="1"/>
  <c r="M113" i="2" s="1"/>
  <c r="I114" i="2"/>
  <c r="J114" i="2" s="1"/>
  <c r="K114" i="2" s="1"/>
  <c r="M114" i="2" s="1"/>
  <c r="I115" i="2"/>
  <c r="J115" i="2" s="1"/>
  <c r="K115" i="2" s="1"/>
  <c r="M115" i="2" s="1"/>
  <c r="I116" i="2"/>
  <c r="J116" i="2" s="1"/>
  <c r="K116" i="2" s="1"/>
  <c r="M116" i="2" s="1"/>
  <c r="I117" i="2"/>
  <c r="J117" i="2" s="1"/>
  <c r="K117" i="2" s="1"/>
  <c r="M117" i="2" s="1"/>
  <c r="I118" i="2"/>
  <c r="J118" i="2" s="1"/>
  <c r="K118" i="2" s="1"/>
  <c r="M118" i="2" s="1"/>
  <c r="I119" i="2"/>
  <c r="J119" i="2" s="1"/>
  <c r="K119" i="2" s="1"/>
  <c r="M119" i="2" s="1"/>
  <c r="I120" i="2"/>
  <c r="J120" i="2" s="1"/>
  <c r="K120" i="2" s="1"/>
  <c r="M120" i="2" s="1"/>
  <c r="I121" i="2"/>
  <c r="J121" i="2" s="1"/>
  <c r="K121" i="2" s="1"/>
  <c r="M121" i="2" s="1"/>
  <c r="I122" i="2"/>
  <c r="J122" i="2" s="1"/>
  <c r="K122" i="2" s="1"/>
  <c r="M122" i="2" s="1"/>
  <c r="I123" i="2"/>
  <c r="J123" i="2" s="1"/>
  <c r="K123" i="2" s="1"/>
  <c r="M123" i="2" s="1"/>
  <c r="I124" i="2"/>
  <c r="J124" i="2" s="1"/>
  <c r="K124" i="2" s="1"/>
  <c r="M124" i="2" s="1"/>
  <c r="I125" i="2"/>
  <c r="J125" i="2" s="1"/>
  <c r="K125" i="2" s="1"/>
  <c r="M125" i="2" s="1"/>
  <c r="I126" i="2"/>
  <c r="J126" i="2" s="1"/>
  <c r="K126" i="2" s="1"/>
  <c r="M126" i="2" s="1"/>
  <c r="I127" i="2"/>
  <c r="J127" i="2" s="1"/>
  <c r="K127" i="2" s="1"/>
  <c r="M127" i="2" s="1"/>
  <c r="I128" i="2"/>
  <c r="J128" i="2" s="1"/>
  <c r="K128" i="2" s="1"/>
  <c r="M128" i="2" s="1"/>
  <c r="I129" i="2"/>
  <c r="J129" i="2" s="1"/>
  <c r="K129" i="2" s="1"/>
  <c r="M129" i="2" s="1"/>
  <c r="I130" i="2"/>
  <c r="J130" i="2" s="1"/>
  <c r="K130" i="2" s="1"/>
  <c r="M130" i="2" s="1"/>
  <c r="I131" i="2"/>
  <c r="J131" i="2" s="1"/>
  <c r="K131" i="2" s="1"/>
  <c r="M131" i="2" s="1"/>
  <c r="I132" i="2"/>
  <c r="J132" i="2" s="1"/>
  <c r="K132" i="2" s="1"/>
  <c r="M132" i="2" s="1"/>
  <c r="I133" i="2"/>
  <c r="J133" i="2" s="1"/>
  <c r="K133" i="2" s="1"/>
  <c r="M133" i="2" s="1"/>
  <c r="I134" i="2"/>
  <c r="J134" i="2" s="1"/>
  <c r="K134" i="2" s="1"/>
  <c r="M134" i="2" s="1"/>
  <c r="I135" i="2"/>
  <c r="J135" i="2" s="1"/>
  <c r="K135" i="2" s="1"/>
  <c r="M135" i="2" s="1"/>
  <c r="I136" i="2"/>
  <c r="J136" i="2" s="1"/>
  <c r="K136" i="2" s="1"/>
  <c r="M136" i="2" s="1"/>
  <c r="I137" i="2"/>
  <c r="J137" i="2" s="1"/>
  <c r="K137" i="2" s="1"/>
  <c r="M137" i="2" s="1"/>
  <c r="I138" i="2"/>
  <c r="J138" i="2" s="1"/>
  <c r="K138" i="2" s="1"/>
  <c r="M138" i="2" s="1"/>
  <c r="I139" i="2"/>
  <c r="J139" i="2" s="1"/>
  <c r="K139" i="2" s="1"/>
  <c r="M139" i="2" s="1"/>
  <c r="I140" i="2"/>
  <c r="J140" i="2" s="1"/>
  <c r="K140" i="2" s="1"/>
  <c r="M140" i="2" s="1"/>
  <c r="I141" i="2"/>
  <c r="J141" i="2" s="1"/>
  <c r="K141" i="2" s="1"/>
  <c r="M141" i="2" s="1"/>
  <c r="I142" i="2"/>
  <c r="J142" i="2" s="1"/>
  <c r="K142" i="2" s="1"/>
  <c r="M142" i="2" s="1"/>
  <c r="I143" i="2"/>
  <c r="J143" i="2" s="1"/>
  <c r="K143" i="2" s="1"/>
  <c r="M143" i="2" s="1"/>
  <c r="I144" i="2"/>
  <c r="J144" i="2" s="1"/>
  <c r="K144" i="2" s="1"/>
  <c r="M144" i="2" s="1"/>
  <c r="I145" i="2"/>
  <c r="J145" i="2" s="1"/>
  <c r="K145" i="2" s="1"/>
  <c r="M145" i="2" s="1"/>
  <c r="I146" i="2"/>
  <c r="J146" i="2" s="1"/>
  <c r="K146" i="2" s="1"/>
  <c r="M146" i="2" s="1"/>
  <c r="I147" i="2"/>
  <c r="J147" i="2" s="1"/>
  <c r="K147" i="2" s="1"/>
  <c r="M147" i="2" s="1"/>
  <c r="I148" i="2"/>
  <c r="J148" i="2" s="1"/>
  <c r="K148" i="2" s="1"/>
  <c r="M148" i="2" s="1"/>
  <c r="I149" i="2"/>
  <c r="J149" i="2" s="1"/>
  <c r="K149" i="2" s="1"/>
  <c r="M149" i="2" s="1"/>
  <c r="I150" i="2"/>
  <c r="J150" i="2" s="1"/>
  <c r="K150" i="2" s="1"/>
  <c r="M150" i="2" s="1"/>
  <c r="I151" i="2"/>
  <c r="J151" i="2" s="1"/>
  <c r="K151" i="2" s="1"/>
  <c r="M151" i="2" s="1"/>
  <c r="I152" i="2"/>
  <c r="J152" i="2" s="1"/>
  <c r="K152" i="2" s="1"/>
  <c r="M152" i="2" s="1"/>
  <c r="I153" i="2"/>
  <c r="J153" i="2" s="1"/>
  <c r="K153" i="2" s="1"/>
  <c r="M153" i="2" s="1"/>
  <c r="I154" i="2"/>
  <c r="J154" i="2" s="1"/>
  <c r="K154" i="2" s="1"/>
  <c r="M154" i="2" s="1"/>
  <c r="I156" i="2"/>
  <c r="J156" i="2" s="1"/>
  <c r="K156" i="2" s="1"/>
  <c r="M156" i="2" s="1"/>
  <c r="I157" i="2"/>
  <c r="J157" i="2" s="1"/>
  <c r="K157" i="2" s="1"/>
  <c r="M157" i="2" s="1"/>
  <c r="I158" i="2"/>
  <c r="J158" i="2" s="1"/>
  <c r="K158" i="2" s="1"/>
  <c r="M158" i="2" s="1"/>
  <c r="I159" i="2"/>
  <c r="J159" i="2" s="1"/>
  <c r="K159" i="2" s="1"/>
  <c r="M159" i="2" s="1"/>
  <c r="I160" i="2"/>
  <c r="J160" i="2" s="1"/>
  <c r="K160" i="2" s="1"/>
  <c r="M160" i="2" s="1"/>
  <c r="I161" i="2"/>
  <c r="J161" i="2" s="1"/>
  <c r="K161" i="2" s="1"/>
  <c r="M161" i="2" s="1"/>
  <c r="I162" i="2"/>
  <c r="J162" i="2" s="1"/>
  <c r="K162" i="2" s="1"/>
  <c r="M162" i="2" s="1"/>
  <c r="I163" i="2"/>
  <c r="J163" i="2" s="1"/>
  <c r="K163" i="2" s="1"/>
  <c r="M163" i="2" s="1"/>
  <c r="I164" i="2"/>
  <c r="J164" i="2" s="1"/>
  <c r="K164" i="2" s="1"/>
  <c r="M164" i="2" s="1"/>
  <c r="I165" i="2"/>
  <c r="J165" i="2" s="1"/>
  <c r="K165" i="2" s="1"/>
  <c r="M165" i="2" s="1"/>
  <c r="I166" i="2"/>
  <c r="J166" i="2" s="1"/>
  <c r="K166" i="2" s="1"/>
  <c r="M166" i="2" s="1"/>
  <c r="I167" i="2"/>
  <c r="J167" i="2" s="1"/>
  <c r="K167" i="2" s="1"/>
  <c r="M167" i="2" s="1"/>
  <c r="I168" i="2"/>
  <c r="J168" i="2" s="1"/>
  <c r="K168" i="2" s="1"/>
  <c r="M168" i="2" s="1"/>
  <c r="I169" i="2"/>
  <c r="J169" i="2" s="1"/>
  <c r="K169" i="2" s="1"/>
  <c r="M169" i="2" s="1"/>
  <c r="I170" i="2"/>
  <c r="J170" i="2" s="1"/>
  <c r="K170" i="2" s="1"/>
  <c r="M170" i="2" s="1"/>
  <c r="I171" i="2"/>
  <c r="J171" i="2" s="1"/>
  <c r="K171" i="2" s="1"/>
  <c r="M171" i="2" s="1"/>
  <c r="I172" i="2"/>
  <c r="J172" i="2" s="1"/>
  <c r="K172" i="2" s="1"/>
  <c r="M172" i="2" s="1"/>
  <c r="I173" i="2"/>
  <c r="J173" i="2" s="1"/>
  <c r="K173" i="2" s="1"/>
  <c r="M173" i="2" s="1"/>
  <c r="I174" i="2"/>
  <c r="J174" i="2" s="1"/>
  <c r="K174" i="2" s="1"/>
  <c r="M174" i="2" s="1"/>
  <c r="I175" i="2"/>
  <c r="J175" i="2" s="1"/>
  <c r="K175" i="2" s="1"/>
  <c r="M175" i="2" s="1"/>
  <c r="I176" i="2"/>
  <c r="J176" i="2" s="1"/>
  <c r="K176" i="2" s="1"/>
  <c r="M176" i="2" s="1"/>
  <c r="I177" i="2"/>
  <c r="J177" i="2" s="1"/>
  <c r="K177" i="2" s="1"/>
  <c r="M177" i="2" s="1"/>
  <c r="I178" i="2"/>
  <c r="J178" i="2" s="1"/>
  <c r="K178" i="2" s="1"/>
  <c r="M178" i="2" s="1"/>
  <c r="I179" i="2"/>
  <c r="J179" i="2" s="1"/>
  <c r="K179" i="2" s="1"/>
  <c r="M179" i="2" s="1"/>
  <c r="I180" i="2"/>
  <c r="J180" i="2" s="1"/>
  <c r="K180" i="2" s="1"/>
  <c r="M180" i="2" s="1"/>
  <c r="I181" i="2"/>
  <c r="J181" i="2" s="1"/>
  <c r="K181" i="2" s="1"/>
  <c r="M181" i="2" s="1"/>
  <c r="I182" i="2"/>
  <c r="J182" i="2" s="1"/>
  <c r="K182" i="2" s="1"/>
  <c r="M182" i="2" s="1"/>
  <c r="I183" i="2"/>
  <c r="J183" i="2" s="1"/>
  <c r="K183" i="2" s="1"/>
  <c r="M183" i="2" s="1"/>
  <c r="I184" i="2"/>
  <c r="J184" i="2" s="1"/>
  <c r="K184" i="2" s="1"/>
  <c r="M184" i="2" s="1"/>
  <c r="I185" i="2"/>
  <c r="J185" i="2" s="1"/>
  <c r="K185" i="2" s="1"/>
  <c r="M185" i="2" s="1"/>
  <c r="I186" i="2"/>
  <c r="J186" i="2" s="1"/>
  <c r="K186" i="2" s="1"/>
  <c r="M186" i="2" s="1"/>
  <c r="I187" i="2"/>
  <c r="J187" i="2" s="1"/>
  <c r="K187" i="2" s="1"/>
  <c r="M187" i="2" s="1"/>
  <c r="I188" i="2"/>
  <c r="J188" i="2" s="1"/>
  <c r="K188" i="2" s="1"/>
  <c r="M188" i="2" s="1"/>
  <c r="I189" i="2"/>
  <c r="J189" i="2" s="1"/>
  <c r="K189" i="2" s="1"/>
  <c r="M189" i="2" s="1"/>
  <c r="I190" i="2"/>
  <c r="J190" i="2" s="1"/>
  <c r="K190" i="2" s="1"/>
  <c r="M190" i="2" s="1"/>
  <c r="I191" i="2"/>
  <c r="J191" i="2" s="1"/>
  <c r="K191" i="2" s="1"/>
  <c r="M191" i="2" s="1"/>
  <c r="I192" i="2"/>
  <c r="J192" i="2" s="1"/>
  <c r="K192" i="2" s="1"/>
  <c r="M192" i="2" s="1"/>
  <c r="I193" i="2"/>
  <c r="J193" i="2" s="1"/>
  <c r="K193" i="2" s="1"/>
  <c r="M193" i="2" s="1"/>
  <c r="I194" i="2"/>
  <c r="J194" i="2" s="1"/>
  <c r="K194" i="2" s="1"/>
  <c r="M194" i="2" s="1"/>
  <c r="I195" i="2"/>
  <c r="J195" i="2" s="1"/>
  <c r="K195" i="2" s="1"/>
  <c r="M195" i="2" s="1"/>
  <c r="I196" i="2"/>
  <c r="J196" i="2" s="1"/>
  <c r="K196" i="2" s="1"/>
  <c r="M196" i="2" s="1"/>
  <c r="I197" i="2"/>
  <c r="J197" i="2" s="1"/>
  <c r="K197" i="2" s="1"/>
  <c r="M197" i="2" s="1"/>
  <c r="I198" i="2"/>
  <c r="J198" i="2" s="1"/>
  <c r="K198" i="2" s="1"/>
  <c r="M198" i="2" s="1"/>
  <c r="I199" i="2"/>
  <c r="J199" i="2" s="1"/>
  <c r="K199" i="2" s="1"/>
  <c r="M199" i="2" s="1"/>
  <c r="I200" i="2"/>
  <c r="J200" i="2" s="1"/>
  <c r="K200" i="2" s="1"/>
  <c r="M200" i="2" s="1"/>
  <c r="I201" i="2"/>
  <c r="J201" i="2" s="1"/>
  <c r="K201" i="2" s="1"/>
  <c r="M201" i="2" s="1"/>
  <c r="I202" i="2"/>
  <c r="J202" i="2" s="1"/>
  <c r="K202" i="2" s="1"/>
  <c r="M202" i="2" s="1"/>
  <c r="I300" i="2"/>
  <c r="J300" i="2" s="1"/>
  <c r="K300" i="2" s="1"/>
  <c r="M300" i="2" s="1"/>
  <c r="I301" i="2"/>
  <c r="J301" i="2" s="1"/>
  <c r="K301" i="2" s="1"/>
  <c r="M301" i="2" s="1"/>
  <c r="I302" i="2"/>
  <c r="J302" i="2" s="1"/>
  <c r="K302" i="2" s="1"/>
  <c r="M302" i="2" s="1"/>
  <c r="I303" i="2"/>
  <c r="J303" i="2" s="1"/>
  <c r="K303" i="2" s="1"/>
  <c r="M303" i="2" s="1"/>
  <c r="I304" i="2"/>
  <c r="J304" i="2" s="1"/>
  <c r="K304" i="2" s="1"/>
  <c r="M304" i="2" s="1"/>
  <c r="I305" i="2"/>
  <c r="J305" i="2" s="1"/>
  <c r="K305" i="2" s="1"/>
  <c r="M305" i="2" s="1"/>
  <c r="I306" i="2"/>
  <c r="J306" i="2" s="1"/>
  <c r="K306" i="2" s="1"/>
  <c r="M306" i="2" s="1"/>
  <c r="I307" i="2"/>
  <c r="J307" i="2" s="1"/>
  <c r="K307" i="2" s="1"/>
  <c r="M307" i="2" s="1"/>
  <c r="I308" i="2"/>
  <c r="J308" i="2" s="1"/>
  <c r="K308" i="2" s="1"/>
  <c r="M308" i="2" s="1"/>
  <c r="I309" i="2"/>
  <c r="J309" i="2" s="1"/>
  <c r="K309" i="2" s="1"/>
  <c r="M309" i="2" s="1"/>
  <c r="I310" i="2"/>
  <c r="J310" i="2" s="1"/>
  <c r="K310" i="2" s="1"/>
  <c r="M310" i="2" s="1"/>
  <c r="I311" i="2"/>
  <c r="J311" i="2" s="1"/>
  <c r="K311" i="2" s="1"/>
  <c r="M311" i="2" s="1"/>
  <c r="I312" i="2"/>
  <c r="J312" i="2" s="1"/>
  <c r="K312" i="2" s="1"/>
  <c r="M312" i="2" s="1"/>
  <c r="I313" i="2"/>
  <c r="J313" i="2" s="1"/>
  <c r="K313" i="2" s="1"/>
  <c r="M313" i="2" s="1"/>
  <c r="I314" i="2"/>
  <c r="J314" i="2" s="1"/>
  <c r="K314" i="2" s="1"/>
  <c r="M314" i="2" s="1"/>
  <c r="I315" i="2"/>
  <c r="J315" i="2" s="1"/>
  <c r="K315" i="2" s="1"/>
  <c r="M315" i="2" s="1"/>
  <c r="I316" i="2"/>
  <c r="J316" i="2" s="1"/>
  <c r="K316" i="2" s="1"/>
  <c r="M316" i="2" s="1"/>
  <c r="I317" i="2"/>
  <c r="J317" i="2" s="1"/>
  <c r="K317" i="2" s="1"/>
  <c r="M317" i="2" s="1"/>
  <c r="I318" i="2"/>
  <c r="J318" i="2" s="1"/>
  <c r="K318" i="2" s="1"/>
  <c r="M318" i="2" s="1"/>
  <c r="I319" i="2"/>
  <c r="J319" i="2" s="1"/>
  <c r="K319" i="2" s="1"/>
  <c r="M319" i="2" s="1"/>
  <c r="I320" i="2"/>
  <c r="J320" i="2" s="1"/>
  <c r="K320" i="2" s="1"/>
  <c r="M320" i="2" s="1"/>
  <c r="I321" i="2"/>
  <c r="J321" i="2" s="1"/>
  <c r="K321" i="2" s="1"/>
  <c r="M321" i="2" s="1"/>
  <c r="I322" i="2"/>
  <c r="J322" i="2" s="1"/>
  <c r="K322" i="2" s="1"/>
  <c r="M322" i="2" s="1"/>
  <c r="I323" i="2"/>
  <c r="J323" i="2" s="1"/>
  <c r="K323" i="2" s="1"/>
  <c r="M323" i="2" s="1"/>
  <c r="I324" i="2"/>
  <c r="J324" i="2" s="1"/>
  <c r="K324" i="2" s="1"/>
  <c r="M324" i="2" s="1"/>
  <c r="I325" i="2"/>
  <c r="J325" i="2" s="1"/>
  <c r="K325" i="2" s="1"/>
  <c r="M325" i="2" s="1"/>
  <c r="I326" i="2"/>
  <c r="J326" i="2" s="1"/>
  <c r="K326" i="2" s="1"/>
  <c r="M326" i="2" s="1"/>
  <c r="I327" i="2"/>
  <c r="J327" i="2" s="1"/>
  <c r="K327" i="2" s="1"/>
  <c r="M327" i="2" s="1"/>
  <c r="I328" i="2"/>
  <c r="J328" i="2" s="1"/>
  <c r="K328" i="2" s="1"/>
  <c r="M328" i="2" s="1"/>
  <c r="I329" i="2"/>
  <c r="J329" i="2" s="1"/>
  <c r="K329" i="2" s="1"/>
  <c r="M329" i="2" s="1"/>
  <c r="I330" i="2"/>
  <c r="J330" i="2" s="1"/>
  <c r="K330" i="2" s="1"/>
  <c r="M330" i="2" s="1"/>
  <c r="I331" i="2"/>
  <c r="J331" i="2" s="1"/>
  <c r="K331" i="2" s="1"/>
  <c r="M331" i="2" s="1"/>
  <c r="I332" i="2"/>
  <c r="J332" i="2" s="1"/>
  <c r="K332" i="2" s="1"/>
  <c r="M332" i="2" s="1"/>
  <c r="I333" i="2"/>
  <c r="J333" i="2" s="1"/>
  <c r="K333" i="2" s="1"/>
  <c r="M333" i="2" s="1"/>
  <c r="I334" i="2"/>
  <c r="J334" i="2" s="1"/>
  <c r="K334" i="2" s="1"/>
  <c r="M334" i="2" s="1"/>
  <c r="I335" i="2"/>
  <c r="J335" i="2" s="1"/>
  <c r="K335" i="2" s="1"/>
  <c r="M335" i="2" s="1"/>
  <c r="I336" i="2"/>
  <c r="J336" i="2" s="1"/>
  <c r="K336" i="2" s="1"/>
  <c r="M336" i="2" s="1"/>
  <c r="I337" i="2"/>
  <c r="J337" i="2" s="1"/>
  <c r="K337" i="2" s="1"/>
  <c r="M337" i="2" s="1"/>
  <c r="I338" i="2"/>
  <c r="J338" i="2" s="1"/>
  <c r="K338" i="2" s="1"/>
  <c r="M338" i="2" s="1"/>
  <c r="I339" i="2"/>
  <c r="J339" i="2" s="1"/>
  <c r="K339" i="2" s="1"/>
  <c r="M339" i="2" s="1"/>
  <c r="I340" i="2"/>
  <c r="J340" i="2" s="1"/>
  <c r="K340" i="2" s="1"/>
  <c r="M340" i="2" s="1"/>
  <c r="I341" i="2"/>
  <c r="J341" i="2" s="1"/>
  <c r="K341" i="2" s="1"/>
  <c r="M341" i="2" s="1"/>
  <c r="I342" i="2"/>
  <c r="J342" i="2" s="1"/>
  <c r="K342" i="2" s="1"/>
  <c r="M342" i="2" s="1"/>
  <c r="I343" i="2"/>
  <c r="J343" i="2" s="1"/>
  <c r="K343" i="2" s="1"/>
  <c r="M343" i="2" s="1"/>
  <c r="I344" i="2"/>
  <c r="J344" i="2" s="1"/>
  <c r="K344" i="2" s="1"/>
  <c r="M344" i="2" s="1"/>
  <c r="I345" i="2"/>
  <c r="J345" i="2" s="1"/>
  <c r="K345" i="2" s="1"/>
  <c r="M345" i="2" s="1"/>
  <c r="I346" i="2"/>
  <c r="J346" i="2" s="1"/>
  <c r="K346" i="2" s="1"/>
  <c r="M346" i="2" s="1"/>
  <c r="I204" i="2"/>
  <c r="J204" i="2" s="1"/>
  <c r="K204" i="2" s="1"/>
  <c r="M204" i="2" s="1"/>
  <c r="I205" i="2"/>
  <c r="J205" i="2" s="1"/>
  <c r="K205" i="2" s="1"/>
  <c r="M205" i="2" s="1"/>
  <c r="I206" i="2"/>
  <c r="J206" i="2" s="1"/>
  <c r="K206" i="2" s="1"/>
  <c r="M206" i="2" s="1"/>
  <c r="I207" i="2"/>
  <c r="J207" i="2" s="1"/>
  <c r="K207" i="2" s="1"/>
  <c r="M207" i="2" s="1"/>
  <c r="I208" i="2"/>
  <c r="J208" i="2" s="1"/>
  <c r="K208" i="2" s="1"/>
  <c r="M208" i="2" s="1"/>
  <c r="I209" i="2"/>
  <c r="J209" i="2" s="1"/>
  <c r="K209" i="2" s="1"/>
  <c r="M209" i="2" s="1"/>
  <c r="I210" i="2"/>
  <c r="J210" i="2" s="1"/>
  <c r="K210" i="2" s="1"/>
  <c r="M210" i="2" s="1"/>
  <c r="I211" i="2"/>
  <c r="J211" i="2" s="1"/>
  <c r="K211" i="2" s="1"/>
  <c r="M211" i="2" s="1"/>
  <c r="I212" i="2"/>
  <c r="J212" i="2" s="1"/>
  <c r="K212" i="2" s="1"/>
  <c r="M212" i="2" s="1"/>
  <c r="I213" i="2"/>
  <c r="J213" i="2" s="1"/>
  <c r="K213" i="2" s="1"/>
  <c r="M213" i="2" s="1"/>
  <c r="I214" i="2"/>
  <c r="J214" i="2" s="1"/>
  <c r="K214" i="2" s="1"/>
  <c r="M214" i="2" s="1"/>
  <c r="I215" i="2"/>
  <c r="J215" i="2" s="1"/>
  <c r="K215" i="2" s="1"/>
  <c r="M215" i="2" s="1"/>
  <c r="I216" i="2"/>
  <c r="J216" i="2" s="1"/>
  <c r="K216" i="2" s="1"/>
  <c r="M216" i="2" s="1"/>
  <c r="I217" i="2"/>
  <c r="J217" i="2" s="1"/>
  <c r="K217" i="2" s="1"/>
  <c r="M217" i="2" s="1"/>
  <c r="I218" i="2"/>
  <c r="J218" i="2" s="1"/>
  <c r="K218" i="2" s="1"/>
  <c r="M218" i="2" s="1"/>
  <c r="I219" i="2"/>
  <c r="J219" i="2" s="1"/>
  <c r="K219" i="2" s="1"/>
  <c r="M219" i="2" s="1"/>
  <c r="I220" i="2"/>
  <c r="J220" i="2" s="1"/>
  <c r="K220" i="2" s="1"/>
  <c r="M220" i="2" s="1"/>
  <c r="I221" i="2"/>
  <c r="J221" i="2" s="1"/>
  <c r="K221" i="2" s="1"/>
  <c r="M221" i="2" s="1"/>
  <c r="I222" i="2"/>
  <c r="J222" i="2" s="1"/>
  <c r="K222" i="2" s="1"/>
  <c r="M222" i="2" s="1"/>
  <c r="I223" i="2"/>
  <c r="J223" i="2" s="1"/>
  <c r="K223" i="2" s="1"/>
  <c r="M223" i="2" s="1"/>
  <c r="I224" i="2"/>
  <c r="J224" i="2" s="1"/>
  <c r="K224" i="2" s="1"/>
  <c r="M224" i="2" s="1"/>
  <c r="I225" i="2"/>
  <c r="J225" i="2" s="1"/>
  <c r="K225" i="2" s="1"/>
  <c r="M225" i="2" s="1"/>
  <c r="I226" i="2"/>
  <c r="J226" i="2" s="1"/>
  <c r="K226" i="2" s="1"/>
  <c r="M226" i="2" s="1"/>
  <c r="I227" i="2"/>
  <c r="J227" i="2" s="1"/>
  <c r="K227" i="2" s="1"/>
  <c r="M227" i="2" s="1"/>
  <c r="I228" i="2"/>
  <c r="J228" i="2" s="1"/>
  <c r="K228" i="2" s="1"/>
  <c r="M228" i="2" s="1"/>
  <c r="I229" i="2"/>
  <c r="J229" i="2" s="1"/>
  <c r="K229" i="2" s="1"/>
  <c r="M229" i="2" s="1"/>
  <c r="I230" i="2"/>
  <c r="J230" i="2" s="1"/>
  <c r="K230" i="2" s="1"/>
  <c r="M230" i="2" s="1"/>
  <c r="I231" i="2"/>
  <c r="J231" i="2" s="1"/>
  <c r="K231" i="2" s="1"/>
  <c r="M231" i="2" s="1"/>
  <c r="I232" i="2"/>
  <c r="J232" i="2" s="1"/>
  <c r="K232" i="2" s="1"/>
  <c r="M232" i="2" s="1"/>
  <c r="I233" i="2"/>
  <c r="J233" i="2" s="1"/>
  <c r="K233" i="2" s="1"/>
  <c r="M233" i="2" s="1"/>
  <c r="I234" i="2"/>
  <c r="J234" i="2" s="1"/>
  <c r="K234" i="2" s="1"/>
  <c r="M234" i="2" s="1"/>
  <c r="I235" i="2"/>
  <c r="J235" i="2" s="1"/>
  <c r="K235" i="2" s="1"/>
  <c r="M235" i="2" s="1"/>
  <c r="I236" i="2"/>
  <c r="J236" i="2" s="1"/>
  <c r="K236" i="2" s="1"/>
  <c r="M236" i="2" s="1"/>
  <c r="I237" i="2"/>
  <c r="J237" i="2" s="1"/>
  <c r="K237" i="2" s="1"/>
  <c r="M237" i="2" s="1"/>
  <c r="I238" i="2"/>
  <c r="J238" i="2" s="1"/>
  <c r="K238" i="2" s="1"/>
  <c r="M238" i="2" s="1"/>
  <c r="I239" i="2"/>
  <c r="J239" i="2" s="1"/>
  <c r="K239" i="2" s="1"/>
  <c r="M239" i="2" s="1"/>
  <c r="I240" i="2"/>
  <c r="J240" i="2" s="1"/>
  <c r="K240" i="2" s="1"/>
  <c r="M240" i="2" s="1"/>
  <c r="I241" i="2"/>
  <c r="J241" i="2" s="1"/>
  <c r="K241" i="2" s="1"/>
  <c r="M241" i="2" s="1"/>
  <c r="I242" i="2"/>
  <c r="J242" i="2" s="1"/>
  <c r="K242" i="2" s="1"/>
  <c r="M242" i="2" s="1"/>
  <c r="I243" i="2"/>
  <c r="J243" i="2" s="1"/>
  <c r="K243" i="2" s="1"/>
  <c r="M243" i="2" s="1"/>
  <c r="I244" i="2"/>
  <c r="J244" i="2" s="1"/>
  <c r="K244" i="2" s="1"/>
  <c r="M244" i="2" s="1"/>
  <c r="I245" i="2"/>
  <c r="J245" i="2" s="1"/>
  <c r="K245" i="2" s="1"/>
  <c r="M245" i="2" s="1"/>
  <c r="I246" i="2"/>
  <c r="J246" i="2" s="1"/>
  <c r="K246" i="2" s="1"/>
  <c r="M246" i="2" s="1"/>
  <c r="I247" i="2"/>
  <c r="J247" i="2" s="1"/>
  <c r="K247" i="2" s="1"/>
  <c r="M247" i="2" s="1"/>
  <c r="I248" i="2"/>
  <c r="J248" i="2" s="1"/>
  <c r="K248" i="2" s="1"/>
  <c r="M248" i="2" s="1"/>
  <c r="I249" i="2"/>
  <c r="J249" i="2" s="1"/>
  <c r="K249" i="2" s="1"/>
  <c r="M249" i="2" s="1"/>
  <c r="I250" i="2"/>
  <c r="J250" i="2" s="1"/>
  <c r="K250" i="2" s="1"/>
  <c r="M250" i="2" s="1"/>
  <c r="I45" i="2"/>
  <c r="J45" i="2" s="1"/>
  <c r="K45" i="2" s="1"/>
  <c r="M45" i="2" s="1"/>
  <c r="I46" i="2"/>
  <c r="J46" i="2" s="1"/>
  <c r="K46" i="2" s="1"/>
  <c r="M46" i="2" s="1"/>
  <c r="I47" i="2"/>
  <c r="J47" i="2" s="1"/>
  <c r="K47" i="2" s="1"/>
  <c r="M47" i="2" s="1"/>
  <c r="I48" i="2"/>
  <c r="J48" i="2" s="1"/>
  <c r="K48" i="2" s="1"/>
  <c r="M48" i="2" s="1"/>
  <c r="I49" i="2"/>
  <c r="J49" i="2" s="1"/>
  <c r="K49" i="2" s="1"/>
  <c r="M49" i="2" s="1"/>
  <c r="I50" i="2"/>
  <c r="J50" i="2" s="1"/>
  <c r="K50" i="2" s="1"/>
  <c r="M50" i="2" s="1"/>
  <c r="I51" i="2"/>
  <c r="J51" i="2" s="1"/>
  <c r="K51" i="2" s="1"/>
  <c r="M51" i="2" s="1"/>
  <c r="I52" i="2"/>
  <c r="J52" i="2" s="1"/>
  <c r="K52" i="2" s="1"/>
  <c r="M52" i="2" s="1"/>
  <c r="I53" i="2"/>
  <c r="J53" i="2" s="1"/>
  <c r="K53" i="2" s="1"/>
  <c r="M53" i="2" s="1"/>
  <c r="I54" i="2"/>
  <c r="J54" i="2" s="1"/>
  <c r="K54" i="2" s="1"/>
  <c r="M54" i="2" s="1"/>
  <c r="I55" i="2"/>
  <c r="J55" i="2" s="1"/>
  <c r="K55" i="2" s="1"/>
  <c r="M55" i="2" s="1"/>
  <c r="I56" i="2"/>
  <c r="J56" i="2" s="1"/>
  <c r="K56" i="2" s="1"/>
  <c r="M56" i="2" s="1"/>
  <c r="I57" i="2"/>
  <c r="J57" i="2" s="1"/>
  <c r="K57" i="2" s="1"/>
  <c r="M57" i="2" s="1"/>
  <c r="I58" i="2"/>
  <c r="J58" i="2" s="1"/>
  <c r="K58" i="2" s="1"/>
  <c r="M58" i="2" s="1"/>
  <c r="I59" i="2"/>
  <c r="J59" i="2" s="1"/>
  <c r="K59" i="2" s="1"/>
  <c r="M59" i="2" s="1"/>
  <c r="I60" i="2"/>
  <c r="J60" i="2" s="1"/>
  <c r="K60" i="2" s="1"/>
  <c r="M60" i="2" s="1"/>
  <c r="I61" i="2"/>
  <c r="J61" i="2" s="1"/>
  <c r="K61" i="2" s="1"/>
  <c r="M61" i="2" s="1"/>
  <c r="I62" i="2"/>
  <c r="J62" i="2" s="1"/>
  <c r="K62" i="2" s="1"/>
  <c r="M62" i="2" s="1"/>
  <c r="I63" i="2"/>
  <c r="J63" i="2" s="1"/>
  <c r="K63" i="2" s="1"/>
  <c r="M63" i="2" s="1"/>
  <c r="I64" i="2"/>
  <c r="J64" i="2" s="1"/>
  <c r="K64" i="2" s="1"/>
  <c r="M64" i="2" s="1"/>
  <c r="I3" i="2"/>
  <c r="J3" i="2" s="1"/>
  <c r="K3" i="2" s="1"/>
  <c r="M3" i="2" s="1"/>
  <c r="I4" i="2"/>
  <c r="J4" i="2" s="1"/>
  <c r="K4" i="2" s="1"/>
  <c r="M4" i="2" s="1"/>
  <c r="I5" i="2"/>
  <c r="J5" i="2" s="1"/>
  <c r="K5" i="2" s="1"/>
  <c r="M5" i="2" s="1"/>
  <c r="I6" i="2"/>
  <c r="J6" i="2" s="1"/>
  <c r="K6" i="2" s="1"/>
  <c r="M6" i="2" s="1"/>
  <c r="I7" i="2"/>
  <c r="J7" i="2" s="1"/>
  <c r="K7" i="2" s="1"/>
  <c r="M7" i="2" s="1"/>
  <c r="I8" i="2"/>
  <c r="J8" i="2" s="1"/>
  <c r="I9" i="2"/>
  <c r="J9" i="2" s="1"/>
  <c r="K9" i="2" s="1"/>
  <c r="M9" i="2" s="1"/>
  <c r="I10" i="2"/>
  <c r="J10" i="2" s="1"/>
  <c r="K10" i="2" s="1"/>
  <c r="M10" i="2" s="1"/>
  <c r="I11" i="2"/>
  <c r="J11" i="2" s="1"/>
  <c r="K11" i="2" s="1"/>
  <c r="M11" i="2" s="1"/>
  <c r="I12" i="2"/>
  <c r="J12" i="2" s="1"/>
  <c r="K12" i="2" s="1"/>
  <c r="M12" i="2" s="1"/>
  <c r="I13" i="2"/>
  <c r="J13" i="2" s="1"/>
  <c r="K13" i="2" s="1"/>
  <c r="M13" i="2" s="1"/>
  <c r="I14" i="2"/>
  <c r="J14" i="2" s="1"/>
  <c r="K14" i="2" s="1"/>
  <c r="M14" i="2" s="1"/>
  <c r="I15" i="2"/>
  <c r="J15" i="2" s="1"/>
  <c r="K15" i="2" s="1"/>
  <c r="M15" i="2" s="1"/>
  <c r="I16" i="2"/>
  <c r="J16" i="2" s="1"/>
  <c r="K16" i="2" s="1"/>
  <c r="M16" i="2" s="1"/>
  <c r="I17" i="2"/>
  <c r="J17" i="2" s="1"/>
  <c r="K17" i="2" s="1"/>
  <c r="M17" i="2" s="1"/>
  <c r="I18" i="2"/>
  <c r="J18" i="2" s="1"/>
  <c r="K18" i="2" s="1"/>
  <c r="M18" i="2" s="1"/>
  <c r="I19" i="2"/>
  <c r="J19" i="2" s="1"/>
  <c r="K19" i="2" s="1"/>
  <c r="M19" i="2" s="1"/>
  <c r="I20" i="2"/>
  <c r="J20" i="2" s="1"/>
  <c r="K20" i="2" s="1"/>
  <c r="M20" i="2" s="1"/>
  <c r="I21" i="2"/>
  <c r="J21" i="2" s="1"/>
  <c r="K21" i="2" s="1"/>
  <c r="M21" i="2" s="1"/>
  <c r="I22" i="2"/>
  <c r="J22" i="2" s="1"/>
  <c r="K22" i="2" s="1"/>
  <c r="M22" i="2" s="1"/>
  <c r="I86" i="2"/>
  <c r="J86" i="2" s="1"/>
  <c r="K86" i="2" s="1"/>
  <c r="M86" i="2" s="1"/>
  <c r="I87" i="2"/>
  <c r="J87" i="2" s="1"/>
  <c r="K87" i="2" s="1"/>
  <c r="M87" i="2" s="1"/>
  <c r="I88" i="2"/>
  <c r="J88" i="2" s="1"/>
  <c r="K88" i="2" s="1"/>
  <c r="M88" i="2" s="1"/>
  <c r="I89" i="2"/>
  <c r="J89" i="2" s="1"/>
  <c r="K89" i="2" s="1"/>
  <c r="M89" i="2" s="1"/>
  <c r="I90" i="2"/>
  <c r="J90" i="2" s="1"/>
  <c r="K90" i="2" s="1"/>
  <c r="M90" i="2" s="1"/>
  <c r="I91" i="2"/>
  <c r="J91" i="2" s="1"/>
  <c r="K91" i="2" s="1"/>
  <c r="M91" i="2" s="1"/>
  <c r="I92" i="2"/>
  <c r="J92" i="2" s="1"/>
  <c r="K92" i="2" s="1"/>
  <c r="M92" i="2" s="1"/>
  <c r="I93" i="2"/>
  <c r="J93" i="2" s="1"/>
  <c r="K93" i="2" s="1"/>
  <c r="M93" i="2" s="1"/>
  <c r="I94" i="2"/>
  <c r="J94" i="2" s="1"/>
  <c r="K94" i="2" s="1"/>
  <c r="M94" i="2" s="1"/>
  <c r="I95" i="2"/>
  <c r="J95" i="2" s="1"/>
  <c r="K95" i="2" s="1"/>
  <c r="M95" i="2" s="1"/>
  <c r="I96" i="2"/>
  <c r="J96" i="2" s="1"/>
  <c r="K96" i="2" s="1"/>
  <c r="M96" i="2" s="1"/>
  <c r="I97" i="2"/>
  <c r="J97" i="2" s="1"/>
  <c r="K97" i="2" s="1"/>
  <c r="M97" i="2" s="1"/>
  <c r="I98" i="2"/>
  <c r="J98" i="2" s="1"/>
  <c r="K98" i="2" s="1"/>
  <c r="M98" i="2" s="1"/>
  <c r="I99" i="2"/>
  <c r="J99" i="2" s="1"/>
  <c r="K99" i="2" s="1"/>
  <c r="M99" i="2" s="1"/>
  <c r="I100" i="2"/>
  <c r="J100" i="2" s="1"/>
  <c r="K100" i="2" s="1"/>
  <c r="M100" i="2" s="1"/>
  <c r="I101" i="2"/>
  <c r="J101" i="2" s="1"/>
  <c r="K101" i="2" s="1"/>
  <c r="M101" i="2" s="1"/>
  <c r="I102" i="2"/>
  <c r="J102" i="2" s="1"/>
  <c r="K102" i="2" s="1"/>
  <c r="M102" i="2" s="1"/>
  <c r="I103" i="2"/>
  <c r="J103" i="2" s="1"/>
  <c r="K103" i="2" s="1"/>
  <c r="M103" i="2" s="1"/>
  <c r="I104" i="2"/>
  <c r="J104" i="2" s="1"/>
  <c r="K104" i="2" s="1"/>
  <c r="M104" i="2" s="1"/>
  <c r="I105" i="2"/>
  <c r="J105" i="2" s="1"/>
  <c r="K105" i="2" s="1"/>
  <c r="M105" i="2" s="1"/>
  <c r="I106" i="2"/>
  <c r="J106" i="2" s="1"/>
  <c r="K106" i="2" s="1"/>
  <c r="M106" i="2" s="1"/>
  <c r="I65" i="2"/>
  <c r="J65" i="2" s="1"/>
  <c r="K65" i="2" s="1"/>
  <c r="M65" i="2" s="1"/>
  <c r="I66" i="2"/>
  <c r="J66" i="2" s="1"/>
  <c r="K66" i="2" s="1"/>
  <c r="M66" i="2" s="1"/>
  <c r="I67" i="2"/>
  <c r="J67" i="2" s="1"/>
  <c r="K67" i="2" s="1"/>
  <c r="M67" i="2" s="1"/>
  <c r="I68" i="2"/>
  <c r="J68" i="2" s="1"/>
  <c r="K68" i="2" s="1"/>
  <c r="M68" i="2" s="1"/>
  <c r="I69" i="2"/>
  <c r="J69" i="2" s="1"/>
  <c r="K69" i="2" s="1"/>
  <c r="M69" i="2" s="1"/>
  <c r="I70" i="2"/>
  <c r="J70" i="2" s="1"/>
  <c r="K70" i="2" s="1"/>
  <c r="M70" i="2" s="1"/>
  <c r="I71" i="2"/>
  <c r="J71" i="2" s="1"/>
  <c r="K71" i="2" s="1"/>
  <c r="M71" i="2" s="1"/>
  <c r="I72" i="2"/>
  <c r="J72" i="2" s="1"/>
  <c r="K72" i="2" s="1"/>
  <c r="M72" i="2" s="1"/>
  <c r="I73" i="2"/>
  <c r="J73" i="2" s="1"/>
  <c r="K73" i="2" s="1"/>
  <c r="M73" i="2" s="1"/>
  <c r="I74" i="2"/>
  <c r="J74" i="2" s="1"/>
  <c r="K74" i="2" s="1"/>
  <c r="M74" i="2" s="1"/>
  <c r="I75" i="2"/>
  <c r="J75" i="2" s="1"/>
  <c r="K75" i="2" s="1"/>
  <c r="M75" i="2" s="1"/>
  <c r="I76" i="2"/>
  <c r="J76" i="2" s="1"/>
  <c r="K76" i="2" s="1"/>
  <c r="M76" i="2" s="1"/>
  <c r="I77" i="2"/>
  <c r="J77" i="2" s="1"/>
  <c r="K77" i="2" s="1"/>
  <c r="M77" i="2" s="1"/>
  <c r="I78" i="2"/>
  <c r="J78" i="2" s="1"/>
  <c r="K78" i="2" s="1"/>
  <c r="M78" i="2" s="1"/>
  <c r="I79" i="2"/>
  <c r="J79" i="2" s="1"/>
  <c r="K79" i="2" s="1"/>
  <c r="M79" i="2" s="1"/>
  <c r="I80" i="2"/>
  <c r="J80" i="2" s="1"/>
  <c r="K80" i="2" s="1"/>
  <c r="M80" i="2" s="1"/>
  <c r="I81" i="2"/>
  <c r="J81" i="2" s="1"/>
  <c r="K81" i="2" s="1"/>
  <c r="M81" i="2" s="1"/>
  <c r="I82" i="2"/>
  <c r="J82" i="2" s="1"/>
  <c r="K82" i="2" s="1"/>
  <c r="M82" i="2" s="1"/>
  <c r="I83" i="2"/>
  <c r="J83" i="2" s="1"/>
  <c r="K83" i="2" s="1"/>
  <c r="M83" i="2" s="1"/>
  <c r="I84" i="2"/>
  <c r="J84" i="2" s="1"/>
  <c r="K84" i="2" s="1"/>
  <c r="M84" i="2" s="1"/>
  <c r="I85" i="2"/>
  <c r="J85" i="2" s="1"/>
  <c r="K85" i="2" s="1"/>
  <c r="M85" i="2" s="1"/>
  <c r="I23" i="2"/>
  <c r="J23" i="2" s="1"/>
  <c r="K23" i="2" s="1"/>
  <c r="M23" i="2" s="1"/>
  <c r="I24" i="2"/>
  <c r="J24" i="2" s="1"/>
  <c r="K24" i="2" s="1"/>
  <c r="M24" i="2" s="1"/>
  <c r="I25" i="2"/>
  <c r="J25" i="2" s="1"/>
  <c r="K25" i="2" s="1"/>
  <c r="M25" i="2" s="1"/>
  <c r="I26" i="2"/>
  <c r="J26" i="2" s="1"/>
  <c r="K26" i="2" s="1"/>
  <c r="M26" i="2" s="1"/>
  <c r="I27" i="2"/>
  <c r="J27" i="2" s="1"/>
  <c r="K27" i="2" s="1"/>
  <c r="M27" i="2" s="1"/>
  <c r="I28" i="2"/>
  <c r="J28" i="2" s="1"/>
  <c r="K28" i="2" s="1"/>
  <c r="M28" i="2" s="1"/>
  <c r="I29" i="2"/>
  <c r="J29" i="2" s="1"/>
  <c r="K29" i="2" s="1"/>
  <c r="M29" i="2" s="1"/>
  <c r="I30" i="2"/>
  <c r="J30" i="2" s="1"/>
  <c r="K30" i="2" s="1"/>
  <c r="M30" i="2" s="1"/>
  <c r="I31" i="2"/>
  <c r="J31" i="2" s="1"/>
  <c r="K31" i="2" s="1"/>
  <c r="M31" i="2" s="1"/>
  <c r="I32" i="2"/>
  <c r="J32" i="2" s="1"/>
  <c r="K32" i="2" s="1"/>
  <c r="M32" i="2" s="1"/>
  <c r="I33" i="2"/>
  <c r="J33" i="2" s="1"/>
  <c r="K33" i="2" s="1"/>
  <c r="M33" i="2" s="1"/>
  <c r="I34" i="2"/>
  <c r="J34" i="2" s="1"/>
  <c r="K34" i="2" s="1"/>
  <c r="M34" i="2" s="1"/>
  <c r="I35" i="2"/>
  <c r="J35" i="2" s="1"/>
  <c r="K35" i="2" s="1"/>
  <c r="M35" i="2" s="1"/>
  <c r="I36" i="2"/>
  <c r="J36" i="2" s="1"/>
  <c r="K36" i="2" s="1"/>
  <c r="M36" i="2" s="1"/>
  <c r="I37" i="2"/>
  <c r="J37" i="2" s="1"/>
  <c r="K37" i="2" s="1"/>
  <c r="M37" i="2" s="1"/>
  <c r="I38" i="2"/>
  <c r="J38" i="2" s="1"/>
  <c r="K38" i="2" s="1"/>
  <c r="M38" i="2" s="1"/>
  <c r="I39" i="2"/>
  <c r="J39" i="2" s="1"/>
  <c r="K39" i="2" s="1"/>
  <c r="M39" i="2" s="1"/>
  <c r="I40" i="2"/>
  <c r="J40" i="2" s="1"/>
  <c r="K40" i="2" s="1"/>
  <c r="M40" i="2" s="1"/>
  <c r="I41" i="2"/>
  <c r="J41" i="2" s="1"/>
  <c r="K41" i="2" s="1"/>
  <c r="M41" i="2" s="1"/>
  <c r="I42" i="2"/>
  <c r="J42" i="2" s="1"/>
  <c r="K42" i="2" s="1"/>
  <c r="M42" i="2" s="1"/>
  <c r="I43" i="2"/>
  <c r="J43" i="2" s="1"/>
  <c r="K43" i="2" s="1"/>
  <c r="M43" i="2" s="1"/>
  <c r="H203" i="2"/>
  <c r="I203" i="2" s="1"/>
  <c r="J203" i="2" s="1"/>
  <c r="K203" i="2" s="1"/>
  <c r="M203" i="2" s="1"/>
  <c r="H299" i="2"/>
  <c r="I299" i="2" s="1"/>
  <c r="J299" i="2" s="1"/>
  <c r="K299" i="2" s="1"/>
  <c r="M299" i="2" s="1"/>
  <c r="H155" i="2"/>
  <c r="I155" i="2" s="1"/>
  <c r="J155" i="2" s="1"/>
  <c r="K155" i="2" s="1"/>
  <c r="M155" i="2" s="1"/>
  <c r="H107" i="2"/>
  <c r="I107" i="2" s="1"/>
  <c r="J107" i="2" s="1"/>
  <c r="K107" i="2" s="1"/>
  <c r="M107" i="2" s="1"/>
  <c r="H347" i="2"/>
  <c r="I347" i="2" s="1"/>
  <c r="J347" i="2" s="1"/>
  <c r="K347" i="2" s="1"/>
  <c r="M347" i="2" s="1"/>
  <c r="H395" i="2"/>
  <c r="I395" i="2" s="1"/>
  <c r="J395" i="2" s="1"/>
  <c r="K395" i="2" s="1"/>
  <c r="M395" i="2" s="1"/>
  <c r="H443" i="2"/>
  <c r="I443" i="2" s="1"/>
  <c r="J443" i="2" s="1"/>
  <c r="K443" i="2" s="1"/>
  <c r="M443" i="2" s="1"/>
  <c r="H251" i="2"/>
  <c r="I251" i="2" s="1"/>
  <c r="J251" i="2" s="1"/>
  <c r="K251" i="2" s="1"/>
  <c r="M251" i="2" s="1"/>
</calcChain>
</file>

<file path=xl/sharedStrings.xml><?xml version="1.0" encoding="utf-8"?>
<sst xmlns="http://schemas.openxmlformats.org/spreadsheetml/2006/main" count="9982" uniqueCount="67">
  <si>
    <t>Date</t>
  </si>
  <si>
    <t>Time</t>
  </si>
  <si>
    <t>Species</t>
  </si>
  <si>
    <t>Value</t>
  </si>
  <si>
    <t>Site</t>
  </si>
  <si>
    <t>Mlu</t>
  </si>
  <si>
    <t>Makera</t>
  </si>
  <si>
    <t>Pfu</t>
  </si>
  <si>
    <t>Cme</t>
  </si>
  <si>
    <t>Mla</t>
  </si>
  <si>
    <t>Pfu1</t>
  </si>
  <si>
    <t>Paf</t>
  </si>
  <si>
    <t>Hma</t>
  </si>
  <si>
    <t>Bbr</t>
  </si>
  <si>
    <t>Fsa</t>
  </si>
  <si>
    <t>Sgu</t>
  </si>
  <si>
    <t>Dto</t>
  </si>
  <si>
    <t>Fth</t>
  </si>
  <si>
    <t>L4PfaJ8</t>
  </si>
  <si>
    <t>L4SguG1</t>
  </si>
  <si>
    <t>L4DtoA1</t>
  </si>
  <si>
    <t>L4PafB8</t>
  </si>
  <si>
    <t>L4PfuF9</t>
  </si>
  <si>
    <t>L4AguI4</t>
  </si>
  <si>
    <t>L4FthC7</t>
  </si>
  <si>
    <t>L4DtoG6</t>
  </si>
  <si>
    <t>L3DtoA4</t>
  </si>
  <si>
    <t>L3FsaA7</t>
  </si>
  <si>
    <t>L3BbrA10</t>
  </si>
  <si>
    <t>L3PafI10</t>
  </si>
  <si>
    <t>L3CmeF6</t>
  </si>
  <si>
    <t>L3MlaI3</t>
  </si>
  <si>
    <t>L3PfuH5</t>
  </si>
  <si>
    <t>L3MluG10</t>
  </si>
  <si>
    <t>Pfa</t>
  </si>
  <si>
    <t>Agu</t>
  </si>
  <si>
    <t>Agu1</t>
  </si>
  <si>
    <t>Rubona</t>
  </si>
  <si>
    <t>Day1</t>
  </si>
  <si>
    <t>M3FthH9</t>
  </si>
  <si>
    <t>M3SguH10</t>
  </si>
  <si>
    <t>M3SguE1</t>
  </si>
  <si>
    <t>M3PfuB4</t>
  </si>
  <si>
    <t>M3BbrG5</t>
  </si>
  <si>
    <t>M3DtoD2</t>
  </si>
  <si>
    <t>M3PfaG6</t>
  </si>
  <si>
    <t>M3DtoH7</t>
  </si>
  <si>
    <t>Day2</t>
  </si>
  <si>
    <t>L6PfaH5</t>
  </si>
  <si>
    <t>L6FthG6</t>
  </si>
  <si>
    <t>L6PfuC9</t>
  </si>
  <si>
    <t>L6PfuC4</t>
  </si>
  <si>
    <t>L6FthJ7</t>
  </si>
  <si>
    <t>Species1</t>
  </si>
  <si>
    <t>DAYS</t>
  </si>
  <si>
    <t>k</t>
  </si>
  <si>
    <t>u</t>
  </si>
  <si>
    <t>max</t>
  </si>
  <si>
    <t>u10</t>
  </si>
  <si>
    <t>Max</t>
  </si>
  <si>
    <t>AREA</t>
  </si>
  <si>
    <t>F</t>
  </si>
  <si>
    <t>Tcan</t>
  </si>
  <si>
    <t>Dto1</t>
  </si>
  <si>
    <t>Dto2</t>
  </si>
  <si>
    <t>SA</t>
  </si>
  <si>
    <t>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</si>
</sst>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;@" x16r2:formatCode16="[$-en-RW,1]dd/mm/yyyy;@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Makera1!$L$1</c:f>
              <c:strCache>
                <c:ptCount val="1"/>
                <c:pt idx="0">
                  <c:v>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Makera1!$K$2:$K$362</c:f>
              <c:numCache>
                <c:formatCode>General</c:formatCode>
                <c:ptCount val="361"/>
                <c:pt idx="0">
                  <c:v>964.37446249999994</c:v>
                </c:pt>
                <c:pt idx="1">
                  <c:v>964.37446249999994</c:v>
                </c:pt>
                <c:pt idx="2">
                  <c:v>964.37446249999994</c:v>
                </c:pt>
                <c:pt idx="3">
                  <c:v>964.37446249999994</c:v>
                </c:pt>
                <c:pt idx="4">
                  <c:v>964.37446249999994</c:v>
                </c:pt>
                <c:pt idx="5">
                  <c:v>964.37446249999994</c:v>
                </c:pt>
                <c:pt idx="6">
                  <c:v>964.37446249999994</c:v>
                </c:pt>
                <c:pt idx="7">
                  <c:v>964.37446249999994</c:v>
                </c:pt>
                <c:pt idx="8">
                  <c:v>964.37446249999994</c:v>
                </c:pt>
                <c:pt idx="9">
                  <c:v>964.37446249999994</c:v>
                </c:pt>
                <c:pt idx="10">
                  <c:v>964.37446249999994</c:v>
                </c:pt>
                <c:pt idx="11">
                  <c:v>964.37446249999994</c:v>
                </c:pt>
                <c:pt idx="12">
                  <c:v>964.37446249999994</c:v>
                </c:pt>
                <c:pt idx="13">
                  <c:v>964.37446249999994</c:v>
                </c:pt>
                <c:pt idx="14">
                  <c:v>964.37446249999994</c:v>
                </c:pt>
                <c:pt idx="15">
                  <c:v>964.37446249999994</c:v>
                </c:pt>
                <c:pt idx="16">
                  <c:v>964.37446249999994</c:v>
                </c:pt>
                <c:pt idx="17">
                  <c:v>964.37446249999994</c:v>
                </c:pt>
                <c:pt idx="18">
                  <c:v>964.37446249999994</c:v>
                </c:pt>
                <c:pt idx="19">
                  <c:v>964.37446249999994</c:v>
                </c:pt>
                <c:pt idx="20">
                  <c:v>964.37446249999994</c:v>
                </c:pt>
                <c:pt idx="21">
                  <c:v>964.37446249999994</c:v>
                </c:pt>
                <c:pt idx="22">
                  <c:v>964.37446249999994</c:v>
                </c:pt>
                <c:pt idx="23">
                  <c:v>964.37446249999994</c:v>
                </c:pt>
                <c:pt idx="24">
                  <c:v>964.37446249999994</c:v>
                </c:pt>
                <c:pt idx="25">
                  <c:v>964.37446249999994</c:v>
                </c:pt>
                <c:pt idx="26">
                  <c:v>964.37446249999994</c:v>
                </c:pt>
                <c:pt idx="27">
                  <c:v>923.54464999999982</c:v>
                </c:pt>
                <c:pt idx="28">
                  <c:v>923.54464999999982</c:v>
                </c:pt>
                <c:pt idx="29">
                  <c:v>923.54464999999982</c:v>
                </c:pt>
                <c:pt idx="30">
                  <c:v>923.54464999999982</c:v>
                </c:pt>
                <c:pt idx="31">
                  <c:v>923.54464999999982</c:v>
                </c:pt>
                <c:pt idx="32">
                  <c:v>923.54464999999982</c:v>
                </c:pt>
                <c:pt idx="33">
                  <c:v>923.54464999999982</c:v>
                </c:pt>
                <c:pt idx="34">
                  <c:v>923.54464999999982</c:v>
                </c:pt>
                <c:pt idx="35">
                  <c:v>923.54464999999982</c:v>
                </c:pt>
                <c:pt idx="36">
                  <c:v>923.54464999999982</c:v>
                </c:pt>
                <c:pt idx="37">
                  <c:v>923.54464999999982</c:v>
                </c:pt>
                <c:pt idx="38">
                  <c:v>923.54464999999982</c:v>
                </c:pt>
                <c:pt idx="39">
                  <c:v>923.54464999999982</c:v>
                </c:pt>
                <c:pt idx="40">
                  <c:v>923.54464999999982</c:v>
                </c:pt>
                <c:pt idx="41">
                  <c:v>923.54464999999982</c:v>
                </c:pt>
                <c:pt idx="42">
                  <c:v>923.54464999999982</c:v>
                </c:pt>
                <c:pt idx="43">
                  <c:v>923.54464999999982</c:v>
                </c:pt>
                <c:pt idx="44">
                  <c:v>923.54464999999982</c:v>
                </c:pt>
                <c:pt idx="45">
                  <c:v>923.54464999999982</c:v>
                </c:pt>
                <c:pt idx="46">
                  <c:v>923.54464999999982</c:v>
                </c:pt>
                <c:pt idx="47">
                  <c:v>923.54464999999982</c:v>
                </c:pt>
                <c:pt idx="48">
                  <c:v>923.54464999999982</c:v>
                </c:pt>
                <c:pt idx="49">
                  <c:v>923.54464999999982</c:v>
                </c:pt>
                <c:pt idx="50">
                  <c:v>923.54464999999982</c:v>
                </c:pt>
                <c:pt idx="51">
                  <c:v>923.54464999999982</c:v>
                </c:pt>
                <c:pt idx="52">
                  <c:v>923.54464999999982</c:v>
                </c:pt>
                <c:pt idx="53">
                  <c:v>923.54464999999982</c:v>
                </c:pt>
                <c:pt idx="54">
                  <c:v>5011.4478500000014</c:v>
                </c:pt>
                <c:pt idx="55">
                  <c:v>5011.4478500000014</c:v>
                </c:pt>
                <c:pt idx="56">
                  <c:v>5011.4478500000014</c:v>
                </c:pt>
                <c:pt idx="57">
                  <c:v>5011.4478500000014</c:v>
                </c:pt>
                <c:pt idx="58">
                  <c:v>5011.4478500000014</c:v>
                </c:pt>
                <c:pt idx="59">
                  <c:v>5011.4478500000014</c:v>
                </c:pt>
                <c:pt idx="60">
                  <c:v>5011.4478500000014</c:v>
                </c:pt>
                <c:pt idx="61">
                  <c:v>5011.4478500000014</c:v>
                </c:pt>
                <c:pt idx="62">
                  <c:v>5011.4478500000014</c:v>
                </c:pt>
                <c:pt idx="63">
                  <c:v>5011.4478500000014</c:v>
                </c:pt>
                <c:pt idx="64">
                  <c:v>5011.4478500000014</c:v>
                </c:pt>
                <c:pt idx="65">
                  <c:v>5011.4478500000014</c:v>
                </c:pt>
                <c:pt idx="66">
                  <c:v>5011.4478500000014</c:v>
                </c:pt>
                <c:pt idx="67">
                  <c:v>5011.4478500000014</c:v>
                </c:pt>
                <c:pt idx="68">
                  <c:v>5011.4478500000014</c:v>
                </c:pt>
                <c:pt idx="69">
                  <c:v>5011.4478500000014</c:v>
                </c:pt>
                <c:pt idx="70">
                  <c:v>5011.4478500000014</c:v>
                </c:pt>
                <c:pt idx="71">
                  <c:v>5011.4478500000014</c:v>
                </c:pt>
                <c:pt idx="72">
                  <c:v>5011.4478500000014</c:v>
                </c:pt>
                <c:pt idx="73">
                  <c:v>5011.4478500000014</c:v>
                </c:pt>
                <c:pt idx="74">
                  <c:v>5011.4478500000014</c:v>
                </c:pt>
                <c:pt idx="75">
                  <c:v>5011.4478500000014</c:v>
                </c:pt>
                <c:pt idx="76">
                  <c:v>5011.4478500000014</c:v>
                </c:pt>
                <c:pt idx="77">
                  <c:v>5011.4478500000014</c:v>
                </c:pt>
                <c:pt idx="78">
                  <c:v>5011.4478500000014</c:v>
                </c:pt>
                <c:pt idx="79">
                  <c:v>5011.4478500000014</c:v>
                </c:pt>
                <c:pt idx="80">
                  <c:v>5011.4478500000014</c:v>
                </c:pt>
                <c:pt idx="81">
                  <c:v>1139.51385</c:v>
                </c:pt>
                <c:pt idx="82">
                  <c:v>1139.51385</c:v>
                </c:pt>
                <c:pt idx="83">
                  <c:v>1139.51385</c:v>
                </c:pt>
                <c:pt idx="84">
                  <c:v>1139.51385</c:v>
                </c:pt>
                <c:pt idx="85">
                  <c:v>1139.51385</c:v>
                </c:pt>
                <c:pt idx="86">
                  <c:v>1139.51385</c:v>
                </c:pt>
                <c:pt idx="87">
                  <c:v>1139.51385</c:v>
                </c:pt>
                <c:pt idx="88">
                  <c:v>1139.51385</c:v>
                </c:pt>
                <c:pt idx="89">
                  <c:v>1139.51385</c:v>
                </c:pt>
                <c:pt idx="90">
                  <c:v>1139.51385</c:v>
                </c:pt>
                <c:pt idx="91">
                  <c:v>1139.51385</c:v>
                </c:pt>
                <c:pt idx="92">
                  <c:v>1139.51385</c:v>
                </c:pt>
                <c:pt idx="93">
                  <c:v>1139.51385</c:v>
                </c:pt>
                <c:pt idx="94">
                  <c:v>1139.51385</c:v>
                </c:pt>
                <c:pt idx="95">
                  <c:v>1139.51385</c:v>
                </c:pt>
                <c:pt idx="96">
                  <c:v>1139.51385</c:v>
                </c:pt>
                <c:pt idx="97">
                  <c:v>1139.51385</c:v>
                </c:pt>
                <c:pt idx="98">
                  <c:v>1139.51385</c:v>
                </c:pt>
                <c:pt idx="99">
                  <c:v>1139.51385</c:v>
                </c:pt>
                <c:pt idx="100">
                  <c:v>1139.51385</c:v>
                </c:pt>
                <c:pt idx="101">
                  <c:v>1139.51385</c:v>
                </c:pt>
                <c:pt idx="102">
                  <c:v>1139.51385</c:v>
                </c:pt>
                <c:pt idx="103">
                  <c:v>1139.51385</c:v>
                </c:pt>
                <c:pt idx="104">
                  <c:v>1139.51385</c:v>
                </c:pt>
                <c:pt idx="105">
                  <c:v>1139.51385</c:v>
                </c:pt>
                <c:pt idx="106">
                  <c:v>1139.51385</c:v>
                </c:pt>
                <c:pt idx="107">
                  <c:v>2448.5896625000005</c:v>
                </c:pt>
                <c:pt idx="108">
                  <c:v>2448.5896625000005</c:v>
                </c:pt>
                <c:pt idx="109">
                  <c:v>2448.5896625000005</c:v>
                </c:pt>
                <c:pt idx="110">
                  <c:v>2448.5896625000005</c:v>
                </c:pt>
                <c:pt idx="111">
                  <c:v>2448.5896625000005</c:v>
                </c:pt>
                <c:pt idx="112">
                  <c:v>2448.5896625000005</c:v>
                </c:pt>
                <c:pt idx="113">
                  <c:v>2448.5896625000005</c:v>
                </c:pt>
                <c:pt idx="114">
                  <c:v>2448.5896625000005</c:v>
                </c:pt>
                <c:pt idx="115">
                  <c:v>2448.5896625000005</c:v>
                </c:pt>
                <c:pt idx="116">
                  <c:v>2448.5896625000005</c:v>
                </c:pt>
                <c:pt idx="117">
                  <c:v>2448.5896625000005</c:v>
                </c:pt>
                <c:pt idx="118">
                  <c:v>2448.5896625000005</c:v>
                </c:pt>
                <c:pt idx="119">
                  <c:v>2448.5896625000005</c:v>
                </c:pt>
                <c:pt idx="120">
                  <c:v>2448.5896625000005</c:v>
                </c:pt>
                <c:pt idx="121">
                  <c:v>2448.5896625000005</c:v>
                </c:pt>
                <c:pt idx="122">
                  <c:v>2448.5896625000005</c:v>
                </c:pt>
                <c:pt idx="123">
                  <c:v>2448.5896625000005</c:v>
                </c:pt>
                <c:pt idx="124">
                  <c:v>2448.5896625000005</c:v>
                </c:pt>
                <c:pt idx="125">
                  <c:v>2448.5896625000005</c:v>
                </c:pt>
                <c:pt idx="126">
                  <c:v>2448.5896625000005</c:v>
                </c:pt>
                <c:pt idx="127">
                  <c:v>2448.5896625000005</c:v>
                </c:pt>
                <c:pt idx="128">
                  <c:v>2448.5896625000005</c:v>
                </c:pt>
                <c:pt idx="129">
                  <c:v>2448.5896625000005</c:v>
                </c:pt>
                <c:pt idx="130">
                  <c:v>2448.5896625000005</c:v>
                </c:pt>
                <c:pt idx="131">
                  <c:v>2448.5896625000005</c:v>
                </c:pt>
                <c:pt idx="132">
                  <c:v>2448.5896625000005</c:v>
                </c:pt>
                <c:pt idx="133">
                  <c:v>2510.3534624999998</c:v>
                </c:pt>
                <c:pt idx="134">
                  <c:v>2510.3534624999998</c:v>
                </c:pt>
                <c:pt idx="135">
                  <c:v>2510.3534624999998</c:v>
                </c:pt>
                <c:pt idx="136">
                  <c:v>2510.3534624999998</c:v>
                </c:pt>
                <c:pt idx="137">
                  <c:v>2510.3534624999998</c:v>
                </c:pt>
                <c:pt idx="138">
                  <c:v>2510.3534624999998</c:v>
                </c:pt>
                <c:pt idx="139">
                  <c:v>2510.3534624999998</c:v>
                </c:pt>
                <c:pt idx="140">
                  <c:v>2510.3534624999998</c:v>
                </c:pt>
                <c:pt idx="141">
                  <c:v>2510.3534624999998</c:v>
                </c:pt>
                <c:pt idx="142">
                  <c:v>2510.3534624999998</c:v>
                </c:pt>
                <c:pt idx="143">
                  <c:v>2510.3534624999998</c:v>
                </c:pt>
                <c:pt idx="144">
                  <c:v>2510.3534624999998</c:v>
                </c:pt>
                <c:pt idx="145">
                  <c:v>2510.3534624999998</c:v>
                </c:pt>
                <c:pt idx="146">
                  <c:v>2510.3534624999998</c:v>
                </c:pt>
                <c:pt idx="147">
                  <c:v>2510.3534624999998</c:v>
                </c:pt>
                <c:pt idx="148">
                  <c:v>2510.3534624999998</c:v>
                </c:pt>
                <c:pt idx="149">
                  <c:v>2510.3534624999998</c:v>
                </c:pt>
                <c:pt idx="150">
                  <c:v>2510.3534624999998</c:v>
                </c:pt>
                <c:pt idx="151">
                  <c:v>2510.3534624999998</c:v>
                </c:pt>
                <c:pt idx="152">
                  <c:v>2510.3534624999998</c:v>
                </c:pt>
                <c:pt idx="153">
                  <c:v>2510.3534624999998</c:v>
                </c:pt>
                <c:pt idx="154">
                  <c:v>2510.3534624999998</c:v>
                </c:pt>
                <c:pt idx="155">
                  <c:v>2510.3534624999998</c:v>
                </c:pt>
                <c:pt idx="156">
                  <c:v>2510.3534624999998</c:v>
                </c:pt>
                <c:pt idx="157">
                  <c:v>2510.3534624999998</c:v>
                </c:pt>
                <c:pt idx="158">
                  <c:v>2510.3534624999998</c:v>
                </c:pt>
                <c:pt idx="159">
                  <c:v>3857.4978499999997</c:v>
                </c:pt>
                <c:pt idx="160">
                  <c:v>3857.4978499999997</c:v>
                </c:pt>
                <c:pt idx="161">
                  <c:v>3857.4978499999997</c:v>
                </c:pt>
                <c:pt idx="162">
                  <c:v>3857.4978499999997</c:v>
                </c:pt>
                <c:pt idx="163">
                  <c:v>3857.4978499999997</c:v>
                </c:pt>
                <c:pt idx="164">
                  <c:v>3857.4978499999997</c:v>
                </c:pt>
                <c:pt idx="165">
                  <c:v>3857.4978499999997</c:v>
                </c:pt>
                <c:pt idx="166">
                  <c:v>3857.4978499999997</c:v>
                </c:pt>
                <c:pt idx="167">
                  <c:v>3857.4978499999997</c:v>
                </c:pt>
                <c:pt idx="168">
                  <c:v>3857.4978499999997</c:v>
                </c:pt>
                <c:pt idx="169">
                  <c:v>3857.4978499999997</c:v>
                </c:pt>
                <c:pt idx="170">
                  <c:v>3857.4978499999997</c:v>
                </c:pt>
                <c:pt idx="171">
                  <c:v>3857.4978499999997</c:v>
                </c:pt>
                <c:pt idx="172">
                  <c:v>3857.4978499999997</c:v>
                </c:pt>
                <c:pt idx="173">
                  <c:v>3857.4978499999997</c:v>
                </c:pt>
                <c:pt idx="174">
                  <c:v>3857.4978499999997</c:v>
                </c:pt>
                <c:pt idx="175">
                  <c:v>3857.4978499999997</c:v>
                </c:pt>
                <c:pt idx="176">
                  <c:v>3857.4978499999997</c:v>
                </c:pt>
                <c:pt idx="177">
                  <c:v>3857.4978499999997</c:v>
                </c:pt>
                <c:pt idx="178">
                  <c:v>3857.4978499999997</c:v>
                </c:pt>
                <c:pt idx="179">
                  <c:v>3857.4978499999997</c:v>
                </c:pt>
                <c:pt idx="180">
                  <c:v>3857.4978499999997</c:v>
                </c:pt>
                <c:pt idx="181">
                  <c:v>3857.4978499999997</c:v>
                </c:pt>
                <c:pt idx="182">
                  <c:v>3857.4978499999997</c:v>
                </c:pt>
                <c:pt idx="183">
                  <c:v>3857.4978499999997</c:v>
                </c:pt>
                <c:pt idx="184">
                  <c:v>3857.4978499999997</c:v>
                </c:pt>
                <c:pt idx="185">
                  <c:v>2061.8515625</c:v>
                </c:pt>
                <c:pt idx="186">
                  <c:v>2061.8515625</c:v>
                </c:pt>
                <c:pt idx="187">
                  <c:v>2061.8515625</c:v>
                </c:pt>
                <c:pt idx="188">
                  <c:v>2061.8515625</c:v>
                </c:pt>
                <c:pt idx="189">
                  <c:v>2061.8515625</c:v>
                </c:pt>
                <c:pt idx="190">
                  <c:v>2061.8515625</c:v>
                </c:pt>
                <c:pt idx="191">
                  <c:v>2061.8515625</c:v>
                </c:pt>
                <c:pt idx="192">
                  <c:v>2061.8515625</c:v>
                </c:pt>
                <c:pt idx="193">
                  <c:v>2061.8515625</c:v>
                </c:pt>
                <c:pt idx="194">
                  <c:v>2061.8515625</c:v>
                </c:pt>
                <c:pt idx="195">
                  <c:v>2061.8515625</c:v>
                </c:pt>
                <c:pt idx="196">
                  <c:v>2061.8515625</c:v>
                </c:pt>
                <c:pt idx="197">
                  <c:v>2061.8515625</c:v>
                </c:pt>
                <c:pt idx="198">
                  <c:v>2061.8515625</c:v>
                </c:pt>
                <c:pt idx="199">
                  <c:v>2061.8515625</c:v>
                </c:pt>
                <c:pt idx="200">
                  <c:v>2061.8515625</c:v>
                </c:pt>
                <c:pt idx="201">
                  <c:v>2061.8515625</c:v>
                </c:pt>
                <c:pt idx="202">
                  <c:v>2061.8515625</c:v>
                </c:pt>
                <c:pt idx="203">
                  <c:v>2061.8515625</c:v>
                </c:pt>
                <c:pt idx="204">
                  <c:v>2061.8515625</c:v>
                </c:pt>
                <c:pt idx="205">
                  <c:v>2061.8515625</c:v>
                </c:pt>
                <c:pt idx="206">
                  <c:v>2061.8515625</c:v>
                </c:pt>
                <c:pt idx="207">
                  <c:v>2061.8515625</c:v>
                </c:pt>
                <c:pt idx="208">
                  <c:v>2061.8515625</c:v>
                </c:pt>
                <c:pt idx="209">
                  <c:v>2061.8515625</c:v>
                </c:pt>
                <c:pt idx="210">
                  <c:v>2061.8515625</c:v>
                </c:pt>
                <c:pt idx="211">
                  <c:v>2964.2404625000004</c:v>
                </c:pt>
                <c:pt idx="212">
                  <c:v>2964.2404625000004</c:v>
                </c:pt>
                <c:pt idx="213">
                  <c:v>2964.2404625000004</c:v>
                </c:pt>
                <c:pt idx="214">
                  <c:v>2964.2404625000004</c:v>
                </c:pt>
                <c:pt idx="215">
                  <c:v>2964.2404625000004</c:v>
                </c:pt>
                <c:pt idx="216">
                  <c:v>2964.2404625000004</c:v>
                </c:pt>
                <c:pt idx="217">
                  <c:v>2964.2404625000004</c:v>
                </c:pt>
                <c:pt idx="218">
                  <c:v>2964.2404625000004</c:v>
                </c:pt>
                <c:pt idx="219">
                  <c:v>2964.2404625000004</c:v>
                </c:pt>
                <c:pt idx="220">
                  <c:v>2964.2404625000004</c:v>
                </c:pt>
                <c:pt idx="221">
                  <c:v>2964.2404625000004</c:v>
                </c:pt>
                <c:pt idx="222">
                  <c:v>2964.2404625000004</c:v>
                </c:pt>
                <c:pt idx="223">
                  <c:v>2964.2404625000004</c:v>
                </c:pt>
                <c:pt idx="224">
                  <c:v>2964.2404625000004</c:v>
                </c:pt>
                <c:pt idx="225">
                  <c:v>2964.2404625000004</c:v>
                </c:pt>
                <c:pt idx="226">
                  <c:v>2964.2404625000004</c:v>
                </c:pt>
                <c:pt idx="227">
                  <c:v>2964.2404625000004</c:v>
                </c:pt>
                <c:pt idx="228">
                  <c:v>2964.2404625000004</c:v>
                </c:pt>
                <c:pt idx="229">
                  <c:v>2964.2404625000004</c:v>
                </c:pt>
                <c:pt idx="230">
                  <c:v>2964.2404625000004</c:v>
                </c:pt>
                <c:pt idx="231">
                  <c:v>2964.2404625000004</c:v>
                </c:pt>
                <c:pt idx="232">
                  <c:v>2964.2404625000004</c:v>
                </c:pt>
                <c:pt idx="233">
                  <c:v>2964.2404625000004</c:v>
                </c:pt>
                <c:pt idx="234">
                  <c:v>2964.2404625000004</c:v>
                </c:pt>
                <c:pt idx="235">
                  <c:v>2964.2404625000004</c:v>
                </c:pt>
                <c:pt idx="236">
                  <c:v>2964.2404625000004</c:v>
                </c:pt>
                <c:pt idx="237">
                  <c:v>7348.0415625000005</c:v>
                </c:pt>
                <c:pt idx="238">
                  <c:v>7348.0415625000005</c:v>
                </c:pt>
                <c:pt idx="239">
                  <c:v>7348.0415625000005</c:v>
                </c:pt>
                <c:pt idx="240">
                  <c:v>7348.0415625000005</c:v>
                </c:pt>
                <c:pt idx="241">
                  <c:v>7348.0415625000005</c:v>
                </c:pt>
                <c:pt idx="242">
                  <c:v>7348.0415625000005</c:v>
                </c:pt>
                <c:pt idx="243">
                  <c:v>7348.0415625000005</c:v>
                </c:pt>
                <c:pt idx="244">
                  <c:v>7348.0415625000005</c:v>
                </c:pt>
                <c:pt idx="245">
                  <c:v>7348.0415625000005</c:v>
                </c:pt>
                <c:pt idx="246">
                  <c:v>7348.0415625000005</c:v>
                </c:pt>
                <c:pt idx="247">
                  <c:v>7348.0415625000005</c:v>
                </c:pt>
                <c:pt idx="248">
                  <c:v>7348.0415625000005</c:v>
                </c:pt>
                <c:pt idx="249">
                  <c:v>7348.0415625000005</c:v>
                </c:pt>
                <c:pt idx="250">
                  <c:v>7348.0415625000005</c:v>
                </c:pt>
                <c:pt idx="251">
                  <c:v>7348.0415625000005</c:v>
                </c:pt>
                <c:pt idx="252">
                  <c:v>7348.0415625000005</c:v>
                </c:pt>
                <c:pt idx="253">
                  <c:v>7348.0415625000005</c:v>
                </c:pt>
                <c:pt idx="254">
                  <c:v>7348.0415625000005</c:v>
                </c:pt>
                <c:pt idx="255">
                  <c:v>7348.0415625000005</c:v>
                </c:pt>
                <c:pt idx="256">
                  <c:v>7348.0415625000005</c:v>
                </c:pt>
                <c:pt idx="257">
                  <c:v>7348.0415625000005</c:v>
                </c:pt>
                <c:pt idx="258">
                  <c:v>7348.0415625000005</c:v>
                </c:pt>
                <c:pt idx="259">
                  <c:v>7348.0415625000005</c:v>
                </c:pt>
                <c:pt idx="260">
                  <c:v>7348.0415625000005</c:v>
                </c:pt>
                <c:pt idx="261">
                  <c:v>7348.0415625000005</c:v>
                </c:pt>
                <c:pt idx="262">
                  <c:v>7348.0415625000005</c:v>
                </c:pt>
                <c:pt idx="263">
                  <c:v>826.60696250000024</c:v>
                </c:pt>
                <c:pt idx="264">
                  <c:v>826.60696250000024</c:v>
                </c:pt>
                <c:pt idx="265">
                  <c:v>826.60696250000024</c:v>
                </c:pt>
                <c:pt idx="266">
                  <c:v>826.60696250000024</c:v>
                </c:pt>
                <c:pt idx="267">
                  <c:v>826.60696250000024</c:v>
                </c:pt>
                <c:pt idx="268">
                  <c:v>826.60696250000024</c:v>
                </c:pt>
                <c:pt idx="269">
                  <c:v>826.60696250000024</c:v>
                </c:pt>
                <c:pt idx="270">
                  <c:v>826.60696250000024</c:v>
                </c:pt>
                <c:pt idx="271">
                  <c:v>826.60696250000024</c:v>
                </c:pt>
                <c:pt idx="272">
                  <c:v>826.60696250000024</c:v>
                </c:pt>
                <c:pt idx="273">
                  <c:v>826.60696250000024</c:v>
                </c:pt>
                <c:pt idx="274">
                  <c:v>826.60696250000024</c:v>
                </c:pt>
                <c:pt idx="275">
                  <c:v>826.60696250000024</c:v>
                </c:pt>
                <c:pt idx="276">
                  <c:v>826.60696250000024</c:v>
                </c:pt>
                <c:pt idx="277">
                  <c:v>826.60696250000024</c:v>
                </c:pt>
                <c:pt idx="278">
                  <c:v>826.60696250000024</c:v>
                </c:pt>
                <c:pt idx="279">
                  <c:v>826.60696250000024</c:v>
                </c:pt>
                <c:pt idx="280">
                  <c:v>826.60696250000024</c:v>
                </c:pt>
                <c:pt idx="281">
                  <c:v>826.60696250000024</c:v>
                </c:pt>
                <c:pt idx="282">
                  <c:v>826.60696250000024</c:v>
                </c:pt>
                <c:pt idx="283">
                  <c:v>826.60696250000024</c:v>
                </c:pt>
                <c:pt idx="284">
                  <c:v>826.60696250000024</c:v>
                </c:pt>
                <c:pt idx="285">
                  <c:v>826.60696250000024</c:v>
                </c:pt>
                <c:pt idx="286">
                  <c:v>826.60696250000024</c:v>
                </c:pt>
                <c:pt idx="287">
                  <c:v>826.60696250000024</c:v>
                </c:pt>
                <c:pt idx="288">
                  <c:v>826.60696250000024</c:v>
                </c:pt>
              </c:numCache>
            </c:numRef>
          </c:xVal>
          <c:yVal>
            <c:numRef>
              <c:f>Makera1!$L$2:$L$362</c:f>
              <c:numCache>
                <c:formatCode>General</c:formatCode>
                <c:ptCount val="361"/>
                <c:pt idx="0">
                  <c:v>0.28144134681824501</c:v>
                </c:pt>
                <c:pt idx="1">
                  <c:v>0.24182750580400977</c:v>
                </c:pt>
                <c:pt idx="2">
                  <c:v>0.12458083228403055</c:v>
                </c:pt>
                <c:pt idx="3">
                  <c:v>6.2745131021107056E-2</c:v>
                </c:pt>
                <c:pt idx="4">
                  <c:v>3.5737472774821179E-2</c:v>
                </c:pt>
                <c:pt idx="5">
                  <c:v>2.3541657221179128E-2</c:v>
                </c:pt>
                <c:pt idx="6">
                  <c:v>1.7858319462092979E-2</c:v>
                </c:pt>
                <c:pt idx="7">
                  <c:v>1.2512431145748697E-2</c:v>
                </c:pt>
                <c:pt idx="8">
                  <c:v>0</c:v>
                </c:pt>
                <c:pt idx="9">
                  <c:v>0</c:v>
                </c:pt>
                <c:pt idx="10">
                  <c:v>3.2255930131676698E-3</c:v>
                </c:pt>
                <c:pt idx="11">
                  <c:v>3.2255930131676698E-3</c:v>
                </c:pt>
                <c:pt idx="12">
                  <c:v>0.19456075478005688</c:v>
                </c:pt>
                <c:pt idx="13">
                  <c:v>0.3121588173176183</c:v>
                </c:pt>
                <c:pt idx="14">
                  <c:v>0.46636453926262761</c:v>
                </c:pt>
                <c:pt idx="15">
                  <c:v>0.91145822413591537</c:v>
                </c:pt>
                <c:pt idx="16">
                  <c:v>1.1553188013357081</c:v>
                </c:pt>
                <c:pt idx="17">
                  <c:v>1.4747057875191596</c:v>
                </c:pt>
                <c:pt idx="18">
                  <c:v>1.6563932906654624</c:v>
                </c:pt>
                <c:pt idx="19">
                  <c:v>1.8874030851597954</c:v>
                </c:pt>
                <c:pt idx="20">
                  <c:v>1.7317944184375986</c:v>
                </c:pt>
                <c:pt idx="21">
                  <c:v>1.6377891379730571</c:v>
                </c:pt>
                <c:pt idx="22">
                  <c:v>1.5462267566156309</c:v>
                </c:pt>
                <c:pt idx="23">
                  <c:v>1.4046983481329403</c:v>
                </c:pt>
                <c:pt idx="24">
                  <c:v>1.3361841831165884</c:v>
                </c:pt>
                <c:pt idx="25">
                  <c:v>1.2857670135228156</c:v>
                </c:pt>
                <c:pt idx="26">
                  <c:v>1.1394170085778461</c:v>
                </c:pt>
                <c:pt idx="27">
                  <c:v>0.12427283461445045</c:v>
                </c:pt>
                <c:pt idx="28">
                  <c:v>8.323690973379072E-2</c:v>
                </c:pt>
                <c:pt idx="29">
                  <c:v>4.0579458383891397E-2</c:v>
                </c:pt>
                <c:pt idx="30">
                  <c:v>2.4527809258520793E-2</c:v>
                </c:pt>
                <c:pt idx="31">
                  <c:v>1.9568688913206296E-2</c:v>
                </c:pt>
                <c:pt idx="32">
                  <c:v>1.9568688913206296E-2</c:v>
                </c:pt>
                <c:pt idx="33">
                  <c:v>1.4847089132278234E-2</c:v>
                </c:pt>
                <c:pt idx="34">
                  <c:v>2.6831025050456088E-3</c:v>
                </c:pt>
                <c:pt idx="35">
                  <c:v>0</c:v>
                </c:pt>
                <c:pt idx="36">
                  <c:v>2.6831025050456088E-3</c:v>
                </c:pt>
                <c:pt idx="37">
                  <c:v>6.307063422796323E-3</c:v>
                </c:pt>
                <c:pt idx="38">
                  <c:v>0</c:v>
                </c:pt>
                <c:pt idx="39">
                  <c:v>1.9568688913206296E-2</c:v>
                </c:pt>
                <c:pt idx="40">
                  <c:v>0.13145540194371413</c:v>
                </c:pt>
                <c:pt idx="41">
                  <c:v>0.31032650998491457</c:v>
                </c:pt>
                <c:pt idx="42">
                  <c:v>0.85387346854750379</c:v>
                </c:pt>
                <c:pt idx="43">
                  <c:v>1.1135975613390339</c:v>
                </c:pt>
                <c:pt idx="44">
                  <c:v>1.2969631916985538</c:v>
                </c:pt>
                <c:pt idx="45">
                  <c:v>1.239294421495202</c:v>
                </c:pt>
                <c:pt idx="46">
                  <c:v>1.239294421495202</c:v>
                </c:pt>
                <c:pt idx="47">
                  <c:v>1.3855836409571802</c:v>
                </c:pt>
                <c:pt idx="48">
                  <c:v>1.3262194179090656</c:v>
                </c:pt>
                <c:pt idx="49">
                  <c:v>1.1687745817402679</c:v>
                </c:pt>
                <c:pt idx="50">
                  <c:v>1.0328719687322032</c:v>
                </c:pt>
                <c:pt idx="51">
                  <c:v>0.87865108807953318</c:v>
                </c:pt>
                <c:pt idx="52">
                  <c:v>0.72227033329155821</c:v>
                </c:pt>
                <c:pt idx="53">
                  <c:v>0.54487563779762227</c:v>
                </c:pt>
                <c:pt idx="54">
                  <c:v>0.49662492858607382</c:v>
                </c:pt>
                <c:pt idx="55">
                  <c:v>0.30881995153078595</c:v>
                </c:pt>
                <c:pt idx="56">
                  <c:v>0.14300032930932985</c:v>
                </c:pt>
                <c:pt idx="57">
                  <c:v>7.1524610442974645E-2</c:v>
                </c:pt>
                <c:pt idx="58">
                  <c:v>0</c:v>
                </c:pt>
                <c:pt idx="59">
                  <c:v>9.4258029916008207E-2</c:v>
                </c:pt>
                <c:pt idx="60">
                  <c:v>0.14300032930932985</c:v>
                </c:pt>
                <c:pt idx="61">
                  <c:v>0</c:v>
                </c:pt>
                <c:pt idx="62">
                  <c:v>7.1524610442974645E-2</c:v>
                </c:pt>
                <c:pt idx="63">
                  <c:v>0.22270423856648228</c:v>
                </c:pt>
                <c:pt idx="64">
                  <c:v>0.250757040657206</c:v>
                </c:pt>
                <c:pt idx="65">
                  <c:v>0.11812932017774769</c:v>
                </c:pt>
                <c:pt idx="66">
                  <c:v>0.22270423856648228</c:v>
                </c:pt>
                <c:pt idx="67">
                  <c:v>0.66651207029822856</c:v>
                </c:pt>
                <c:pt idx="68">
                  <c:v>0.63165024641754564</c:v>
                </c:pt>
                <c:pt idx="69">
                  <c:v>1.0762630048392543</c:v>
                </c:pt>
                <c:pt idx="70">
                  <c:v>1.2771512905358284</c:v>
                </c:pt>
                <c:pt idx="71">
                  <c:v>1.7484030932061347</c:v>
                </c:pt>
                <c:pt idx="72">
                  <c:v>1.9752883497489988</c:v>
                </c:pt>
                <c:pt idx="73">
                  <c:v>2.3057447418113695</c:v>
                </c:pt>
                <c:pt idx="74">
                  <c:v>3.3298792119425031</c:v>
                </c:pt>
                <c:pt idx="75">
                  <c:v>2.8031652732416807</c:v>
                </c:pt>
                <c:pt idx="76">
                  <c:v>2.7013241710461724</c:v>
                </c:pt>
                <c:pt idx="77">
                  <c:v>3.0628831786263246</c:v>
                </c:pt>
                <c:pt idx="78">
                  <c:v>3.2222091458740483</c:v>
                </c:pt>
                <c:pt idx="79">
                  <c:v>2.9581208730109325</c:v>
                </c:pt>
                <c:pt idx="80">
                  <c:v>2.550765174151413</c:v>
                </c:pt>
                <c:pt idx="81">
                  <c:v>0.32981100461636603</c:v>
                </c:pt>
                <c:pt idx="82">
                  <c:v>0.23374203320837567</c:v>
                </c:pt>
                <c:pt idx="83">
                  <c:v>0.15694980258232485</c:v>
                </c:pt>
                <c:pt idx="84">
                  <c:v>0.10684451965934537</c:v>
                </c:pt>
                <c:pt idx="85">
                  <c:v>7.0127808340287076E-2</c:v>
                </c:pt>
                <c:pt idx="86">
                  <c:v>4.4976226231132677E-2</c:v>
                </c:pt>
                <c:pt idx="87">
                  <c:v>2.9622558017339897E-2</c:v>
                </c:pt>
                <c:pt idx="88">
                  <c:v>2.2469294616543286E-2</c:v>
                </c:pt>
                <c:pt idx="89">
                  <c:v>9.5400525337005371E-3</c:v>
                </c:pt>
                <c:pt idx="90">
                  <c:v>9.5400525337005371E-3</c:v>
                </c:pt>
                <c:pt idx="91">
                  <c:v>9.5400525337005371E-3</c:v>
                </c:pt>
                <c:pt idx="92">
                  <c:v>1.5741784918043032E-2</c:v>
                </c:pt>
                <c:pt idx="93">
                  <c:v>0</c:v>
                </c:pt>
                <c:pt idx="94">
                  <c:v>0.1674694009722883</c:v>
                </c:pt>
                <c:pt idx="95">
                  <c:v>0.92402174205483389</c:v>
                </c:pt>
                <c:pt idx="96">
                  <c:v>2.1114165496784847</c:v>
                </c:pt>
                <c:pt idx="97">
                  <c:v>2.7550577197940802</c:v>
                </c:pt>
                <c:pt idx="98">
                  <c:v>2.6461489995839091</c:v>
                </c:pt>
                <c:pt idx="99">
                  <c:v>2.4611082722393389</c:v>
                </c:pt>
                <c:pt idx="100">
                  <c:v>2.4095105486006867</c:v>
                </c:pt>
                <c:pt idx="101">
                  <c:v>2.5395574793783959</c:v>
                </c:pt>
                <c:pt idx="102">
                  <c:v>2.3839202842810816</c:v>
                </c:pt>
                <c:pt idx="103">
                  <c:v>2.2829352799454705</c:v>
                </c:pt>
                <c:pt idx="104">
                  <c:v>1.9695465015697624</c:v>
                </c:pt>
                <c:pt idx="105">
                  <c:v>1.5712860287145465</c:v>
                </c:pt>
                <c:pt idx="106">
                  <c:v>1.1744894481801693</c:v>
                </c:pt>
                <c:pt idx="107">
                  <c:v>8.6639132350648627</c:v>
                </c:pt>
                <c:pt idx="108">
                  <c:v>8.5986799493862769</c:v>
                </c:pt>
                <c:pt idx="109">
                  <c:v>8.4048278338060207</c:v>
                </c:pt>
                <c:pt idx="110">
                  <c:v>8.213714945023181</c:v>
                </c:pt>
                <c:pt idx="111">
                  <c:v>8.0878079472376641</c:v>
                </c:pt>
                <c:pt idx="112">
                  <c:v>7.9011702018094949</c:v>
                </c:pt>
                <c:pt idx="113">
                  <c:v>7.9011702018094949</c:v>
                </c:pt>
                <c:pt idx="114">
                  <c:v>7.7782099232479878</c:v>
                </c:pt>
                <c:pt idx="115">
                  <c:v>7.7171649602735206</c:v>
                </c:pt>
                <c:pt idx="116">
                  <c:v>7.6564082350657952</c:v>
                </c:pt>
                <c:pt idx="117">
                  <c:v>7.6564082350657952</c:v>
                </c:pt>
                <c:pt idx="118">
                  <c:v>7.7171649602735206</c:v>
                </c:pt>
                <c:pt idx="119">
                  <c:v>10.326494428162063</c:v>
                </c:pt>
                <c:pt idx="120">
                  <c:v>17.188169141599161</c:v>
                </c:pt>
                <c:pt idx="121">
                  <c:v>25.698984413526627</c:v>
                </c:pt>
                <c:pt idx="122">
                  <c:v>26.638966562147004</c:v>
                </c:pt>
                <c:pt idx="123">
                  <c:v>27.944390677888947</c:v>
                </c:pt>
                <c:pt idx="124">
                  <c:v>30.022008180472035</c:v>
                </c:pt>
                <c:pt idx="125">
                  <c:v>28.449965481738523</c:v>
                </c:pt>
                <c:pt idx="126">
                  <c:v>26.164904461114912</c:v>
                </c:pt>
                <c:pt idx="127">
                  <c:v>23.485292575537997</c:v>
                </c:pt>
                <c:pt idx="128">
                  <c:v>22.925874927777112</c:v>
                </c:pt>
                <c:pt idx="129">
                  <c:v>21.976274610484147</c:v>
                </c:pt>
                <c:pt idx="130">
                  <c:v>19.815857183084894</c:v>
                </c:pt>
                <c:pt idx="131">
                  <c:v>17.513209015364744</c:v>
                </c:pt>
                <c:pt idx="132">
                  <c:v>16.242749326722794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7.6988283966889929E-3</c:v>
                </c:pt>
                <c:pt idx="146">
                  <c:v>0.27721954985089531</c:v>
                </c:pt>
                <c:pt idx="147">
                  <c:v>1.5709138544091055</c:v>
                </c:pt>
                <c:pt idx="148">
                  <c:v>4.1491392029741982</c:v>
                </c:pt>
                <c:pt idx="149">
                  <c:v>7.0077330533285815</c:v>
                </c:pt>
                <c:pt idx="150">
                  <c:v>8.5512120456599892</c:v>
                </c:pt>
                <c:pt idx="151">
                  <c:v>8.4859013739202069</c:v>
                </c:pt>
                <c:pt idx="152">
                  <c:v>8.3562052386184664</c:v>
                </c:pt>
                <c:pt idx="153">
                  <c:v>6.7203495325949083</c:v>
                </c:pt>
                <c:pt idx="154">
                  <c:v>6.1115677407173221</c:v>
                </c:pt>
                <c:pt idx="155">
                  <c:v>5.4827547270088903</c:v>
                </c:pt>
                <c:pt idx="156">
                  <c:v>4.6047878421638435</c:v>
                </c:pt>
                <c:pt idx="157">
                  <c:v>3.6312149055856855</c:v>
                </c:pt>
                <c:pt idx="158">
                  <c:v>2.6485135783952849</c:v>
                </c:pt>
                <c:pt idx="159">
                  <c:v>1.3626213206593905</c:v>
                </c:pt>
                <c:pt idx="160">
                  <c:v>0.99519989808517273</c:v>
                </c:pt>
                <c:pt idx="161">
                  <c:v>0.65990988757017588</c:v>
                </c:pt>
                <c:pt idx="162">
                  <c:v>0.4126474676099014</c:v>
                </c:pt>
                <c:pt idx="163">
                  <c:v>0.19532394658991967</c:v>
                </c:pt>
                <c:pt idx="164">
                  <c:v>9.2009472285630237E-2</c:v>
                </c:pt>
                <c:pt idx="165">
                  <c:v>3.9043464612532101E-2</c:v>
                </c:pt>
                <c:pt idx="166">
                  <c:v>2.3670593232232914E-2</c:v>
                </c:pt>
                <c:pt idx="167">
                  <c:v>1.0070962063683736E-2</c:v>
                </c:pt>
                <c:pt idx="168">
                  <c:v>0</c:v>
                </c:pt>
                <c:pt idx="169">
                  <c:v>0</c:v>
                </c:pt>
                <c:pt idx="170">
                  <c:v>1.0070962063683736E-2</c:v>
                </c:pt>
                <c:pt idx="171">
                  <c:v>0.3868793249349376</c:v>
                </c:pt>
                <c:pt idx="172">
                  <c:v>1.1918165145355195</c:v>
                </c:pt>
                <c:pt idx="173">
                  <c:v>3.0301368769537715</c:v>
                </c:pt>
                <c:pt idx="174">
                  <c:v>4.9959212914811992</c:v>
                </c:pt>
                <c:pt idx="175">
                  <c:v>6.5409637506867817</c:v>
                </c:pt>
                <c:pt idx="176">
                  <c:v>8.4822529462074652</c:v>
                </c:pt>
                <c:pt idx="177">
                  <c:v>10.762430305857924</c:v>
                </c:pt>
                <c:pt idx="178">
                  <c:v>11.481380360675931</c:v>
                </c:pt>
                <c:pt idx="179">
                  <c:v>8.0069960685398911</c:v>
                </c:pt>
                <c:pt idx="180">
                  <c:v>6.7857059362307774</c:v>
                </c:pt>
                <c:pt idx="181">
                  <c:v>5.603313822016359</c:v>
                </c:pt>
                <c:pt idx="182">
                  <c:v>4.265265906452723</c:v>
                </c:pt>
                <c:pt idx="183">
                  <c:v>2.8976092308902781</c:v>
                </c:pt>
                <c:pt idx="184">
                  <c:v>1.79729065314073</c:v>
                </c:pt>
                <c:pt idx="185">
                  <c:v>4.2493376206634741</c:v>
                </c:pt>
                <c:pt idx="186">
                  <c:v>4.1750702721084432</c:v>
                </c:pt>
                <c:pt idx="187">
                  <c:v>4.0284919119092804</c:v>
                </c:pt>
                <c:pt idx="188">
                  <c:v>3.9561716178788937</c:v>
                </c:pt>
                <c:pt idx="189">
                  <c:v>3.8844911984843691</c:v>
                </c:pt>
                <c:pt idx="190">
                  <c:v>3.8134462204594652</c:v>
                </c:pt>
                <c:pt idx="191">
                  <c:v>3.8134462204594652</c:v>
                </c:pt>
                <c:pt idx="192">
                  <c:v>3.7781606592162262</c:v>
                </c:pt>
                <c:pt idx="193">
                  <c:v>3.7430323333644084</c:v>
                </c:pt>
                <c:pt idx="194">
                  <c:v>3.6385854851654371</c:v>
                </c:pt>
                <c:pt idx="195">
                  <c:v>3.6385854851654371</c:v>
                </c:pt>
                <c:pt idx="196">
                  <c:v>3.6385854851654371</c:v>
                </c:pt>
                <c:pt idx="197">
                  <c:v>5.8356009754322464</c:v>
                </c:pt>
                <c:pt idx="198">
                  <c:v>8.8684627498867954</c:v>
                </c:pt>
                <c:pt idx="199">
                  <c:v>13.130984972746484</c:v>
                </c:pt>
                <c:pt idx="200">
                  <c:v>15.256191294574815</c:v>
                </c:pt>
                <c:pt idx="201">
                  <c:v>15.874929767253393</c:v>
                </c:pt>
                <c:pt idx="202">
                  <c:v>15.874929767253393</c:v>
                </c:pt>
                <c:pt idx="203">
                  <c:v>15.785249681751688</c:v>
                </c:pt>
                <c:pt idx="204">
                  <c:v>15.169494270071285</c:v>
                </c:pt>
                <c:pt idx="205">
                  <c:v>13.917571793815862</c:v>
                </c:pt>
                <c:pt idx="206">
                  <c:v>13.998285629436788</c:v>
                </c:pt>
                <c:pt idx="207">
                  <c:v>12.978040066148351</c:v>
                </c:pt>
                <c:pt idx="208">
                  <c:v>11.04583017191672</c:v>
                </c:pt>
                <c:pt idx="209">
                  <c:v>9.6987540353957211</c:v>
                </c:pt>
                <c:pt idx="210">
                  <c:v>9.0420661057424923</c:v>
                </c:pt>
                <c:pt idx="211">
                  <c:v>0.93524492088080835</c:v>
                </c:pt>
                <c:pt idx="212">
                  <c:v>0.73523559232827529</c:v>
                </c:pt>
                <c:pt idx="213">
                  <c:v>0.61678099822503607</c:v>
                </c:pt>
                <c:pt idx="214">
                  <c:v>0.52586212273954935</c:v>
                </c:pt>
                <c:pt idx="215">
                  <c:v>0.46003675784321779</c:v>
                </c:pt>
                <c:pt idx="216">
                  <c:v>0.39634886207838765</c:v>
                </c:pt>
                <c:pt idx="217">
                  <c:v>0.37561571497685342</c:v>
                </c:pt>
                <c:pt idx="218">
                  <c:v>0.31498227880962543</c:v>
                </c:pt>
                <c:pt idx="219">
                  <c:v>0.29531506501574101</c:v>
                </c:pt>
                <c:pt idx="220">
                  <c:v>0.29531506501574101</c:v>
                </c:pt>
                <c:pt idx="221">
                  <c:v>0.27593241486759623</c:v>
                </c:pt>
                <c:pt idx="222">
                  <c:v>0.27593241486759623</c:v>
                </c:pt>
                <c:pt idx="223">
                  <c:v>8.5028524622893661E-2</c:v>
                </c:pt>
                <c:pt idx="224">
                  <c:v>4.2528087629015075E-2</c:v>
                </c:pt>
                <c:pt idx="225">
                  <c:v>0</c:v>
                </c:pt>
                <c:pt idx="226">
                  <c:v>0</c:v>
                </c:pt>
                <c:pt idx="227">
                  <c:v>7.6884093611648777E-3</c:v>
                </c:pt>
                <c:pt idx="228">
                  <c:v>4.2528087629015075E-2</c:v>
                </c:pt>
                <c:pt idx="229">
                  <c:v>8.5028524622893661E-2</c:v>
                </c:pt>
                <c:pt idx="230">
                  <c:v>0.13242298947630238</c:v>
                </c:pt>
                <c:pt idx="231">
                  <c:v>0.61678099822503607</c:v>
                </c:pt>
                <c:pt idx="232">
                  <c:v>0.54826069281736312</c:v>
                </c:pt>
                <c:pt idx="233">
                  <c:v>0.64005311410730181</c:v>
                </c:pt>
                <c:pt idx="234">
                  <c:v>0.85877245927383927</c:v>
                </c:pt>
                <c:pt idx="235">
                  <c:v>1.202398328646302</c:v>
                </c:pt>
                <c:pt idx="236">
                  <c:v>1.0933130561216922</c:v>
                </c:pt>
                <c:pt idx="237">
                  <c:v>8.9552368439235952</c:v>
                </c:pt>
                <c:pt idx="238">
                  <c:v>7.9271405868516167</c:v>
                </c:pt>
                <c:pt idx="239">
                  <c:v>7.269314151642722</c:v>
                </c:pt>
                <c:pt idx="240">
                  <c:v>6.7377542242844326</c:v>
                </c:pt>
                <c:pt idx="241">
                  <c:v>6.3233041557562304</c:v>
                </c:pt>
                <c:pt idx="242">
                  <c:v>6.0187334037749292</c:v>
                </c:pt>
                <c:pt idx="243">
                  <c:v>5.8186615354131712</c:v>
                </c:pt>
                <c:pt idx="244">
                  <c:v>5.6209657022479664</c:v>
                </c:pt>
                <c:pt idx="245">
                  <c:v>5.5230079469891775</c:v>
                </c:pt>
                <c:pt idx="246">
                  <c:v>5.3288715613174906</c:v>
                </c:pt>
                <c:pt idx="247">
                  <c:v>5.2326926330574768</c:v>
                </c:pt>
                <c:pt idx="248">
                  <c:v>5.1371064540988689</c:v>
                </c:pt>
                <c:pt idx="249">
                  <c:v>4.3035297526794407</c:v>
                </c:pt>
                <c:pt idx="250">
                  <c:v>3.7746271020684237</c:v>
                </c:pt>
                <c:pt idx="251">
                  <c:v>3.185028263282446</c:v>
                </c:pt>
                <c:pt idx="252">
                  <c:v>2.4714619554296227</c:v>
                </c:pt>
                <c:pt idx="253">
                  <c:v>1.9524803251713041</c:v>
                </c:pt>
                <c:pt idx="254">
                  <c:v>1.4005789032318918</c:v>
                </c:pt>
                <c:pt idx="255">
                  <c:v>0.95733902107608704</c:v>
                </c:pt>
                <c:pt idx="256">
                  <c:v>0.50412174190663761</c:v>
                </c:pt>
                <c:pt idx="257">
                  <c:v>0.1697403454113505</c:v>
                </c:pt>
                <c:pt idx="258">
                  <c:v>0</c:v>
                </c:pt>
                <c:pt idx="259">
                  <c:v>0</c:v>
                </c:pt>
                <c:pt idx="260">
                  <c:v>0.1697403454113505</c:v>
                </c:pt>
                <c:pt idx="261">
                  <c:v>0.78007441407268918</c:v>
                </c:pt>
                <c:pt idx="262">
                  <c:v>1.6021599566701714</c:v>
                </c:pt>
                <c:pt idx="263">
                  <c:v>3.2286569894153773E-2</c:v>
                </c:pt>
                <c:pt idx="264">
                  <c:v>1.3673949244318038E-2</c:v>
                </c:pt>
                <c:pt idx="265">
                  <c:v>3.5225551725168876E-3</c:v>
                </c:pt>
                <c:pt idx="266">
                  <c:v>3.5225551725168876E-3</c:v>
                </c:pt>
                <c:pt idx="267">
                  <c:v>0</c:v>
                </c:pt>
                <c:pt idx="268">
                  <c:v>3.5225551725168876E-3</c:v>
                </c:pt>
                <c:pt idx="269">
                  <c:v>8.2846659274533208E-3</c:v>
                </c:pt>
                <c:pt idx="270">
                  <c:v>1.3673949244318038E-2</c:v>
                </c:pt>
                <c:pt idx="271">
                  <c:v>4.6188622355570884E-2</c:v>
                </c:pt>
                <c:pt idx="272">
                  <c:v>7.6691449351583882E-2</c:v>
                </c:pt>
                <c:pt idx="273">
                  <c:v>9.3086905964948882E-2</c:v>
                </c:pt>
                <c:pt idx="274">
                  <c:v>0.12785644652744579</c:v>
                </c:pt>
                <c:pt idx="275">
                  <c:v>0.65649501929607945</c:v>
                </c:pt>
                <c:pt idx="276">
                  <c:v>1.0813162165755779</c:v>
                </c:pt>
                <c:pt idx="277">
                  <c:v>2.1227721126833763</c:v>
                </c:pt>
                <c:pt idx="278">
                  <c:v>3.1450871796644928</c:v>
                </c:pt>
                <c:pt idx="279">
                  <c:v>3.754259334096274</c:v>
                </c:pt>
                <c:pt idx="280">
                  <c:v>4.1783682448909518</c:v>
                </c:pt>
                <c:pt idx="281">
                  <c:v>4.2522618779151653</c:v>
                </c:pt>
                <c:pt idx="282">
                  <c:v>4.2895655558796273</c:v>
                </c:pt>
                <c:pt idx="283">
                  <c:v>4.5575249805464377</c:v>
                </c:pt>
                <c:pt idx="284">
                  <c:v>4.3648957396748731</c:v>
                </c:pt>
                <c:pt idx="285">
                  <c:v>4.0333860861904798</c:v>
                </c:pt>
                <c:pt idx="286">
                  <c:v>3.5539884209945285</c:v>
                </c:pt>
                <c:pt idx="287">
                  <c:v>3.1753759499054994</c:v>
                </c:pt>
                <c:pt idx="288">
                  <c:v>2.9094395721229827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F-4D74-A099-AF5813917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354543"/>
        <c:axId val="698340143"/>
      </c:scatterChart>
      <c:valAx>
        <c:axId val="69835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698340143"/>
        <c:crosses val="autoZero"/>
        <c:crossBetween val="midCat"/>
      </c:valAx>
      <c:valAx>
        <c:axId val="69834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698354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212725</xdr:colOff>
      <xdr:row>11</xdr:row>
      <xdr:rowOff>101600</xdr:rowOff>
    </xdr:from>
    <xdr:to>
      <xdr:col>8</xdr:col>
      <xdr:colOff>688975</xdr:colOff>
      <xdr:row>26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49BDA-26FF-D669-4F04-F2A8FCDB8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2346-2CC6-4FF4-B144-D72C74A62E1A}">
  <dimension ref="A1:F1247"/>
  <sheetViews>
    <sheetView workbookViewId="0">
      <selection sqref="A1:F1"/>
    </sheetView>
  </sheetViews>
  <sheetFormatPr defaultRowHeight="14.5" x14ac:dyDescent="0.35"/>
  <cols>
    <col min="1" max="1" width="15.08984375" style="6" bestFit="1" customWidth="1"/>
  </cols>
  <sheetData>
    <row r="1" spans="1:6" x14ac:dyDescent="0.35">
      <c r="A1" s="6" t="s">
        <v>0</v>
      </c>
      <c r="B1" t="s">
        <v>1</v>
      </c>
      <c r="C1" t="s">
        <v>53</v>
      </c>
      <c r="D1" t="s">
        <v>2</v>
      </c>
      <c r="E1" t="s">
        <v>3</v>
      </c>
      <c r="F1" t="s">
        <v>4</v>
      </c>
    </row>
    <row r="2" spans="1:6" x14ac:dyDescent="0.35">
      <c r="A2" s="6">
        <v>44777</v>
      </c>
      <c r="B2" s="3">
        <v>0.14583333333333334</v>
      </c>
      <c r="C2" s="4" t="s">
        <v>13</v>
      </c>
      <c r="D2" s="4" t="s">
        <v>13</v>
      </c>
      <c r="E2">
        <v>0.755</v>
      </c>
      <c r="F2" t="s">
        <v>6</v>
      </c>
    </row>
    <row r="3" spans="1:6" x14ac:dyDescent="0.35">
      <c r="A3" s="6">
        <v>44777</v>
      </c>
      <c r="B3" s="3">
        <v>0.14583333333333334</v>
      </c>
      <c r="C3" t="s">
        <v>8</v>
      </c>
      <c r="D3" t="s">
        <v>8</v>
      </c>
      <c r="E3">
        <v>0.65200000000000002</v>
      </c>
      <c r="F3" t="s">
        <v>6</v>
      </c>
    </row>
    <row r="4" spans="1:6" x14ac:dyDescent="0.35">
      <c r="A4" s="6">
        <v>44777</v>
      </c>
      <c r="B4" s="3">
        <v>0.14583333333333334</v>
      </c>
      <c r="C4" s="4" t="s">
        <v>12</v>
      </c>
      <c r="D4" s="4" t="s">
        <v>12</v>
      </c>
      <c r="E4">
        <v>0.70399999999999996</v>
      </c>
      <c r="F4" t="s">
        <v>6</v>
      </c>
    </row>
    <row r="5" spans="1:6" x14ac:dyDescent="0.35">
      <c r="A5" s="6">
        <v>44777</v>
      </c>
      <c r="B5" s="3">
        <v>0.14583333333333334</v>
      </c>
      <c r="C5" t="s">
        <v>9</v>
      </c>
      <c r="D5" t="s">
        <v>9</v>
      </c>
      <c r="E5">
        <v>0.75600000000000001</v>
      </c>
      <c r="F5" t="s">
        <v>6</v>
      </c>
    </row>
    <row r="6" spans="1:6" x14ac:dyDescent="0.35">
      <c r="A6" s="6">
        <v>44777</v>
      </c>
      <c r="B6" s="3">
        <v>0.14583333333333334</v>
      </c>
      <c r="C6" t="s">
        <v>5</v>
      </c>
      <c r="D6" t="s">
        <v>5</v>
      </c>
      <c r="E6">
        <v>0.69799999999999995</v>
      </c>
      <c r="F6" t="s">
        <v>6</v>
      </c>
    </row>
    <row r="7" spans="1:6" x14ac:dyDescent="0.35">
      <c r="A7" s="6">
        <v>44777</v>
      </c>
      <c r="B7" s="3">
        <v>0.14583333333333334</v>
      </c>
      <c r="C7" t="s">
        <v>11</v>
      </c>
      <c r="D7" t="s">
        <v>11</v>
      </c>
      <c r="E7">
        <v>0.69199999999999995</v>
      </c>
      <c r="F7" t="s">
        <v>6</v>
      </c>
    </row>
    <row r="8" spans="1:6" x14ac:dyDescent="0.35">
      <c r="A8" s="6">
        <v>44777</v>
      </c>
      <c r="B8" s="3">
        <v>0.14583333333333334</v>
      </c>
      <c r="C8" s="4" t="s">
        <v>10</v>
      </c>
      <c r="D8" s="4" t="s">
        <v>7</v>
      </c>
      <c r="E8">
        <v>1.083</v>
      </c>
      <c r="F8" t="s">
        <v>6</v>
      </c>
    </row>
    <row r="9" spans="1:6" x14ac:dyDescent="0.35">
      <c r="A9" s="6">
        <v>44777</v>
      </c>
      <c r="B9" s="3">
        <v>0.14583333333333334</v>
      </c>
      <c r="C9" t="s">
        <v>7</v>
      </c>
      <c r="D9" t="s">
        <v>7</v>
      </c>
      <c r="E9">
        <v>0.51100000000000001</v>
      </c>
      <c r="F9" t="s">
        <v>6</v>
      </c>
    </row>
    <row r="10" spans="1:6" x14ac:dyDescent="0.35">
      <c r="A10" s="6">
        <v>44777</v>
      </c>
      <c r="B10" s="3">
        <v>0.16666666666666666</v>
      </c>
      <c r="C10" s="4" t="s">
        <v>13</v>
      </c>
      <c r="D10" s="4" t="s">
        <v>13</v>
      </c>
      <c r="E10">
        <v>0.78500000000000003</v>
      </c>
      <c r="F10" t="s">
        <v>6</v>
      </c>
    </row>
    <row r="11" spans="1:6" x14ac:dyDescent="0.35">
      <c r="A11" s="6">
        <v>44777</v>
      </c>
      <c r="B11" s="3">
        <v>0.16666666666666666</v>
      </c>
      <c r="C11" t="s">
        <v>8</v>
      </c>
      <c r="D11" t="s">
        <v>8</v>
      </c>
      <c r="E11">
        <v>0.67100000000000004</v>
      </c>
      <c r="F11" t="s">
        <v>6</v>
      </c>
    </row>
    <row r="12" spans="1:6" x14ac:dyDescent="0.35">
      <c r="A12" s="6">
        <v>44777</v>
      </c>
      <c r="B12" s="3">
        <v>0.16666666666666666</v>
      </c>
      <c r="C12" s="4" t="s">
        <v>12</v>
      </c>
      <c r="D12" s="4" t="s">
        <v>12</v>
      </c>
      <c r="E12">
        <v>0.72799999999999998</v>
      </c>
      <c r="F12" t="s">
        <v>6</v>
      </c>
    </row>
    <row r="13" spans="1:6" x14ac:dyDescent="0.35">
      <c r="A13" s="6">
        <v>44777</v>
      </c>
      <c r="B13" s="3">
        <v>0.16666666666666666</v>
      </c>
      <c r="C13" t="s">
        <v>9</v>
      </c>
      <c r="D13" t="s">
        <v>9</v>
      </c>
      <c r="E13">
        <v>0.78600000000000003</v>
      </c>
      <c r="F13" t="s">
        <v>6</v>
      </c>
    </row>
    <row r="14" spans="1:6" x14ac:dyDescent="0.35">
      <c r="A14" s="6">
        <v>44777</v>
      </c>
      <c r="B14" s="3">
        <v>0.16666666666666666</v>
      </c>
      <c r="C14" t="s">
        <v>5</v>
      </c>
      <c r="D14" t="s">
        <v>5</v>
      </c>
      <c r="E14">
        <v>0.71399999999999997</v>
      </c>
      <c r="F14" t="s">
        <v>6</v>
      </c>
    </row>
    <row r="15" spans="1:6" x14ac:dyDescent="0.35">
      <c r="A15" s="6">
        <v>44777</v>
      </c>
      <c r="B15" s="3">
        <v>0.16666666666666666</v>
      </c>
      <c r="C15" t="s">
        <v>11</v>
      </c>
      <c r="D15" t="s">
        <v>11</v>
      </c>
      <c r="E15">
        <v>0.70799999999999996</v>
      </c>
      <c r="F15" t="s">
        <v>6</v>
      </c>
    </row>
    <row r="16" spans="1:6" x14ac:dyDescent="0.35">
      <c r="A16" s="6">
        <v>44777</v>
      </c>
      <c r="B16" s="3">
        <v>0.16666666666666666</v>
      </c>
      <c r="C16" s="4" t="s">
        <v>10</v>
      </c>
      <c r="D16" t="s">
        <v>7</v>
      </c>
      <c r="E16">
        <v>1.1220000000000001</v>
      </c>
      <c r="F16" t="s">
        <v>6</v>
      </c>
    </row>
    <row r="17" spans="1:6" x14ac:dyDescent="0.35">
      <c r="A17" s="6">
        <v>44777</v>
      </c>
      <c r="B17" s="3">
        <v>0.16666666666666666</v>
      </c>
      <c r="C17" t="s">
        <v>7</v>
      </c>
      <c r="D17" t="s">
        <v>7</v>
      </c>
      <c r="E17">
        <v>0.53800000000000003</v>
      </c>
      <c r="F17" t="s">
        <v>6</v>
      </c>
    </row>
    <row r="18" spans="1:6" x14ac:dyDescent="0.35">
      <c r="A18" s="6">
        <v>44777</v>
      </c>
      <c r="B18" s="3">
        <v>0.1875</v>
      </c>
      <c r="C18" s="4" t="s">
        <v>13</v>
      </c>
      <c r="D18" s="4" t="s">
        <v>13</v>
      </c>
      <c r="E18">
        <v>0.80100000000000005</v>
      </c>
      <c r="F18" t="s">
        <v>6</v>
      </c>
    </row>
    <row r="19" spans="1:6" x14ac:dyDescent="0.35">
      <c r="A19" s="6">
        <v>44777</v>
      </c>
      <c r="B19" s="3">
        <v>0.1875</v>
      </c>
      <c r="C19" t="s">
        <v>8</v>
      </c>
      <c r="D19" t="s">
        <v>8</v>
      </c>
      <c r="E19">
        <v>0.68200000000000005</v>
      </c>
      <c r="F19" t="s">
        <v>6</v>
      </c>
    </row>
    <row r="20" spans="1:6" x14ac:dyDescent="0.35">
      <c r="A20" s="6">
        <v>44777</v>
      </c>
      <c r="B20" s="3">
        <v>0.1875</v>
      </c>
      <c r="C20" s="4" t="s">
        <v>12</v>
      </c>
      <c r="D20" s="4" t="s">
        <v>12</v>
      </c>
      <c r="E20">
        <v>0.74</v>
      </c>
      <c r="F20" t="s">
        <v>6</v>
      </c>
    </row>
    <row r="21" spans="1:6" x14ac:dyDescent="0.35">
      <c r="A21" s="6">
        <v>44777</v>
      </c>
      <c r="B21" s="3">
        <v>0.1875</v>
      </c>
      <c r="C21" t="s">
        <v>9</v>
      </c>
      <c r="D21" t="s">
        <v>9</v>
      </c>
      <c r="E21">
        <v>0.80300000000000005</v>
      </c>
      <c r="F21" t="s">
        <v>6</v>
      </c>
    </row>
    <row r="22" spans="1:6" x14ac:dyDescent="0.35">
      <c r="A22" s="6">
        <v>44777</v>
      </c>
      <c r="B22" s="3">
        <v>0.1875</v>
      </c>
      <c r="C22" t="s">
        <v>5</v>
      </c>
      <c r="D22" t="s">
        <v>5</v>
      </c>
      <c r="E22">
        <v>0.72299999999999998</v>
      </c>
      <c r="F22" t="s">
        <v>6</v>
      </c>
    </row>
    <row r="23" spans="1:6" x14ac:dyDescent="0.35">
      <c r="A23" s="6">
        <v>44777</v>
      </c>
      <c r="B23" s="3">
        <v>0.1875</v>
      </c>
      <c r="C23" t="s">
        <v>11</v>
      </c>
      <c r="D23" t="s">
        <v>11</v>
      </c>
      <c r="E23">
        <v>0.71699999999999997</v>
      </c>
      <c r="F23" t="s">
        <v>6</v>
      </c>
    </row>
    <row r="24" spans="1:6" x14ac:dyDescent="0.35">
      <c r="A24" s="6">
        <v>44777</v>
      </c>
      <c r="B24" s="3">
        <v>0.1875</v>
      </c>
      <c r="C24" s="4" t="s">
        <v>10</v>
      </c>
      <c r="D24" t="s">
        <v>7</v>
      </c>
      <c r="E24">
        <v>1.141</v>
      </c>
      <c r="F24" t="s">
        <v>6</v>
      </c>
    </row>
    <row r="25" spans="1:6" x14ac:dyDescent="0.35">
      <c r="A25" s="6">
        <v>44777</v>
      </c>
      <c r="B25" s="3">
        <v>0.1875</v>
      </c>
      <c r="C25" t="s">
        <v>7</v>
      </c>
      <c r="D25" t="s">
        <v>7</v>
      </c>
      <c r="E25">
        <v>0.55700000000000005</v>
      </c>
      <c r="F25" t="s">
        <v>6</v>
      </c>
    </row>
    <row r="26" spans="1:6" x14ac:dyDescent="0.35">
      <c r="A26" s="6">
        <v>44777</v>
      </c>
      <c r="B26" s="3">
        <v>0.20833333333333334</v>
      </c>
      <c r="C26" s="4" t="s">
        <v>13</v>
      </c>
      <c r="D26" s="4" t="s">
        <v>13</v>
      </c>
      <c r="E26">
        <v>0.81</v>
      </c>
      <c r="F26" t="s">
        <v>6</v>
      </c>
    </row>
    <row r="27" spans="1:6" x14ac:dyDescent="0.35">
      <c r="A27" s="6">
        <v>44777</v>
      </c>
      <c r="B27" s="3">
        <v>0.20833333333333334</v>
      </c>
      <c r="C27" t="s">
        <v>8</v>
      </c>
      <c r="D27" t="s">
        <v>8</v>
      </c>
      <c r="E27">
        <v>0.68899999999999995</v>
      </c>
      <c r="F27" t="s">
        <v>6</v>
      </c>
    </row>
    <row r="28" spans="1:6" x14ac:dyDescent="0.35">
      <c r="A28" s="6">
        <v>44777</v>
      </c>
      <c r="B28" s="3">
        <v>0.20833333333333334</v>
      </c>
      <c r="C28" s="4" t="s">
        <v>12</v>
      </c>
      <c r="D28" s="4" t="s">
        <v>12</v>
      </c>
      <c r="E28">
        <v>0.747</v>
      </c>
      <c r="F28" t="s">
        <v>6</v>
      </c>
    </row>
    <row r="29" spans="1:6" x14ac:dyDescent="0.35">
      <c r="A29" s="6">
        <v>44777</v>
      </c>
      <c r="B29" s="3">
        <v>0.20833333333333334</v>
      </c>
      <c r="C29" t="s">
        <v>9</v>
      </c>
      <c r="D29" t="s">
        <v>9</v>
      </c>
      <c r="E29">
        <v>0.81399999999999995</v>
      </c>
      <c r="F29" t="s">
        <v>6</v>
      </c>
    </row>
    <row r="30" spans="1:6" x14ac:dyDescent="0.35">
      <c r="A30" s="6">
        <v>44777</v>
      </c>
      <c r="B30" s="3">
        <v>0.20833333333333334</v>
      </c>
      <c r="C30" t="s">
        <v>5</v>
      </c>
      <c r="D30" t="s">
        <v>5</v>
      </c>
      <c r="E30">
        <v>0.72799999999999998</v>
      </c>
      <c r="F30" t="s">
        <v>6</v>
      </c>
    </row>
    <row r="31" spans="1:6" x14ac:dyDescent="0.35">
      <c r="A31" s="6">
        <v>44777</v>
      </c>
      <c r="B31" s="3">
        <v>0.20833333333333334</v>
      </c>
      <c r="C31" t="s">
        <v>11</v>
      </c>
      <c r="D31" t="s">
        <v>11</v>
      </c>
      <c r="E31">
        <v>0.72199999999999998</v>
      </c>
      <c r="F31" t="s">
        <v>6</v>
      </c>
    </row>
    <row r="32" spans="1:6" x14ac:dyDescent="0.35">
      <c r="A32" s="6">
        <v>44777</v>
      </c>
      <c r="B32" s="3">
        <v>0.20833333333333334</v>
      </c>
      <c r="C32" s="4" t="s">
        <v>10</v>
      </c>
      <c r="D32" t="s">
        <v>7</v>
      </c>
      <c r="E32">
        <v>1.1519999999999999</v>
      </c>
      <c r="F32" t="s">
        <v>6</v>
      </c>
    </row>
    <row r="33" spans="1:6" x14ac:dyDescent="0.35">
      <c r="A33" s="6">
        <v>44777</v>
      </c>
      <c r="B33" s="3">
        <v>0.20833333333333334</v>
      </c>
      <c r="C33" t="s">
        <v>7</v>
      </c>
      <c r="D33" t="s">
        <v>7</v>
      </c>
      <c r="E33">
        <v>0.57099999999999995</v>
      </c>
      <c r="F33" t="s">
        <v>6</v>
      </c>
    </row>
    <row r="34" spans="1:6" x14ac:dyDescent="0.35">
      <c r="A34" s="6">
        <v>44777</v>
      </c>
      <c r="B34" s="3">
        <v>0.22916666666666666</v>
      </c>
      <c r="C34" s="4" t="s">
        <v>13</v>
      </c>
      <c r="D34" s="4" t="s">
        <v>13</v>
      </c>
      <c r="E34">
        <v>0.81599999999999995</v>
      </c>
      <c r="F34" t="s">
        <v>6</v>
      </c>
    </row>
    <row r="35" spans="1:6" x14ac:dyDescent="0.35">
      <c r="A35" s="6">
        <v>44777</v>
      </c>
      <c r="B35" s="3">
        <v>0.22916666666666666</v>
      </c>
      <c r="C35" t="s">
        <v>8</v>
      </c>
      <c r="D35" t="s">
        <v>8</v>
      </c>
      <c r="E35">
        <v>0.69199999999999995</v>
      </c>
      <c r="F35" t="s">
        <v>6</v>
      </c>
    </row>
    <row r="36" spans="1:6" x14ac:dyDescent="0.35">
      <c r="A36" s="6">
        <v>44777</v>
      </c>
      <c r="B36" s="3">
        <v>0.22916666666666666</v>
      </c>
      <c r="C36" s="4" t="s">
        <v>12</v>
      </c>
      <c r="D36" s="4" t="s">
        <v>12</v>
      </c>
      <c r="E36">
        <v>0.752</v>
      </c>
      <c r="F36" t="s">
        <v>6</v>
      </c>
    </row>
    <row r="37" spans="1:6" x14ac:dyDescent="0.35">
      <c r="A37" s="6">
        <v>44777</v>
      </c>
      <c r="B37" s="3">
        <v>0.22916666666666666</v>
      </c>
      <c r="C37" t="s">
        <v>9</v>
      </c>
      <c r="D37" t="s">
        <v>9</v>
      </c>
      <c r="E37">
        <v>0.82099999999999995</v>
      </c>
      <c r="F37" t="s">
        <v>6</v>
      </c>
    </row>
    <row r="38" spans="1:6" x14ac:dyDescent="0.35">
      <c r="A38" s="6">
        <v>44777</v>
      </c>
      <c r="B38" s="3">
        <v>0.22916666666666666</v>
      </c>
      <c r="C38" t="s">
        <v>5</v>
      </c>
      <c r="D38" t="s">
        <v>5</v>
      </c>
      <c r="E38">
        <v>0.73099999999999998</v>
      </c>
      <c r="F38" t="s">
        <v>6</v>
      </c>
    </row>
    <row r="39" spans="1:6" x14ac:dyDescent="0.35">
      <c r="A39" s="6">
        <v>44777</v>
      </c>
      <c r="B39" s="3">
        <v>0.22916666666666666</v>
      </c>
      <c r="C39" t="s">
        <v>11</v>
      </c>
      <c r="D39" t="s">
        <v>11</v>
      </c>
      <c r="E39">
        <v>0.72499999999999998</v>
      </c>
      <c r="F39" t="s">
        <v>6</v>
      </c>
    </row>
    <row r="40" spans="1:6" x14ac:dyDescent="0.35">
      <c r="A40" s="6">
        <v>44777</v>
      </c>
      <c r="B40" s="3">
        <v>0.22916666666666666</v>
      </c>
      <c r="C40" s="4" t="s">
        <v>10</v>
      </c>
      <c r="D40" t="s">
        <v>7</v>
      </c>
      <c r="E40">
        <v>1.159</v>
      </c>
      <c r="F40" t="s">
        <v>6</v>
      </c>
    </row>
    <row r="41" spans="1:6" x14ac:dyDescent="0.35">
      <c r="A41" s="6">
        <v>44777</v>
      </c>
      <c r="B41" s="3">
        <v>0.22916666666666666</v>
      </c>
      <c r="C41" t="s">
        <v>7</v>
      </c>
      <c r="D41" t="s">
        <v>7</v>
      </c>
      <c r="E41">
        <v>0.58099999999999996</v>
      </c>
      <c r="F41" t="s">
        <v>6</v>
      </c>
    </row>
    <row r="42" spans="1:6" x14ac:dyDescent="0.35">
      <c r="A42" s="6">
        <v>44777</v>
      </c>
      <c r="B42" s="3">
        <v>0.3125</v>
      </c>
      <c r="C42" s="4" t="s">
        <v>13</v>
      </c>
      <c r="D42" s="4" t="s">
        <v>13</v>
      </c>
      <c r="E42">
        <v>0.73699999999999999</v>
      </c>
      <c r="F42" t="s">
        <v>6</v>
      </c>
    </row>
    <row r="43" spans="1:6" x14ac:dyDescent="0.35">
      <c r="A43" s="6">
        <v>44777</v>
      </c>
      <c r="B43" s="3">
        <v>0.3125</v>
      </c>
      <c r="C43" t="s">
        <v>8</v>
      </c>
      <c r="D43" t="s">
        <v>8</v>
      </c>
      <c r="E43">
        <v>0.68300000000000005</v>
      </c>
      <c r="F43" t="s">
        <v>6</v>
      </c>
    </row>
    <row r="44" spans="1:6" x14ac:dyDescent="0.35">
      <c r="A44" s="6">
        <v>44777</v>
      </c>
      <c r="B44" s="3">
        <v>0.3125</v>
      </c>
      <c r="C44" s="4" t="s">
        <v>12</v>
      </c>
      <c r="D44" s="4" t="s">
        <v>12</v>
      </c>
      <c r="E44">
        <v>0.80200000000000005</v>
      </c>
      <c r="F44" t="s">
        <v>6</v>
      </c>
    </row>
    <row r="45" spans="1:6" x14ac:dyDescent="0.35">
      <c r="A45" s="6">
        <v>44777</v>
      </c>
      <c r="B45" s="3">
        <v>0.3125</v>
      </c>
      <c r="C45" t="s">
        <v>9</v>
      </c>
      <c r="D45" t="s">
        <v>9</v>
      </c>
      <c r="E45">
        <v>0.81599999999999995</v>
      </c>
      <c r="F45" t="s">
        <v>6</v>
      </c>
    </row>
    <row r="46" spans="1:6" x14ac:dyDescent="0.35">
      <c r="A46" s="6">
        <v>44777</v>
      </c>
      <c r="B46" s="3">
        <v>0.3125</v>
      </c>
      <c r="C46" t="s">
        <v>5</v>
      </c>
      <c r="D46" t="s">
        <v>5</v>
      </c>
      <c r="E46">
        <v>0.72</v>
      </c>
      <c r="F46" t="s">
        <v>6</v>
      </c>
    </row>
    <row r="47" spans="1:6" x14ac:dyDescent="0.35">
      <c r="A47" s="6">
        <v>44777</v>
      </c>
      <c r="B47" s="3">
        <v>0.3125</v>
      </c>
      <c r="C47" t="s">
        <v>11</v>
      </c>
      <c r="D47" t="s">
        <v>11</v>
      </c>
      <c r="E47">
        <v>0.71799999999999997</v>
      </c>
      <c r="F47" t="s">
        <v>6</v>
      </c>
    </row>
    <row r="48" spans="1:6" x14ac:dyDescent="0.35">
      <c r="A48" s="6">
        <v>44777</v>
      </c>
      <c r="B48" s="3">
        <v>0.3125</v>
      </c>
      <c r="C48" s="4" t="s">
        <v>10</v>
      </c>
      <c r="D48" t="s">
        <v>7</v>
      </c>
      <c r="E48">
        <v>1.153</v>
      </c>
      <c r="F48" t="s">
        <v>6</v>
      </c>
    </row>
    <row r="49" spans="1:6" x14ac:dyDescent="0.35">
      <c r="A49" s="6">
        <v>44777</v>
      </c>
      <c r="B49" s="3">
        <v>0.3125</v>
      </c>
      <c r="C49" t="s">
        <v>7</v>
      </c>
      <c r="D49" t="s">
        <v>7</v>
      </c>
      <c r="E49">
        <v>0.58799999999999997</v>
      </c>
      <c r="F49" t="s">
        <v>6</v>
      </c>
    </row>
    <row r="50" spans="1:6" x14ac:dyDescent="0.35">
      <c r="A50" s="6">
        <v>44777</v>
      </c>
      <c r="B50" s="3">
        <v>0.33333333333333331</v>
      </c>
      <c r="C50" s="4" t="s">
        <v>13</v>
      </c>
      <c r="D50" s="4" t="s">
        <v>13</v>
      </c>
      <c r="E50">
        <v>0.745</v>
      </c>
      <c r="F50" t="s">
        <v>6</v>
      </c>
    </row>
    <row r="51" spans="1:6" x14ac:dyDescent="0.35">
      <c r="A51" s="6">
        <v>44777</v>
      </c>
      <c r="B51" s="3">
        <v>0.33333333333333331</v>
      </c>
      <c r="C51" t="s">
        <v>8</v>
      </c>
      <c r="D51" t="s">
        <v>8</v>
      </c>
      <c r="E51">
        <v>0.66700000000000004</v>
      </c>
      <c r="F51" t="s">
        <v>6</v>
      </c>
    </row>
    <row r="52" spans="1:6" x14ac:dyDescent="0.35">
      <c r="A52" s="6">
        <v>44777</v>
      </c>
      <c r="B52" s="3">
        <v>0.33333333333333331</v>
      </c>
      <c r="C52" s="4" t="s">
        <v>12</v>
      </c>
      <c r="D52" s="4" t="s">
        <v>12</v>
      </c>
      <c r="E52">
        <v>0.82</v>
      </c>
      <c r="F52" t="s">
        <v>6</v>
      </c>
    </row>
    <row r="53" spans="1:6" x14ac:dyDescent="0.35">
      <c r="A53" s="6">
        <v>44777</v>
      </c>
      <c r="B53" s="3">
        <v>0.33333333333333331</v>
      </c>
      <c r="C53" t="s">
        <v>9</v>
      </c>
      <c r="D53" t="s">
        <v>9</v>
      </c>
      <c r="E53">
        <v>0.82899999999999996</v>
      </c>
      <c r="F53" t="s">
        <v>6</v>
      </c>
    </row>
    <row r="54" spans="1:6" x14ac:dyDescent="0.35">
      <c r="A54" s="6">
        <v>44777</v>
      </c>
      <c r="B54" s="3">
        <v>0.33333333333333331</v>
      </c>
      <c r="C54" t="s">
        <v>5</v>
      </c>
      <c r="D54" t="s">
        <v>5</v>
      </c>
      <c r="E54">
        <v>0.71099999999999997</v>
      </c>
      <c r="F54" t="s">
        <v>6</v>
      </c>
    </row>
    <row r="55" spans="1:6" x14ac:dyDescent="0.35">
      <c r="A55" s="6">
        <v>44777</v>
      </c>
      <c r="B55" s="3">
        <v>0.33333333333333331</v>
      </c>
      <c r="C55" t="s">
        <v>11</v>
      </c>
      <c r="D55" t="s">
        <v>11</v>
      </c>
      <c r="E55">
        <v>0.72099999999999997</v>
      </c>
      <c r="F55" t="s">
        <v>6</v>
      </c>
    </row>
    <row r="56" spans="1:6" x14ac:dyDescent="0.35">
      <c r="A56" s="6">
        <v>44777</v>
      </c>
      <c r="B56" s="3">
        <v>0.33333333333333331</v>
      </c>
      <c r="C56" s="4" t="s">
        <v>10</v>
      </c>
      <c r="D56" t="s">
        <v>7</v>
      </c>
      <c r="E56">
        <v>1.167</v>
      </c>
      <c r="F56" t="s">
        <v>6</v>
      </c>
    </row>
    <row r="57" spans="1:6" x14ac:dyDescent="0.35">
      <c r="A57" s="6">
        <v>44777</v>
      </c>
      <c r="B57" s="3">
        <v>0.33333333333333331</v>
      </c>
      <c r="C57" t="s">
        <v>7</v>
      </c>
      <c r="D57" t="s">
        <v>7</v>
      </c>
      <c r="E57">
        <v>0.6</v>
      </c>
      <c r="F57" t="s">
        <v>6</v>
      </c>
    </row>
    <row r="58" spans="1:6" x14ac:dyDescent="0.35">
      <c r="A58" s="6">
        <v>44777</v>
      </c>
      <c r="B58" s="3">
        <v>0.35416666666666669</v>
      </c>
      <c r="C58" s="4" t="s">
        <v>13</v>
      </c>
      <c r="D58" s="4" t="s">
        <v>13</v>
      </c>
      <c r="E58">
        <v>0.71099999999999997</v>
      </c>
      <c r="F58" t="s">
        <v>6</v>
      </c>
    </row>
    <row r="59" spans="1:6" x14ac:dyDescent="0.35">
      <c r="A59" s="6">
        <v>44777</v>
      </c>
      <c r="B59" s="3">
        <v>0.35416666666666669</v>
      </c>
      <c r="C59" t="s">
        <v>8</v>
      </c>
      <c r="D59" t="s">
        <v>8</v>
      </c>
      <c r="E59">
        <v>0.57899999999999996</v>
      </c>
      <c r="F59" t="s">
        <v>6</v>
      </c>
    </row>
    <row r="60" spans="1:6" x14ac:dyDescent="0.35">
      <c r="A60" s="6">
        <v>44777</v>
      </c>
      <c r="B60" s="3">
        <v>0.35416666666666669</v>
      </c>
      <c r="C60" s="4" t="s">
        <v>12</v>
      </c>
      <c r="D60" s="4" t="s">
        <v>12</v>
      </c>
      <c r="E60">
        <v>0.82599999999999996</v>
      </c>
      <c r="F60" t="s">
        <v>6</v>
      </c>
    </row>
    <row r="61" spans="1:6" x14ac:dyDescent="0.35">
      <c r="A61" s="6">
        <v>44777</v>
      </c>
      <c r="B61" s="3">
        <v>0.35416666666666669</v>
      </c>
      <c r="C61" t="s">
        <v>9</v>
      </c>
      <c r="D61" t="s">
        <v>9</v>
      </c>
      <c r="E61">
        <v>0.83899999999999997</v>
      </c>
      <c r="F61" t="s">
        <v>6</v>
      </c>
    </row>
    <row r="62" spans="1:6" x14ac:dyDescent="0.35">
      <c r="A62" s="6">
        <v>44777</v>
      </c>
      <c r="B62" s="3">
        <v>0.35416666666666669</v>
      </c>
      <c r="C62" t="s">
        <v>5</v>
      </c>
      <c r="D62" t="s">
        <v>5</v>
      </c>
      <c r="E62">
        <v>0.65</v>
      </c>
      <c r="F62" t="s">
        <v>6</v>
      </c>
    </row>
    <row r="63" spans="1:6" x14ac:dyDescent="0.35">
      <c r="A63" s="6">
        <v>44777</v>
      </c>
      <c r="B63" s="3">
        <v>0.35416666666666669</v>
      </c>
      <c r="C63" t="s">
        <v>11</v>
      </c>
      <c r="D63" t="s">
        <v>11</v>
      </c>
      <c r="E63">
        <v>0.65700000000000003</v>
      </c>
      <c r="F63" t="s">
        <v>6</v>
      </c>
    </row>
    <row r="64" spans="1:6" x14ac:dyDescent="0.35">
      <c r="A64" s="6">
        <v>44777</v>
      </c>
      <c r="B64" s="3">
        <v>0.35416666666666669</v>
      </c>
      <c r="C64" s="4" t="s">
        <v>10</v>
      </c>
      <c r="D64" t="s">
        <v>7</v>
      </c>
      <c r="E64">
        <v>1.173</v>
      </c>
      <c r="F64" t="s">
        <v>6</v>
      </c>
    </row>
    <row r="65" spans="1:6" x14ac:dyDescent="0.35">
      <c r="A65" s="6">
        <v>44777</v>
      </c>
      <c r="B65" s="3">
        <v>0.35416666666666669</v>
      </c>
      <c r="C65" t="s">
        <v>7</v>
      </c>
      <c r="D65" t="s">
        <v>7</v>
      </c>
      <c r="E65">
        <v>0.60399999999999998</v>
      </c>
      <c r="F65" t="s">
        <v>6</v>
      </c>
    </row>
    <row r="66" spans="1:6" x14ac:dyDescent="0.35">
      <c r="A66" s="6">
        <v>44777</v>
      </c>
      <c r="B66" s="3">
        <v>0.375</v>
      </c>
      <c r="C66" s="4" t="s">
        <v>13</v>
      </c>
      <c r="D66" s="4" t="s">
        <v>13</v>
      </c>
      <c r="E66">
        <v>0.60399999999999998</v>
      </c>
      <c r="F66" t="s">
        <v>6</v>
      </c>
    </row>
    <row r="67" spans="1:6" x14ac:dyDescent="0.35">
      <c r="A67" s="6">
        <v>44777</v>
      </c>
      <c r="B67" s="3">
        <v>0.375</v>
      </c>
      <c r="C67" t="s">
        <v>8</v>
      </c>
      <c r="D67" t="s">
        <v>8</v>
      </c>
      <c r="E67">
        <v>0.51400000000000001</v>
      </c>
      <c r="F67" t="s">
        <v>6</v>
      </c>
    </row>
    <row r="68" spans="1:6" x14ac:dyDescent="0.35">
      <c r="A68" s="6">
        <v>44777</v>
      </c>
      <c r="B68" s="3">
        <v>0.375</v>
      </c>
      <c r="C68" s="4" t="s">
        <v>12</v>
      </c>
      <c r="D68" s="4" t="s">
        <v>12</v>
      </c>
      <c r="E68">
        <v>0.82099999999999995</v>
      </c>
      <c r="F68" t="s">
        <v>6</v>
      </c>
    </row>
    <row r="69" spans="1:6" x14ac:dyDescent="0.35">
      <c r="A69" s="6">
        <v>44777</v>
      </c>
      <c r="B69" s="3">
        <v>0.375</v>
      </c>
      <c r="C69" t="s">
        <v>9</v>
      </c>
      <c r="D69" t="s">
        <v>9</v>
      </c>
      <c r="E69">
        <v>0.85199999999999998</v>
      </c>
      <c r="F69" t="s">
        <v>6</v>
      </c>
    </row>
    <row r="70" spans="1:6" x14ac:dyDescent="0.35">
      <c r="A70" s="6">
        <v>44777</v>
      </c>
      <c r="B70" s="3">
        <v>0.375</v>
      </c>
      <c r="C70" t="s">
        <v>5</v>
      </c>
      <c r="D70" t="s">
        <v>5</v>
      </c>
      <c r="E70">
        <v>0.57499999999999996</v>
      </c>
      <c r="F70" t="s">
        <v>6</v>
      </c>
    </row>
    <row r="71" spans="1:6" x14ac:dyDescent="0.35">
      <c r="A71" s="6">
        <v>44777</v>
      </c>
      <c r="B71" s="3">
        <v>0.375</v>
      </c>
      <c r="C71" t="s">
        <v>11</v>
      </c>
      <c r="D71" t="s">
        <v>11</v>
      </c>
      <c r="E71">
        <v>0.54500000000000004</v>
      </c>
      <c r="F71" t="s">
        <v>6</v>
      </c>
    </row>
    <row r="72" spans="1:6" x14ac:dyDescent="0.35">
      <c r="A72" s="6">
        <v>44777</v>
      </c>
      <c r="B72" s="3">
        <v>0.375</v>
      </c>
      <c r="C72" s="4" t="s">
        <v>10</v>
      </c>
      <c r="D72" t="s">
        <v>7</v>
      </c>
      <c r="E72">
        <v>1.17</v>
      </c>
      <c r="F72" t="s">
        <v>6</v>
      </c>
    </row>
    <row r="73" spans="1:6" x14ac:dyDescent="0.35">
      <c r="A73" s="6">
        <v>44777</v>
      </c>
      <c r="B73" s="3">
        <v>0.375</v>
      </c>
      <c r="C73" t="s">
        <v>7</v>
      </c>
      <c r="D73" t="s">
        <v>7</v>
      </c>
      <c r="E73">
        <v>0.58299999999999996</v>
      </c>
      <c r="F73" t="s">
        <v>6</v>
      </c>
    </row>
    <row r="74" spans="1:6" x14ac:dyDescent="0.35">
      <c r="A74" s="6">
        <v>44777</v>
      </c>
      <c r="B74" s="3">
        <v>0.39583333333333331</v>
      </c>
      <c r="C74" s="4" t="s">
        <v>13</v>
      </c>
      <c r="D74" s="4" t="s">
        <v>13</v>
      </c>
      <c r="E74">
        <v>0.56999999999999995</v>
      </c>
      <c r="F74" t="s">
        <v>6</v>
      </c>
    </row>
    <row r="75" spans="1:6" x14ac:dyDescent="0.35">
      <c r="A75" s="6">
        <v>44777</v>
      </c>
      <c r="B75" s="3">
        <v>0.39583333333333331</v>
      </c>
      <c r="C75" t="s">
        <v>8</v>
      </c>
      <c r="D75" t="s">
        <v>8</v>
      </c>
      <c r="E75">
        <v>0.51300000000000001</v>
      </c>
      <c r="F75" t="s">
        <v>6</v>
      </c>
    </row>
    <row r="76" spans="1:6" x14ac:dyDescent="0.35">
      <c r="A76" s="6">
        <v>44777</v>
      </c>
      <c r="B76" s="3">
        <v>0.39583333333333331</v>
      </c>
      <c r="C76" s="4" t="s">
        <v>12</v>
      </c>
      <c r="D76" s="4" t="s">
        <v>12</v>
      </c>
      <c r="E76">
        <v>0.80800000000000005</v>
      </c>
      <c r="F76" t="s">
        <v>6</v>
      </c>
    </row>
    <row r="77" spans="1:6" x14ac:dyDescent="0.35">
      <c r="A77" s="6">
        <v>44777</v>
      </c>
      <c r="B77" s="3">
        <v>0.39583333333333331</v>
      </c>
      <c r="C77" t="s">
        <v>9</v>
      </c>
      <c r="D77" t="s">
        <v>9</v>
      </c>
      <c r="E77">
        <v>0.86099999999999999</v>
      </c>
      <c r="F77" t="s">
        <v>6</v>
      </c>
    </row>
    <row r="78" spans="1:6" x14ac:dyDescent="0.35">
      <c r="A78" s="6">
        <v>44777</v>
      </c>
      <c r="B78" s="3">
        <v>0.39583333333333331</v>
      </c>
      <c r="C78" t="s">
        <v>5</v>
      </c>
      <c r="D78" t="s">
        <v>5</v>
      </c>
      <c r="E78">
        <v>0.56100000000000005</v>
      </c>
      <c r="F78" t="s">
        <v>6</v>
      </c>
    </row>
    <row r="79" spans="1:6" x14ac:dyDescent="0.35">
      <c r="A79" s="6">
        <v>44777</v>
      </c>
      <c r="B79" s="3">
        <v>0.39583333333333331</v>
      </c>
      <c r="C79" t="s">
        <v>11</v>
      </c>
      <c r="D79" t="s">
        <v>11</v>
      </c>
      <c r="E79">
        <v>0.52900000000000003</v>
      </c>
      <c r="F79" t="s">
        <v>6</v>
      </c>
    </row>
    <row r="80" spans="1:6" x14ac:dyDescent="0.35">
      <c r="A80" s="6">
        <v>44777</v>
      </c>
      <c r="B80" s="3">
        <v>0.39583333333333331</v>
      </c>
      <c r="C80" s="4" t="s">
        <v>10</v>
      </c>
      <c r="D80" t="s">
        <v>7</v>
      </c>
      <c r="E80">
        <v>1.1639999999999999</v>
      </c>
      <c r="F80" t="s">
        <v>6</v>
      </c>
    </row>
    <row r="81" spans="1:6" x14ac:dyDescent="0.35">
      <c r="A81" s="6">
        <v>44777</v>
      </c>
      <c r="B81" s="3">
        <v>0.39583333333333331</v>
      </c>
      <c r="C81" t="s">
        <v>7</v>
      </c>
      <c r="D81" t="s">
        <v>7</v>
      </c>
      <c r="E81">
        <v>0.53900000000000003</v>
      </c>
      <c r="F81" t="s">
        <v>6</v>
      </c>
    </row>
    <row r="82" spans="1:6" x14ac:dyDescent="0.35">
      <c r="A82" s="6">
        <v>44777</v>
      </c>
      <c r="B82" s="3">
        <v>0.41666666666666669</v>
      </c>
      <c r="C82" s="4" t="s">
        <v>13</v>
      </c>
      <c r="D82" s="4" t="s">
        <v>13</v>
      </c>
      <c r="E82">
        <v>0.55100000000000005</v>
      </c>
      <c r="F82" t="s">
        <v>6</v>
      </c>
    </row>
    <row r="83" spans="1:6" x14ac:dyDescent="0.35">
      <c r="A83" s="6">
        <v>44777</v>
      </c>
      <c r="B83" s="3">
        <v>0.41666666666666669</v>
      </c>
      <c r="C83" t="s">
        <v>8</v>
      </c>
      <c r="D83" t="s">
        <v>8</v>
      </c>
      <c r="E83">
        <v>0.502</v>
      </c>
      <c r="F83" t="s">
        <v>6</v>
      </c>
    </row>
    <row r="84" spans="1:6" x14ac:dyDescent="0.35">
      <c r="A84" s="6">
        <v>44777</v>
      </c>
      <c r="B84" s="3">
        <v>0.41666666666666669</v>
      </c>
      <c r="C84" s="4" t="s">
        <v>12</v>
      </c>
      <c r="D84" s="4" t="s">
        <v>12</v>
      </c>
      <c r="E84">
        <v>0.80500000000000005</v>
      </c>
      <c r="F84" t="s">
        <v>6</v>
      </c>
    </row>
    <row r="85" spans="1:6" x14ac:dyDescent="0.35">
      <c r="A85" s="6">
        <v>44777</v>
      </c>
      <c r="B85" s="3">
        <v>0.41666666666666669</v>
      </c>
      <c r="C85" t="s">
        <v>9</v>
      </c>
      <c r="D85" t="s">
        <v>9</v>
      </c>
      <c r="E85">
        <v>0.86299999999999999</v>
      </c>
      <c r="F85" t="s">
        <v>6</v>
      </c>
    </row>
    <row r="86" spans="1:6" x14ac:dyDescent="0.35">
      <c r="A86" s="6">
        <v>44777</v>
      </c>
      <c r="B86" s="3">
        <v>0.41666666666666669</v>
      </c>
      <c r="C86" t="s">
        <v>5</v>
      </c>
      <c r="D86" t="s">
        <v>5</v>
      </c>
      <c r="E86">
        <v>0.54600000000000004</v>
      </c>
      <c r="F86" t="s">
        <v>6</v>
      </c>
    </row>
    <row r="87" spans="1:6" x14ac:dyDescent="0.35">
      <c r="A87" s="6">
        <v>44777</v>
      </c>
      <c r="B87" s="3">
        <v>0.41666666666666669</v>
      </c>
      <c r="C87" t="s">
        <v>11</v>
      </c>
      <c r="D87" t="s">
        <v>11</v>
      </c>
      <c r="E87">
        <v>0.51700000000000002</v>
      </c>
      <c r="F87" t="s">
        <v>6</v>
      </c>
    </row>
    <row r="88" spans="1:6" x14ac:dyDescent="0.35">
      <c r="A88" s="6">
        <v>44777</v>
      </c>
      <c r="B88" s="3">
        <v>0.41666666666666669</v>
      </c>
      <c r="C88" s="4" t="s">
        <v>10</v>
      </c>
      <c r="D88" t="s">
        <v>7</v>
      </c>
      <c r="E88">
        <v>1.1559999999999999</v>
      </c>
      <c r="F88" t="s">
        <v>6</v>
      </c>
    </row>
    <row r="89" spans="1:6" x14ac:dyDescent="0.35">
      <c r="A89" s="6">
        <v>44777</v>
      </c>
      <c r="B89" s="3">
        <v>0.41666666666666669</v>
      </c>
      <c r="C89" t="s">
        <v>7</v>
      </c>
      <c r="D89" t="s">
        <v>7</v>
      </c>
      <c r="E89">
        <v>0.504</v>
      </c>
      <c r="F89" t="s">
        <v>6</v>
      </c>
    </row>
    <row r="90" spans="1:6" x14ac:dyDescent="0.35">
      <c r="A90" s="6">
        <v>44777</v>
      </c>
      <c r="B90" s="3">
        <v>0.4375</v>
      </c>
      <c r="C90" s="4" t="s">
        <v>13</v>
      </c>
      <c r="D90" s="4" t="s">
        <v>13</v>
      </c>
      <c r="E90">
        <v>0.54900000000000004</v>
      </c>
      <c r="F90" t="s">
        <v>6</v>
      </c>
    </row>
    <row r="91" spans="1:6" x14ac:dyDescent="0.35">
      <c r="A91" s="6">
        <v>44777</v>
      </c>
      <c r="B91" s="3">
        <v>0.4375</v>
      </c>
      <c r="C91" t="s">
        <v>8</v>
      </c>
      <c r="D91" t="s">
        <v>8</v>
      </c>
      <c r="E91">
        <v>0.5</v>
      </c>
      <c r="F91" t="s">
        <v>6</v>
      </c>
    </row>
    <row r="92" spans="1:6" x14ac:dyDescent="0.35">
      <c r="A92" s="6">
        <v>44777</v>
      </c>
      <c r="B92" s="3">
        <v>0.4375</v>
      </c>
      <c r="C92" s="4" t="s">
        <v>12</v>
      </c>
      <c r="D92" s="4" t="s">
        <v>12</v>
      </c>
      <c r="E92">
        <v>0.8</v>
      </c>
      <c r="F92" t="s">
        <v>6</v>
      </c>
    </row>
    <row r="93" spans="1:6" x14ac:dyDescent="0.35">
      <c r="A93" s="6">
        <v>44777</v>
      </c>
      <c r="B93" s="3">
        <v>0.4375</v>
      </c>
      <c r="C93" t="s">
        <v>9</v>
      </c>
      <c r="D93" t="s">
        <v>9</v>
      </c>
      <c r="E93">
        <v>0.86299999999999999</v>
      </c>
      <c r="F93" t="s">
        <v>6</v>
      </c>
    </row>
    <row r="94" spans="1:6" x14ac:dyDescent="0.35">
      <c r="A94" s="6">
        <v>44777</v>
      </c>
      <c r="B94" s="3">
        <v>0.4375</v>
      </c>
      <c r="C94" t="s">
        <v>5</v>
      </c>
      <c r="D94" t="s">
        <v>5</v>
      </c>
      <c r="E94">
        <v>0.54</v>
      </c>
      <c r="F94" t="s">
        <v>6</v>
      </c>
    </row>
    <row r="95" spans="1:6" x14ac:dyDescent="0.35">
      <c r="A95" s="6">
        <v>44777</v>
      </c>
      <c r="B95" s="3">
        <v>0.4375</v>
      </c>
      <c r="C95" t="s">
        <v>11</v>
      </c>
      <c r="D95" t="s">
        <v>11</v>
      </c>
      <c r="E95">
        <v>0.51800000000000002</v>
      </c>
      <c r="F95" t="s">
        <v>6</v>
      </c>
    </row>
    <row r="96" spans="1:6" x14ac:dyDescent="0.35">
      <c r="A96" s="6">
        <v>44777</v>
      </c>
      <c r="B96" s="3">
        <v>0.4375</v>
      </c>
      <c r="C96" s="4" t="s">
        <v>10</v>
      </c>
      <c r="D96" t="s">
        <v>7</v>
      </c>
      <c r="E96">
        <v>1.151</v>
      </c>
      <c r="F96" t="s">
        <v>6</v>
      </c>
    </row>
    <row r="97" spans="1:6" x14ac:dyDescent="0.35">
      <c r="A97" s="6">
        <v>44777</v>
      </c>
      <c r="B97" s="3">
        <v>0.4375</v>
      </c>
      <c r="C97" t="s">
        <v>7</v>
      </c>
      <c r="D97" t="s">
        <v>7</v>
      </c>
      <c r="E97">
        <v>0.47899999999999998</v>
      </c>
      <c r="F97" t="s">
        <v>6</v>
      </c>
    </row>
    <row r="98" spans="1:6" x14ac:dyDescent="0.35">
      <c r="A98" s="6">
        <v>44777</v>
      </c>
      <c r="B98" s="3">
        <v>0.45833333333333331</v>
      </c>
      <c r="C98" s="4" t="s">
        <v>13</v>
      </c>
      <c r="D98" s="4" t="s">
        <v>13</v>
      </c>
      <c r="E98">
        <v>0.53600000000000003</v>
      </c>
      <c r="F98" t="s">
        <v>6</v>
      </c>
    </row>
    <row r="99" spans="1:6" x14ac:dyDescent="0.35">
      <c r="A99" s="6">
        <v>44777</v>
      </c>
      <c r="B99" s="3">
        <v>0.45833333333333331</v>
      </c>
      <c r="C99" t="s">
        <v>8</v>
      </c>
      <c r="D99" t="s">
        <v>8</v>
      </c>
      <c r="E99">
        <v>0.49399999999999999</v>
      </c>
      <c r="F99" t="s">
        <v>6</v>
      </c>
    </row>
    <row r="100" spans="1:6" x14ac:dyDescent="0.35">
      <c r="A100" s="6">
        <v>44777</v>
      </c>
      <c r="B100" s="3">
        <v>0.45833333333333331</v>
      </c>
      <c r="C100" s="4" t="s">
        <v>12</v>
      </c>
      <c r="D100" s="4" t="s">
        <v>12</v>
      </c>
      <c r="E100">
        <v>0.79500000000000004</v>
      </c>
      <c r="F100" t="s">
        <v>6</v>
      </c>
    </row>
    <row r="101" spans="1:6" x14ac:dyDescent="0.35">
      <c r="A101" s="6">
        <v>44777</v>
      </c>
      <c r="B101" s="3">
        <v>0.45833333333333331</v>
      </c>
      <c r="C101" t="s">
        <v>9</v>
      </c>
      <c r="D101" t="s">
        <v>9</v>
      </c>
      <c r="E101">
        <v>0.86199999999999999</v>
      </c>
      <c r="F101" t="s">
        <v>6</v>
      </c>
    </row>
    <row r="102" spans="1:6" x14ac:dyDescent="0.35">
      <c r="A102" s="6">
        <v>44777</v>
      </c>
      <c r="B102" s="3">
        <v>0.45833333333333331</v>
      </c>
      <c r="C102" t="s">
        <v>5</v>
      </c>
      <c r="D102" t="s">
        <v>5</v>
      </c>
      <c r="E102">
        <v>0.53</v>
      </c>
      <c r="F102" t="s">
        <v>6</v>
      </c>
    </row>
    <row r="103" spans="1:6" x14ac:dyDescent="0.35">
      <c r="A103" s="6">
        <v>44777</v>
      </c>
      <c r="B103" s="3">
        <v>0.45833333333333331</v>
      </c>
      <c r="C103" t="s">
        <v>11</v>
      </c>
      <c r="D103" t="s">
        <v>11</v>
      </c>
      <c r="E103">
        <v>0.51200000000000001</v>
      </c>
      <c r="F103" t="s">
        <v>6</v>
      </c>
    </row>
    <row r="104" spans="1:6" x14ac:dyDescent="0.35">
      <c r="A104" s="6">
        <v>44777</v>
      </c>
      <c r="B104" s="3">
        <v>0.45833333333333331</v>
      </c>
      <c r="C104" s="4" t="s">
        <v>10</v>
      </c>
      <c r="D104" t="s">
        <v>7</v>
      </c>
      <c r="E104">
        <v>1.1459999999999999</v>
      </c>
      <c r="F104" t="s">
        <v>6</v>
      </c>
    </row>
    <row r="105" spans="1:6" x14ac:dyDescent="0.35">
      <c r="A105" s="6">
        <v>44777</v>
      </c>
      <c r="B105" s="3">
        <v>0.45833333333333331</v>
      </c>
      <c r="C105" t="s">
        <v>7</v>
      </c>
      <c r="D105" t="s">
        <v>7</v>
      </c>
      <c r="E105">
        <v>0.46500000000000002</v>
      </c>
      <c r="F105" t="s">
        <v>6</v>
      </c>
    </row>
    <row r="106" spans="1:6" x14ac:dyDescent="0.35">
      <c r="A106" s="6">
        <v>44777</v>
      </c>
      <c r="B106" s="3">
        <v>0.47916666666666669</v>
      </c>
      <c r="C106" s="4" t="s">
        <v>13</v>
      </c>
      <c r="D106" s="4" t="s">
        <v>13</v>
      </c>
      <c r="E106">
        <v>0.53800000000000003</v>
      </c>
      <c r="F106" t="s">
        <v>6</v>
      </c>
    </row>
    <row r="107" spans="1:6" x14ac:dyDescent="0.35">
      <c r="A107" s="6">
        <v>44777</v>
      </c>
      <c r="B107" s="3">
        <v>0.47916666666666669</v>
      </c>
      <c r="C107" t="s">
        <v>8</v>
      </c>
      <c r="D107" t="s">
        <v>8</v>
      </c>
      <c r="E107">
        <v>0.497</v>
      </c>
      <c r="F107" t="s">
        <v>6</v>
      </c>
    </row>
    <row r="108" spans="1:6" x14ac:dyDescent="0.35">
      <c r="A108" s="6">
        <v>44777</v>
      </c>
      <c r="B108" s="3">
        <v>0.47916666666666669</v>
      </c>
      <c r="C108" s="4" t="s">
        <v>12</v>
      </c>
      <c r="D108" s="4" t="s">
        <v>12</v>
      </c>
      <c r="E108">
        <v>0.77700000000000002</v>
      </c>
      <c r="F108" t="s">
        <v>6</v>
      </c>
    </row>
    <row r="109" spans="1:6" x14ac:dyDescent="0.35">
      <c r="A109" s="6">
        <v>44777</v>
      </c>
      <c r="B109" s="3">
        <v>0.47916666666666669</v>
      </c>
      <c r="C109" t="s">
        <v>9</v>
      </c>
      <c r="D109" t="s">
        <v>9</v>
      </c>
      <c r="E109">
        <v>0.86</v>
      </c>
      <c r="F109" t="s">
        <v>6</v>
      </c>
    </row>
    <row r="110" spans="1:6" x14ac:dyDescent="0.35">
      <c r="A110" s="6">
        <v>44777</v>
      </c>
      <c r="B110" s="3">
        <v>0.47916666666666669</v>
      </c>
      <c r="C110" t="s">
        <v>5</v>
      </c>
      <c r="D110" t="s">
        <v>5</v>
      </c>
      <c r="E110">
        <v>0.53200000000000003</v>
      </c>
      <c r="F110" t="s">
        <v>6</v>
      </c>
    </row>
    <row r="111" spans="1:6" x14ac:dyDescent="0.35">
      <c r="A111" s="6">
        <v>44777</v>
      </c>
      <c r="B111" s="3">
        <v>0.47916666666666669</v>
      </c>
      <c r="C111" t="s">
        <v>11</v>
      </c>
      <c r="D111" t="s">
        <v>11</v>
      </c>
      <c r="E111">
        <v>0.51700000000000002</v>
      </c>
      <c r="F111" t="s">
        <v>6</v>
      </c>
    </row>
    <row r="112" spans="1:6" x14ac:dyDescent="0.35">
      <c r="A112" s="6">
        <v>44777</v>
      </c>
      <c r="B112" s="3">
        <v>0.47916666666666669</v>
      </c>
      <c r="C112" s="4" t="s">
        <v>10</v>
      </c>
      <c r="D112" t="s">
        <v>7</v>
      </c>
      <c r="E112">
        <v>1.1399999999999999</v>
      </c>
      <c r="F112" t="s">
        <v>6</v>
      </c>
    </row>
    <row r="113" spans="1:6" x14ac:dyDescent="0.35">
      <c r="A113" s="6">
        <v>44777</v>
      </c>
      <c r="B113" s="3">
        <v>0.47916666666666669</v>
      </c>
      <c r="C113" t="s">
        <v>7</v>
      </c>
      <c r="D113" t="s">
        <v>7</v>
      </c>
      <c r="E113">
        <v>0.45100000000000001</v>
      </c>
      <c r="F113" t="s">
        <v>6</v>
      </c>
    </row>
    <row r="114" spans="1:6" x14ac:dyDescent="0.35">
      <c r="A114" s="6">
        <v>44777</v>
      </c>
      <c r="B114" s="3">
        <v>0.5</v>
      </c>
      <c r="C114" s="4" t="s">
        <v>13</v>
      </c>
      <c r="D114" s="4" t="s">
        <v>13</v>
      </c>
      <c r="E114">
        <v>0.54300000000000004</v>
      </c>
      <c r="F114" t="s">
        <v>6</v>
      </c>
    </row>
    <row r="115" spans="1:6" x14ac:dyDescent="0.35">
      <c r="A115" s="6">
        <v>44777</v>
      </c>
      <c r="B115" s="3">
        <v>0.5</v>
      </c>
      <c r="C115" t="s">
        <v>8</v>
      </c>
      <c r="D115" t="s">
        <v>8</v>
      </c>
      <c r="E115">
        <v>0.505</v>
      </c>
      <c r="F115" t="s">
        <v>6</v>
      </c>
    </row>
    <row r="116" spans="1:6" x14ac:dyDescent="0.35">
      <c r="A116" s="6">
        <v>44777</v>
      </c>
      <c r="B116" s="3">
        <v>0.5</v>
      </c>
      <c r="C116" s="4" t="s">
        <v>12</v>
      </c>
      <c r="D116" s="4" t="s">
        <v>12</v>
      </c>
      <c r="E116">
        <v>0.76300000000000001</v>
      </c>
      <c r="F116" t="s">
        <v>6</v>
      </c>
    </row>
    <row r="117" spans="1:6" x14ac:dyDescent="0.35">
      <c r="A117" s="6">
        <v>44777</v>
      </c>
      <c r="B117" s="3">
        <v>0.5</v>
      </c>
      <c r="C117" t="s">
        <v>9</v>
      </c>
      <c r="D117" t="s">
        <v>9</v>
      </c>
      <c r="E117">
        <v>0.85899999999999999</v>
      </c>
      <c r="F117" t="s">
        <v>6</v>
      </c>
    </row>
    <row r="118" spans="1:6" x14ac:dyDescent="0.35">
      <c r="A118" s="6">
        <v>44777</v>
      </c>
      <c r="B118" s="3">
        <v>0.5</v>
      </c>
      <c r="C118" t="s">
        <v>5</v>
      </c>
      <c r="D118" t="s">
        <v>5</v>
      </c>
      <c r="E118">
        <v>0.53800000000000003</v>
      </c>
      <c r="F118" t="s">
        <v>6</v>
      </c>
    </row>
    <row r="119" spans="1:6" x14ac:dyDescent="0.35">
      <c r="A119" s="6">
        <v>44777</v>
      </c>
      <c r="B119" s="3">
        <v>0.5</v>
      </c>
      <c r="C119" t="s">
        <v>11</v>
      </c>
      <c r="D119" t="s">
        <v>11</v>
      </c>
      <c r="E119">
        <v>0.52100000000000002</v>
      </c>
      <c r="F119" t="s">
        <v>6</v>
      </c>
    </row>
    <row r="120" spans="1:6" x14ac:dyDescent="0.35">
      <c r="A120" s="6">
        <v>44777</v>
      </c>
      <c r="B120" s="3">
        <v>0.5</v>
      </c>
      <c r="C120" s="4" t="s">
        <v>10</v>
      </c>
      <c r="D120" t="s">
        <v>7</v>
      </c>
      <c r="E120">
        <v>1.1359999999999999</v>
      </c>
      <c r="F120" t="s">
        <v>6</v>
      </c>
    </row>
    <row r="121" spans="1:6" x14ac:dyDescent="0.35">
      <c r="A121" s="6">
        <v>44777</v>
      </c>
      <c r="B121" s="3">
        <v>0.5</v>
      </c>
      <c r="C121" t="s">
        <v>7</v>
      </c>
      <c r="D121" t="s">
        <v>7</v>
      </c>
      <c r="E121">
        <v>0.44900000000000001</v>
      </c>
      <c r="F121" t="s">
        <v>6</v>
      </c>
    </row>
    <row r="122" spans="1:6" x14ac:dyDescent="0.35">
      <c r="A122" s="6">
        <v>44778</v>
      </c>
      <c r="B122" s="3">
        <v>0.14583333333333334</v>
      </c>
      <c r="C122" t="s">
        <v>13</v>
      </c>
      <c r="D122" t="s">
        <v>13</v>
      </c>
      <c r="E122">
        <v>0.64600000000000002</v>
      </c>
      <c r="F122" t="s">
        <v>6</v>
      </c>
    </row>
    <row r="123" spans="1:6" x14ac:dyDescent="0.35">
      <c r="A123" s="6">
        <v>44778</v>
      </c>
      <c r="B123" s="3">
        <v>0.14583333333333334</v>
      </c>
      <c r="C123" t="s">
        <v>8</v>
      </c>
      <c r="D123" t="s">
        <v>8</v>
      </c>
      <c r="E123">
        <v>0.51800000000000002</v>
      </c>
      <c r="F123" t="s">
        <v>6</v>
      </c>
    </row>
    <row r="124" spans="1:6" x14ac:dyDescent="0.35">
      <c r="A124" s="6">
        <v>44778</v>
      </c>
      <c r="B124" s="3">
        <v>0.14583333333333334</v>
      </c>
      <c r="C124" t="s">
        <v>16</v>
      </c>
      <c r="D124" t="s">
        <v>16</v>
      </c>
      <c r="E124">
        <v>0.66600000000000004</v>
      </c>
      <c r="F124" t="s">
        <v>6</v>
      </c>
    </row>
    <row r="125" spans="1:6" x14ac:dyDescent="0.35">
      <c r="A125" s="6">
        <v>44778</v>
      </c>
      <c r="B125" s="3">
        <v>0.14583333333333334</v>
      </c>
      <c r="C125" t="s">
        <v>14</v>
      </c>
      <c r="D125" t="s">
        <v>14</v>
      </c>
      <c r="E125">
        <v>0.39300000000000002</v>
      </c>
      <c r="F125" t="s">
        <v>6</v>
      </c>
    </row>
    <row r="126" spans="1:6" x14ac:dyDescent="0.35">
      <c r="A126" s="6">
        <v>44778</v>
      </c>
      <c r="B126" s="3">
        <v>0.14583333333333334</v>
      </c>
      <c r="C126" t="s">
        <v>17</v>
      </c>
      <c r="D126" t="s">
        <v>17</v>
      </c>
      <c r="E126">
        <v>0.35899999999999999</v>
      </c>
      <c r="F126" t="s">
        <v>6</v>
      </c>
    </row>
    <row r="127" spans="1:6" x14ac:dyDescent="0.35">
      <c r="A127" s="6">
        <v>44778</v>
      </c>
      <c r="B127" s="3">
        <v>0.14583333333333334</v>
      </c>
      <c r="C127" t="s">
        <v>9</v>
      </c>
      <c r="D127" t="s">
        <v>9</v>
      </c>
      <c r="E127">
        <v>0.73399999999999999</v>
      </c>
      <c r="F127" t="s">
        <v>6</v>
      </c>
    </row>
    <row r="128" spans="1:6" x14ac:dyDescent="0.35">
      <c r="A128" s="6">
        <v>44778</v>
      </c>
      <c r="B128" s="3">
        <v>0.14583333333333334</v>
      </c>
      <c r="C128" t="s">
        <v>5</v>
      </c>
      <c r="D128" t="s">
        <v>5</v>
      </c>
      <c r="E128">
        <v>0.64700000000000002</v>
      </c>
      <c r="F128" t="s">
        <v>6</v>
      </c>
    </row>
    <row r="129" spans="1:6" x14ac:dyDescent="0.35">
      <c r="A129" s="6">
        <v>44778</v>
      </c>
      <c r="B129" s="3">
        <v>0.14583333333333334</v>
      </c>
      <c r="C129" t="s">
        <v>15</v>
      </c>
      <c r="D129" t="s">
        <v>15</v>
      </c>
      <c r="E129">
        <v>0.55600000000000005</v>
      </c>
      <c r="F129" t="s">
        <v>6</v>
      </c>
    </row>
    <row r="130" spans="1:6" x14ac:dyDescent="0.35">
      <c r="A130" s="6">
        <v>44778</v>
      </c>
      <c r="B130" s="3">
        <v>0.16666666666666666</v>
      </c>
      <c r="C130" t="s">
        <v>13</v>
      </c>
      <c r="D130" t="s">
        <v>13</v>
      </c>
      <c r="E130">
        <v>0.68600000000000005</v>
      </c>
      <c r="F130" t="s">
        <v>6</v>
      </c>
    </row>
    <row r="131" spans="1:6" x14ac:dyDescent="0.35">
      <c r="A131" s="6">
        <v>44778</v>
      </c>
      <c r="B131" s="3">
        <v>0.16666666666666666</v>
      </c>
      <c r="C131" t="s">
        <v>8</v>
      </c>
      <c r="D131" t="s">
        <v>8</v>
      </c>
      <c r="E131">
        <v>0.54600000000000004</v>
      </c>
      <c r="F131" t="s">
        <v>6</v>
      </c>
    </row>
    <row r="132" spans="1:6" x14ac:dyDescent="0.35">
      <c r="A132" s="6">
        <v>44778</v>
      </c>
      <c r="B132" s="3">
        <v>0.16666666666666666</v>
      </c>
      <c r="C132" t="s">
        <v>16</v>
      </c>
      <c r="D132" t="s">
        <v>16</v>
      </c>
      <c r="E132">
        <v>0.71499999999999997</v>
      </c>
      <c r="F132" t="s">
        <v>6</v>
      </c>
    </row>
    <row r="133" spans="1:6" x14ac:dyDescent="0.35">
      <c r="A133" s="6">
        <v>44778</v>
      </c>
      <c r="B133" s="3">
        <v>0.16666666666666666</v>
      </c>
      <c r="C133" t="s">
        <v>14</v>
      </c>
      <c r="D133" t="s">
        <v>14</v>
      </c>
      <c r="E133">
        <v>0.42399999999999999</v>
      </c>
      <c r="F133" t="s">
        <v>6</v>
      </c>
    </row>
    <row r="134" spans="1:6" x14ac:dyDescent="0.35">
      <c r="A134" s="6">
        <v>44778</v>
      </c>
      <c r="B134" s="3">
        <v>0.16666666666666666</v>
      </c>
      <c r="C134" t="s">
        <v>17</v>
      </c>
      <c r="D134" t="s">
        <v>17</v>
      </c>
      <c r="E134">
        <v>0.38800000000000001</v>
      </c>
      <c r="F134" t="s">
        <v>6</v>
      </c>
    </row>
    <row r="135" spans="1:6" x14ac:dyDescent="0.35">
      <c r="A135" s="6">
        <v>44778</v>
      </c>
      <c r="B135" s="3">
        <v>0.16666666666666666</v>
      </c>
      <c r="C135" t="s">
        <v>9</v>
      </c>
      <c r="D135" t="s">
        <v>9</v>
      </c>
      <c r="E135">
        <v>0.78600000000000003</v>
      </c>
      <c r="F135" t="s">
        <v>6</v>
      </c>
    </row>
    <row r="136" spans="1:6" x14ac:dyDescent="0.35">
      <c r="A136" s="6">
        <v>44778</v>
      </c>
      <c r="B136" s="3">
        <v>0.16666666666666666</v>
      </c>
      <c r="C136" t="s">
        <v>5</v>
      </c>
      <c r="D136" t="s">
        <v>5</v>
      </c>
      <c r="E136">
        <v>0.67900000000000005</v>
      </c>
      <c r="F136" t="s">
        <v>6</v>
      </c>
    </row>
    <row r="137" spans="1:6" x14ac:dyDescent="0.35">
      <c r="A137" s="6">
        <v>44778</v>
      </c>
      <c r="B137" s="3">
        <v>0.16666666666666666</v>
      </c>
      <c r="C137" t="s">
        <v>15</v>
      </c>
      <c r="D137" t="s">
        <v>15</v>
      </c>
      <c r="E137">
        <v>0.59099999999999997</v>
      </c>
      <c r="F137" t="s">
        <v>6</v>
      </c>
    </row>
    <row r="138" spans="1:6" x14ac:dyDescent="0.35">
      <c r="A138" s="6">
        <v>44778</v>
      </c>
      <c r="B138" s="3">
        <v>0.1875</v>
      </c>
      <c r="C138" t="s">
        <v>13</v>
      </c>
      <c r="D138" t="s">
        <v>13</v>
      </c>
      <c r="E138">
        <v>0.72299999999999998</v>
      </c>
      <c r="F138" t="s">
        <v>6</v>
      </c>
    </row>
    <row r="139" spans="1:6" x14ac:dyDescent="0.35">
      <c r="A139" s="6">
        <v>44778</v>
      </c>
      <c r="B139" s="3">
        <v>0.1875</v>
      </c>
      <c r="C139" t="s">
        <v>8</v>
      </c>
      <c r="D139" t="s">
        <v>8</v>
      </c>
      <c r="E139">
        <v>0.56799999999999995</v>
      </c>
      <c r="F139" t="s">
        <v>6</v>
      </c>
    </row>
    <row r="140" spans="1:6" x14ac:dyDescent="0.35">
      <c r="A140" s="6">
        <v>44778</v>
      </c>
      <c r="B140" s="3">
        <v>0.1875</v>
      </c>
      <c r="C140" t="s">
        <v>16</v>
      </c>
      <c r="D140" t="s">
        <v>16</v>
      </c>
      <c r="E140">
        <v>0.75700000000000001</v>
      </c>
      <c r="F140" t="s">
        <v>6</v>
      </c>
    </row>
    <row r="141" spans="1:6" x14ac:dyDescent="0.35">
      <c r="A141" s="6">
        <v>44778</v>
      </c>
      <c r="B141" s="3">
        <v>0.1875</v>
      </c>
      <c r="C141" t="s">
        <v>14</v>
      </c>
      <c r="D141" t="s">
        <v>14</v>
      </c>
      <c r="E141">
        <v>0.45400000000000001</v>
      </c>
      <c r="F141" t="s">
        <v>6</v>
      </c>
    </row>
    <row r="142" spans="1:6" x14ac:dyDescent="0.35">
      <c r="A142" s="6">
        <v>44778</v>
      </c>
      <c r="B142" s="3">
        <v>0.1875</v>
      </c>
      <c r="C142" t="s">
        <v>17</v>
      </c>
      <c r="D142" t="s">
        <v>17</v>
      </c>
      <c r="E142">
        <v>0.41399999999999998</v>
      </c>
      <c r="F142" t="s">
        <v>6</v>
      </c>
    </row>
    <row r="143" spans="1:6" x14ac:dyDescent="0.35">
      <c r="A143" s="6">
        <v>44778</v>
      </c>
      <c r="B143" s="3">
        <v>0.1875</v>
      </c>
      <c r="C143" t="s">
        <v>9</v>
      </c>
      <c r="D143" t="s">
        <v>9</v>
      </c>
      <c r="E143">
        <v>0.83699999999999997</v>
      </c>
      <c r="F143" t="s">
        <v>6</v>
      </c>
    </row>
    <row r="144" spans="1:6" x14ac:dyDescent="0.35">
      <c r="A144" s="6">
        <v>44778</v>
      </c>
      <c r="B144" s="3">
        <v>0.1875</v>
      </c>
      <c r="C144" t="s">
        <v>5</v>
      </c>
      <c r="D144" t="s">
        <v>5</v>
      </c>
      <c r="E144">
        <v>0.70599999999999996</v>
      </c>
      <c r="F144" t="s">
        <v>6</v>
      </c>
    </row>
    <row r="145" spans="1:6" x14ac:dyDescent="0.35">
      <c r="A145" s="6">
        <v>44778</v>
      </c>
      <c r="B145" s="3">
        <v>0.1875</v>
      </c>
      <c r="C145" t="s">
        <v>15</v>
      </c>
      <c r="D145" t="s">
        <v>15</v>
      </c>
      <c r="E145">
        <v>0.627</v>
      </c>
      <c r="F145" t="s">
        <v>6</v>
      </c>
    </row>
    <row r="146" spans="1:6" x14ac:dyDescent="0.35">
      <c r="A146" s="6">
        <v>44778</v>
      </c>
      <c r="B146" s="3">
        <v>0.20833333333333334</v>
      </c>
      <c r="C146" t="s">
        <v>13</v>
      </c>
      <c r="D146" t="s">
        <v>13</v>
      </c>
      <c r="E146">
        <v>0.74</v>
      </c>
      <c r="F146" t="s">
        <v>6</v>
      </c>
    </row>
    <row r="147" spans="1:6" x14ac:dyDescent="0.35">
      <c r="A147" s="6">
        <v>44778</v>
      </c>
      <c r="B147" s="3">
        <v>0.20833333333333334</v>
      </c>
      <c r="C147" t="s">
        <v>8</v>
      </c>
      <c r="D147" t="s">
        <v>8</v>
      </c>
      <c r="E147">
        <v>0.57599999999999996</v>
      </c>
      <c r="F147" t="s">
        <v>6</v>
      </c>
    </row>
    <row r="148" spans="1:6" x14ac:dyDescent="0.35">
      <c r="A148" s="6">
        <v>44778</v>
      </c>
      <c r="B148" s="3">
        <v>0.20833333333333334</v>
      </c>
      <c r="C148" t="s">
        <v>16</v>
      </c>
      <c r="D148" t="s">
        <v>16</v>
      </c>
      <c r="E148">
        <v>0.77300000000000002</v>
      </c>
      <c r="F148" t="s">
        <v>6</v>
      </c>
    </row>
    <row r="149" spans="1:6" x14ac:dyDescent="0.35">
      <c r="A149" s="6">
        <v>44778</v>
      </c>
      <c r="B149" s="3">
        <v>0.20833333333333334</v>
      </c>
      <c r="C149" t="s">
        <v>14</v>
      </c>
      <c r="D149" t="s">
        <v>14</v>
      </c>
      <c r="E149">
        <v>0.46800000000000003</v>
      </c>
      <c r="F149" t="s">
        <v>6</v>
      </c>
    </row>
    <row r="150" spans="1:6" x14ac:dyDescent="0.35">
      <c r="A150" s="6">
        <v>44778</v>
      </c>
      <c r="B150" s="3">
        <v>0.20833333333333334</v>
      </c>
      <c r="C150" t="s">
        <v>17</v>
      </c>
      <c r="D150" t="s">
        <v>17</v>
      </c>
      <c r="E150">
        <v>0.42599999999999999</v>
      </c>
      <c r="F150" t="s">
        <v>6</v>
      </c>
    </row>
    <row r="151" spans="1:6" x14ac:dyDescent="0.35">
      <c r="A151" s="6">
        <v>44778</v>
      </c>
      <c r="B151" s="3">
        <v>0.20833333333333334</v>
      </c>
      <c r="C151" t="s">
        <v>9</v>
      </c>
      <c r="D151" t="s">
        <v>9</v>
      </c>
      <c r="E151">
        <v>0.86</v>
      </c>
      <c r="F151" t="s">
        <v>6</v>
      </c>
    </row>
    <row r="152" spans="1:6" x14ac:dyDescent="0.35">
      <c r="A152" s="6">
        <v>44778</v>
      </c>
      <c r="B152" s="3">
        <v>0.20833333333333334</v>
      </c>
      <c r="C152" t="s">
        <v>5</v>
      </c>
      <c r="D152" t="s">
        <v>5</v>
      </c>
      <c r="E152">
        <v>0.71699999999999997</v>
      </c>
      <c r="F152" t="s">
        <v>6</v>
      </c>
    </row>
    <row r="153" spans="1:6" x14ac:dyDescent="0.35">
      <c r="A153" s="6">
        <v>44778</v>
      </c>
      <c r="B153" s="3">
        <v>0.20833333333333334</v>
      </c>
      <c r="C153" t="s">
        <v>15</v>
      </c>
      <c r="D153" t="s">
        <v>15</v>
      </c>
      <c r="E153">
        <v>0.64500000000000002</v>
      </c>
      <c r="F153" t="s">
        <v>6</v>
      </c>
    </row>
    <row r="154" spans="1:6" x14ac:dyDescent="0.35">
      <c r="A154" s="6">
        <v>44778</v>
      </c>
      <c r="B154" s="3">
        <v>0.22916666666666666</v>
      </c>
      <c r="C154" t="s">
        <v>13</v>
      </c>
      <c r="D154" t="s">
        <v>13</v>
      </c>
      <c r="E154">
        <v>0.749</v>
      </c>
      <c r="F154" t="s">
        <v>6</v>
      </c>
    </row>
    <row r="155" spans="1:6" x14ac:dyDescent="0.35">
      <c r="A155" s="6">
        <v>44778</v>
      </c>
      <c r="B155" s="3">
        <v>0.22916666666666666</v>
      </c>
      <c r="C155" t="s">
        <v>8</v>
      </c>
      <c r="D155" t="s">
        <v>8</v>
      </c>
      <c r="E155">
        <v>0.57899999999999996</v>
      </c>
      <c r="F155" t="s">
        <v>6</v>
      </c>
    </row>
    <row r="156" spans="1:6" x14ac:dyDescent="0.35">
      <c r="A156" s="6">
        <v>44778</v>
      </c>
      <c r="B156" s="3">
        <v>0.22916666666666666</v>
      </c>
      <c r="C156" t="s">
        <v>16</v>
      </c>
      <c r="D156" t="s">
        <v>16</v>
      </c>
      <c r="E156">
        <v>0.78200000000000003</v>
      </c>
      <c r="F156" t="s">
        <v>6</v>
      </c>
    </row>
    <row r="157" spans="1:6" x14ac:dyDescent="0.35">
      <c r="A157" s="6">
        <v>44778</v>
      </c>
      <c r="B157" s="3">
        <v>0.22916666666666666</v>
      </c>
      <c r="C157" t="s">
        <v>14</v>
      </c>
      <c r="D157" t="s">
        <v>14</v>
      </c>
      <c r="E157">
        <v>0.47799999999999998</v>
      </c>
      <c r="F157" t="s">
        <v>6</v>
      </c>
    </row>
    <row r="158" spans="1:6" x14ac:dyDescent="0.35">
      <c r="A158" s="6">
        <v>44778</v>
      </c>
      <c r="B158" s="3">
        <v>0.22916666666666666</v>
      </c>
      <c r="C158" t="s">
        <v>17</v>
      </c>
      <c r="D158" t="s">
        <v>17</v>
      </c>
      <c r="E158">
        <v>0.433</v>
      </c>
      <c r="F158" t="s">
        <v>6</v>
      </c>
    </row>
    <row r="159" spans="1:6" x14ac:dyDescent="0.35">
      <c r="A159" s="6">
        <v>44778</v>
      </c>
      <c r="B159" s="3">
        <v>0.22916666666666666</v>
      </c>
      <c r="C159" t="s">
        <v>9</v>
      </c>
      <c r="D159" t="s">
        <v>9</v>
      </c>
      <c r="E159">
        <v>0.874</v>
      </c>
      <c r="F159" t="s">
        <v>6</v>
      </c>
    </row>
    <row r="160" spans="1:6" x14ac:dyDescent="0.35">
      <c r="A160" s="6">
        <v>44778</v>
      </c>
      <c r="B160" s="3">
        <v>0.22916666666666666</v>
      </c>
      <c r="C160" t="s">
        <v>5</v>
      </c>
      <c r="D160" t="s">
        <v>5</v>
      </c>
      <c r="E160">
        <v>0.72299999999999998</v>
      </c>
      <c r="F160" t="s">
        <v>6</v>
      </c>
    </row>
    <row r="161" spans="1:6" x14ac:dyDescent="0.35">
      <c r="A161" s="6">
        <v>44778</v>
      </c>
      <c r="B161" s="3">
        <v>0.22916666666666666</v>
      </c>
      <c r="C161" t="s">
        <v>15</v>
      </c>
      <c r="D161" t="s">
        <v>15</v>
      </c>
      <c r="E161">
        <v>0.65700000000000003</v>
      </c>
      <c r="F161" t="s">
        <v>6</v>
      </c>
    </row>
    <row r="162" spans="1:6" x14ac:dyDescent="0.35">
      <c r="A162" s="6">
        <v>44778</v>
      </c>
      <c r="B162" s="3">
        <v>0.33333333333333331</v>
      </c>
      <c r="C162" t="s">
        <v>13</v>
      </c>
      <c r="D162" t="s">
        <v>13</v>
      </c>
      <c r="E162">
        <v>0.66600000000000004</v>
      </c>
      <c r="F162" t="s">
        <v>6</v>
      </c>
    </row>
    <row r="163" spans="1:6" x14ac:dyDescent="0.35">
      <c r="A163" s="6">
        <v>44778</v>
      </c>
      <c r="B163" s="3">
        <v>0.33333333333333331</v>
      </c>
      <c r="C163" t="s">
        <v>8</v>
      </c>
      <c r="D163" t="s">
        <v>8</v>
      </c>
      <c r="E163">
        <v>0.51100000000000001</v>
      </c>
      <c r="F163" t="s">
        <v>6</v>
      </c>
    </row>
    <row r="164" spans="1:6" x14ac:dyDescent="0.35">
      <c r="A164" s="6">
        <v>44778</v>
      </c>
      <c r="B164" s="3">
        <v>0.33333333333333331</v>
      </c>
      <c r="C164" t="s">
        <v>16</v>
      </c>
      <c r="D164" t="s">
        <v>16</v>
      </c>
      <c r="E164">
        <v>0.69099999999999995</v>
      </c>
      <c r="F164" t="s">
        <v>6</v>
      </c>
    </row>
    <row r="165" spans="1:6" x14ac:dyDescent="0.35">
      <c r="A165" s="6">
        <v>44778</v>
      </c>
      <c r="B165" s="3">
        <v>0.33333333333333331</v>
      </c>
      <c r="C165" t="s">
        <v>14</v>
      </c>
      <c r="D165" t="s">
        <v>14</v>
      </c>
      <c r="E165">
        <v>0.40400000000000003</v>
      </c>
      <c r="F165" t="s">
        <v>6</v>
      </c>
    </row>
    <row r="166" spans="1:6" x14ac:dyDescent="0.35">
      <c r="A166" s="6">
        <v>44778</v>
      </c>
      <c r="B166" s="3">
        <v>0.33333333333333331</v>
      </c>
      <c r="C166" t="s">
        <v>17</v>
      </c>
      <c r="D166" t="s">
        <v>17</v>
      </c>
      <c r="E166">
        <v>0.35699999999999998</v>
      </c>
      <c r="F166" t="s">
        <v>6</v>
      </c>
    </row>
    <row r="167" spans="1:6" x14ac:dyDescent="0.35">
      <c r="A167" s="6">
        <v>44778</v>
      </c>
      <c r="B167" s="3">
        <v>0.33333333333333331</v>
      </c>
      <c r="C167" t="s">
        <v>9</v>
      </c>
      <c r="D167" t="s">
        <v>9</v>
      </c>
      <c r="E167">
        <v>0.77300000000000002</v>
      </c>
      <c r="F167" t="s">
        <v>6</v>
      </c>
    </row>
    <row r="168" spans="1:6" x14ac:dyDescent="0.35">
      <c r="A168" s="6">
        <v>44778</v>
      </c>
      <c r="B168" s="3">
        <v>0.33333333333333331</v>
      </c>
      <c r="C168" t="s">
        <v>5</v>
      </c>
      <c r="D168" t="s">
        <v>5</v>
      </c>
      <c r="E168">
        <v>0.60399999999999998</v>
      </c>
      <c r="F168" t="s">
        <v>6</v>
      </c>
    </row>
    <row r="169" spans="1:6" x14ac:dyDescent="0.35">
      <c r="A169" s="6">
        <v>44778</v>
      </c>
      <c r="B169" s="3">
        <v>0.33333333333333331</v>
      </c>
      <c r="C169" t="s">
        <v>15</v>
      </c>
      <c r="D169" t="s">
        <v>15</v>
      </c>
      <c r="E169">
        <v>0.58599999999999997</v>
      </c>
      <c r="F169" t="s">
        <v>6</v>
      </c>
    </row>
    <row r="170" spans="1:6" x14ac:dyDescent="0.35">
      <c r="A170" s="6">
        <v>44778</v>
      </c>
      <c r="B170" s="3">
        <v>0.35416666666666669</v>
      </c>
      <c r="C170" t="s">
        <v>13</v>
      </c>
      <c r="D170" t="s">
        <v>13</v>
      </c>
      <c r="E170">
        <v>0.72799999999999998</v>
      </c>
      <c r="F170" t="s">
        <v>6</v>
      </c>
    </row>
    <row r="171" spans="1:6" x14ac:dyDescent="0.35">
      <c r="A171" s="6">
        <v>44778</v>
      </c>
      <c r="B171" s="3">
        <v>0.35416666666666669</v>
      </c>
      <c r="C171" t="s">
        <v>8</v>
      </c>
      <c r="D171" t="s">
        <v>8</v>
      </c>
      <c r="E171">
        <v>0.5</v>
      </c>
      <c r="F171" t="s">
        <v>6</v>
      </c>
    </row>
    <row r="172" spans="1:6" x14ac:dyDescent="0.35">
      <c r="A172" s="6">
        <v>44778</v>
      </c>
      <c r="B172" s="3">
        <v>0.35416666666666669</v>
      </c>
      <c r="C172" t="s">
        <v>16</v>
      </c>
      <c r="D172" t="s">
        <v>16</v>
      </c>
      <c r="E172">
        <v>0.75900000000000001</v>
      </c>
      <c r="F172" t="s">
        <v>6</v>
      </c>
    </row>
    <row r="173" spans="1:6" x14ac:dyDescent="0.35">
      <c r="A173" s="6">
        <v>44778</v>
      </c>
      <c r="B173" s="3">
        <v>0.35416666666666669</v>
      </c>
      <c r="C173" t="s">
        <v>14</v>
      </c>
      <c r="D173" t="s">
        <v>14</v>
      </c>
      <c r="E173">
        <v>0.42199999999999999</v>
      </c>
      <c r="F173" t="s">
        <v>6</v>
      </c>
    </row>
    <row r="174" spans="1:6" x14ac:dyDescent="0.35">
      <c r="A174" s="6">
        <v>44778</v>
      </c>
      <c r="B174" s="3">
        <v>0.35416666666666669</v>
      </c>
      <c r="C174" t="s">
        <v>17</v>
      </c>
      <c r="D174" t="s">
        <v>17</v>
      </c>
      <c r="E174">
        <v>0.40200000000000002</v>
      </c>
      <c r="F174" t="s">
        <v>6</v>
      </c>
    </row>
    <row r="175" spans="1:6" x14ac:dyDescent="0.35">
      <c r="A175" s="6">
        <v>44778</v>
      </c>
      <c r="B175" s="3">
        <v>0.35416666666666669</v>
      </c>
      <c r="C175" t="s">
        <v>9</v>
      </c>
      <c r="D175" t="s">
        <v>9</v>
      </c>
      <c r="E175">
        <v>0.85299999999999998</v>
      </c>
      <c r="F175" t="s">
        <v>6</v>
      </c>
    </row>
    <row r="176" spans="1:6" x14ac:dyDescent="0.35">
      <c r="A176" s="6">
        <v>44778</v>
      </c>
      <c r="B176" s="3">
        <v>0.35416666666666669</v>
      </c>
      <c r="C176" t="s">
        <v>5</v>
      </c>
      <c r="D176" t="s">
        <v>5</v>
      </c>
      <c r="E176">
        <v>0.61399999999999999</v>
      </c>
      <c r="F176" t="s">
        <v>6</v>
      </c>
    </row>
    <row r="177" spans="1:6" x14ac:dyDescent="0.35">
      <c r="A177" s="6">
        <v>44778</v>
      </c>
      <c r="B177" s="3">
        <v>0.35416666666666669</v>
      </c>
      <c r="C177" t="s">
        <v>15</v>
      </c>
      <c r="D177" t="s">
        <v>15</v>
      </c>
      <c r="E177">
        <v>0.63</v>
      </c>
      <c r="F177" t="s">
        <v>6</v>
      </c>
    </row>
    <row r="178" spans="1:6" x14ac:dyDescent="0.35">
      <c r="A178" s="6">
        <v>44778</v>
      </c>
      <c r="B178" s="3">
        <v>0.375</v>
      </c>
      <c r="C178" t="s">
        <v>13</v>
      </c>
      <c r="D178" t="s">
        <v>13</v>
      </c>
      <c r="E178">
        <v>0.74399999999999999</v>
      </c>
      <c r="F178" t="s">
        <v>6</v>
      </c>
    </row>
    <row r="179" spans="1:6" x14ac:dyDescent="0.35">
      <c r="A179" s="6">
        <v>44778</v>
      </c>
      <c r="B179" s="3">
        <v>0.375</v>
      </c>
      <c r="C179" t="s">
        <v>8</v>
      </c>
      <c r="D179" t="s">
        <v>8</v>
      </c>
      <c r="E179">
        <v>0.46300000000000002</v>
      </c>
      <c r="F179" t="s">
        <v>6</v>
      </c>
    </row>
    <row r="180" spans="1:6" x14ac:dyDescent="0.35">
      <c r="A180" s="6">
        <v>44778</v>
      </c>
      <c r="B180" s="3">
        <v>0.375</v>
      </c>
      <c r="C180" t="s">
        <v>16</v>
      </c>
      <c r="D180" t="s">
        <v>16</v>
      </c>
      <c r="E180">
        <v>0.77100000000000002</v>
      </c>
      <c r="F180" t="s">
        <v>6</v>
      </c>
    </row>
    <row r="181" spans="1:6" x14ac:dyDescent="0.35">
      <c r="A181" s="6">
        <v>44778</v>
      </c>
      <c r="B181" s="3">
        <v>0.375</v>
      </c>
      <c r="C181" t="s">
        <v>14</v>
      </c>
      <c r="D181" t="s">
        <v>14</v>
      </c>
      <c r="E181">
        <v>0.40600000000000003</v>
      </c>
      <c r="F181" t="s">
        <v>6</v>
      </c>
    </row>
    <row r="182" spans="1:6" x14ac:dyDescent="0.35">
      <c r="A182" s="6">
        <v>44778</v>
      </c>
      <c r="B182" s="3">
        <v>0.375</v>
      </c>
      <c r="C182" t="s">
        <v>17</v>
      </c>
      <c r="D182" t="s">
        <v>17</v>
      </c>
      <c r="E182">
        <v>0.41399999999999998</v>
      </c>
      <c r="F182" t="s">
        <v>6</v>
      </c>
    </row>
    <row r="183" spans="1:6" x14ac:dyDescent="0.35">
      <c r="A183" s="6">
        <v>44778</v>
      </c>
      <c r="B183" s="3">
        <v>0.375</v>
      </c>
      <c r="C183" t="s">
        <v>9</v>
      </c>
      <c r="D183" t="s">
        <v>9</v>
      </c>
      <c r="E183">
        <v>0.879</v>
      </c>
      <c r="F183" t="s">
        <v>6</v>
      </c>
    </row>
    <row r="184" spans="1:6" x14ac:dyDescent="0.35">
      <c r="A184" s="6">
        <v>44778</v>
      </c>
      <c r="B184" s="3">
        <v>0.375</v>
      </c>
      <c r="C184" t="s">
        <v>5</v>
      </c>
      <c r="D184" t="s">
        <v>5</v>
      </c>
      <c r="E184">
        <v>0.58299999999999996</v>
      </c>
      <c r="F184" t="s">
        <v>6</v>
      </c>
    </row>
    <row r="185" spans="1:6" x14ac:dyDescent="0.35">
      <c r="A185" s="6">
        <v>44778</v>
      </c>
      <c r="B185" s="3">
        <v>0.375</v>
      </c>
      <c r="C185" t="s">
        <v>15</v>
      </c>
      <c r="D185" t="s">
        <v>15</v>
      </c>
      <c r="E185">
        <v>0.61499999999999999</v>
      </c>
      <c r="F185" t="s">
        <v>6</v>
      </c>
    </row>
    <row r="186" spans="1:6" x14ac:dyDescent="0.35">
      <c r="A186" s="6">
        <v>44778</v>
      </c>
      <c r="B186" s="3">
        <v>0.39583333333333331</v>
      </c>
      <c r="C186" t="s">
        <v>13</v>
      </c>
      <c r="D186" t="s">
        <v>13</v>
      </c>
      <c r="E186">
        <v>0.74299999999999999</v>
      </c>
      <c r="F186" t="s">
        <v>6</v>
      </c>
    </row>
    <row r="187" spans="1:6" x14ac:dyDescent="0.35">
      <c r="A187" s="6">
        <v>44778</v>
      </c>
      <c r="B187" s="3">
        <v>0.39583333333333331</v>
      </c>
      <c r="C187" t="s">
        <v>8</v>
      </c>
      <c r="D187" t="s">
        <v>8</v>
      </c>
      <c r="E187">
        <v>0.42599999999999999</v>
      </c>
      <c r="F187" t="s">
        <v>6</v>
      </c>
    </row>
    <row r="188" spans="1:6" x14ac:dyDescent="0.35">
      <c r="A188" s="6">
        <v>44778</v>
      </c>
      <c r="B188" s="3">
        <v>0.39583333333333331</v>
      </c>
      <c r="C188" t="s">
        <v>16</v>
      </c>
      <c r="D188" t="s">
        <v>16</v>
      </c>
      <c r="E188">
        <v>0.76</v>
      </c>
      <c r="F188" t="s">
        <v>6</v>
      </c>
    </row>
    <row r="189" spans="1:6" x14ac:dyDescent="0.35">
      <c r="A189" s="6">
        <v>44778</v>
      </c>
      <c r="B189" s="3">
        <v>0.39583333333333331</v>
      </c>
      <c r="C189" t="s">
        <v>14</v>
      </c>
      <c r="D189" t="s">
        <v>14</v>
      </c>
      <c r="E189">
        <v>0.377</v>
      </c>
      <c r="F189" t="s">
        <v>6</v>
      </c>
    </row>
    <row r="190" spans="1:6" x14ac:dyDescent="0.35">
      <c r="A190" s="6">
        <v>44778</v>
      </c>
      <c r="B190" s="3">
        <v>0.39583333333333331</v>
      </c>
      <c r="C190" t="s">
        <v>17</v>
      </c>
      <c r="D190" t="s">
        <v>17</v>
      </c>
      <c r="E190">
        <v>0.42099999999999999</v>
      </c>
      <c r="F190" t="s">
        <v>6</v>
      </c>
    </row>
    <row r="191" spans="1:6" x14ac:dyDescent="0.35">
      <c r="A191" s="6">
        <v>44778</v>
      </c>
      <c r="B191" s="3">
        <v>0.39583333333333331</v>
      </c>
      <c r="C191" t="s">
        <v>9</v>
      </c>
      <c r="D191" t="s">
        <v>9</v>
      </c>
      <c r="E191">
        <v>0.89500000000000002</v>
      </c>
      <c r="F191" t="s">
        <v>6</v>
      </c>
    </row>
    <row r="192" spans="1:6" x14ac:dyDescent="0.35">
      <c r="A192" s="6">
        <v>44778</v>
      </c>
      <c r="B192" s="3">
        <v>0.39583333333333331</v>
      </c>
      <c r="C192" t="s">
        <v>5</v>
      </c>
      <c r="D192" t="s">
        <v>5</v>
      </c>
      <c r="E192">
        <v>0.52900000000000003</v>
      </c>
      <c r="F192" t="s">
        <v>6</v>
      </c>
    </row>
    <row r="193" spans="1:6" x14ac:dyDescent="0.35">
      <c r="A193" s="6">
        <v>44778</v>
      </c>
      <c r="B193" s="3">
        <v>0.39583333333333331</v>
      </c>
      <c r="C193" t="s">
        <v>15</v>
      </c>
      <c r="D193" t="s">
        <v>15</v>
      </c>
      <c r="E193">
        <v>0.56000000000000005</v>
      </c>
      <c r="F193" t="s">
        <v>6</v>
      </c>
    </row>
    <row r="194" spans="1:6" x14ac:dyDescent="0.35">
      <c r="A194" s="6">
        <v>44778</v>
      </c>
      <c r="B194" s="3">
        <v>0.41666666666666669</v>
      </c>
      <c r="C194" t="s">
        <v>13</v>
      </c>
      <c r="D194" t="s">
        <v>13</v>
      </c>
      <c r="E194">
        <v>0.73499999999999999</v>
      </c>
      <c r="F194" t="s">
        <v>6</v>
      </c>
    </row>
    <row r="195" spans="1:6" x14ac:dyDescent="0.35">
      <c r="A195" s="6">
        <v>44778</v>
      </c>
      <c r="B195" s="3">
        <v>0.41666666666666669</v>
      </c>
      <c r="C195" t="s">
        <v>8</v>
      </c>
      <c r="D195" t="s">
        <v>8</v>
      </c>
      <c r="E195">
        <v>0.41399999999999998</v>
      </c>
      <c r="F195" t="s">
        <v>6</v>
      </c>
    </row>
    <row r="196" spans="1:6" x14ac:dyDescent="0.35">
      <c r="A196" s="6">
        <v>44778</v>
      </c>
      <c r="B196" s="3">
        <v>0.41666666666666669</v>
      </c>
      <c r="C196" t="s">
        <v>16</v>
      </c>
      <c r="D196" t="s">
        <v>16</v>
      </c>
      <c r="E196">
        <v>0.74099999999999999</v>
      </c>
      <c r="F196" t="s">
        <v>6</v>
      </c>
    </row>
    <row r="197" spans="1:6" x14ac:dyDescent="0.35">
      <c r="A197" s="6">
        <v>44778</v>
      </c>
      <c r="B197" s="3">
        <v>0.41666666666666669</v>
      </c>
      <c r="C197" t="s">
        <v>14</v>
      </c>
      <c r="D197" t="s">
        <v>14</v>
      </c>
      <c r="E197">
        <v>0.371</v>
      </c>
      <c r="F197" t="s">
        <v>6</v>
      </c>
    </row>
    <row r="198" spans="1:6" x14ac:dyDescent="0.35">
      <c r="A198" s="6">
        <v>44778</v>
      </c>
      <c r="B198" s="3">
        <v>0.41666666666666669</v>
      </c>
      <c r="C198" t="s">
        <v>17</v>
      </c>
      <c r="D198" t="s">
        <v>17</v>
      </c>
      <c r="E198">
        <v>0.42399999999999999</v>
      </c>
      <c r="F198" t="s">
        <v>6</v>
      </c>
    </row>
    <row r="199" spans="1:6" x14ac:dyDescent="0.35">
      <c r="A199" s="6">
        <v>44778</v>
      </c>
      <c r="B199" s="3">
        <v>0.41666666666666669</v>
      </c>
      <c r="C199" t="s">
        <v>9</v>
      </c>
      <c r="D199" t="s">
        <v>9</v>
      </c>
      <c r="E199">
        <v>0.90300000000000002</v>
      </c>
      <c r="F199" t="s">
        <v>6</v>
      </c>
    </row>
    <row r="200" spans="1:6" x14ac:dyDescent="0.35">
      <c r="A200" s="6">
        <v>44778</v>
      </c>
      <c r="B200" s="3">
        <v>0.41666666666666669</v>
      </c>
      <c r="C200" t="s">
        <v>5</v>
      </c>
      <c r="D200" t="s">
        <v>5</v>
      </c>
      <c r="E200">
        <v>0.50900000000000001</v>
      </c>
      <c r="F200" t="s">
        <v>6</v>
      </c>
    </row>
    <row r="201" spans="1:6" x14ac:dyDescent="0.35">
      <c r="A201" s="6">
        <v>44778</v>
      </c>
      <c r="B201" s="3">
        <v>0.41666666666666669</v>
      </c>
      <c r="C201" t="s">
        <v>15</v>
      </c>
      <c r="D201" t="s">
        <v>15</v>
      </c>
      <c r="E201">
        <v>0.53100000000000003</v>
      </c>
      <c r="F201" t="s">
        <v>6</v>
      </c>
    </row>
    <row r="202" spans="1:6" x14ac:dyDescent="0.35">
      <c r="A202" s="6">
        <v>44778</v>
      </c>
      <c r="B202" s="3">
        <v>0.4375</v>
      </c>
      <c r="C202" t="s">
        <v>13</v>
      </c>
      <c r="D202" t="s">
        <v>13</v>
      </c>
      <c r="E202">
        <v>0.72599999999999998</v>
      </c>
      <c r="F202" t="s">
        <v>6</v>
      </c>
    </row>
    <row r="203" spans="1:6" x14ac:dyDescent="0.35">
      <c r="A203" s="6">
        <v>44778</v>
      </c>
      <c r="B203" s="3">
        <v>0.4375</v>
      </c>
      <c r="C203" t="s">
        <v>8</v>
      </c>
      <c r="D203" t="s">
        <v>8</v>
      </c>
      <c r="E203">
        <v>0.40699999999999997</v>
      </c>
      <c r="F203" t="s">
        <v>6</v>
      </c>
    </row>
    <row r="204" spans="1:6" x14ac:dyDescent="0.35">
      <c r="A204" s="6">
        <v>44778</v>
      </c>
      <c r="B204" s="3">
        <v>0.4375</v>
      </c>
      <c r="C204" t="s">
        <v>16</v>
      </c>
      <c r="D204" t="s">
        <v>16</v>
      </c>
      <c r="E204">
        <v>0.71599999999999997</v>
      </c>
      <c r="F204" t="s">
        <v>6</v>
      </c>
    </row>
    <row r="205" spans="1:6" x14ac:dyDescent="0.35">
      <c r="A205" s="6">
        <v>44778</v>
      </c>
      <c r="B205" s="3">
        <v>0.4375</v>
      </c>
      <c r="C205" t="s">
        <v>14</v>
      </c>
      <c r="D205" t="s">
        <v>14</v>
      </c>
      <c r="E205">
        <v>0.379</v>
      </c>
      <c r="F205" t="s">
        <v>6</v>
      </c>
    </row>
    <row r="206" spans="1:6" x14ac:dyDescent="0.35">
      <c r="A206" s="6">
        <v>44778</v>
      </c>
      <c r="B206" s="3">
        <v>0.4375</v>
      </c>
      <c r="C206" t="s">
        <v>17</v>
      </c>
      <c r="D206" t="s">
        <v>17</v>
      </c>
      <c r="E206">
        <v>0.42699999999999999</v>
      </c>
      <c r="F206" t="s">
        <v>6</v>
      </c>
    </row>
    <row r="207" spans="1:6" x14ac:dyDescent="0.35">
      <c r="A207" s="6">
        <v>44778</v>
      </c>
      <c r="B207" s="3">
        <v>0.4375</v>
      </c>
      <c r="C207" t="s">
        <v>9</v>
      </c>
      <c r="D207" t="s">
        <v>9</v>
      </c>
      <c r="E207">
        <v>0.91</v>
      </c>
      <c r="F207" t="s">
        <v>6</v>
      </c>
    </row>
    <row r="208" spans="1:6" x14ac:dyDescent="0.35">
      <c r="A208" s="6">
        <v>44778</v>
      </c>
      <c r="B208" s="3">
        <v>0.4375</v>
      </c>
      <c r="C208" t="s">
        <v>5</v>
      </c>
      <c r="D208" t="s">
        <v>5</v>
      </c>
      <c r="E208">
        <v>0.51700000000000002</v>
      </c>
      <c r="F208" t="s">
        <v>6</v>
      </c>
    </row>
    <row r="209" spans="1:6" x14ac:dyDescent="0.35">
      <c r="A209" s="6">
        <v>44778</v>
      </c>
      <c r="B209" s="3">
        <v>0.4375</v>
      </c>
      <c r="C209" t="s">
        <v>15</v>
      </c>
      <c r="D209" t="s">
        <v>15</v>
      </c>
      <c r="E209">
        <v>0.52700000000000002</v>
      </c>
      <c r="F209" t="s">
        <v>6</v>
      </c>
    </row>
    <row r="210" spans="1:6" x14ac:dyDescent="0.35">
      <c r="A210" s="6">
        <v>44778</v>
      </c>
      <c r="B210" s="3">
        <v>0.45833333333333331</v>
      </c>
      <c r="C210" t="s">
        <v>13</v>
      </c>
      <c r="D210" t="s">
        <v>13</v>
      </c>
      <c r="E210">
        <v>0.71</v>
      </c>
      <c r="F210" t="s">
        <v>6</v>
      </c>
    </row>
    <row r="211" spans="1:6" x14ac:dyDescent="0.35">
      <c r="A211" s="6">
        <v>44778</v>
      </c>
      <c r="B211" s="3">
        <v>0.45833333333333331</v>
      </c>
      <c r="C211" t="s">
        <v>8</v>
      </c>
      <c r="D211" t="s">
        <v>8</v>
      </c>
      <c r="E211">
        <v>0.41099999999999998</v>
      </c>
      <c r="F211" t="s">
        <v>6</v>
      </c>
    </row>
    <row r="212" spans="1:6" x14ac:dyDescent="0.35">
      <c r="A212" s="6">
        <v>44778</v>
      </c>
      <c r="B212" s="3">
        <v>0.45833333333333331</v>
      </c>
      <c r="C212" t="s">
        <v>16</v>
      </c>
      <c r="D212" t="s">
        <v>16</v>
      </c>
      <c r="E212">
        <v>0.68200000000000005</v>
      </c>
      <c r="F212" t="s">
        <v>6</v>
      </c>
    </row>
    <row r="213" spans="1:6" x14ac:dyDescent="0.35">
      <c r="A213" s="6">
        <v>44778</v>
      </c>
      <c r="B213" s="3">
        <v>0.45833333333333331</v>
      </c>
      <c r="C213" t="s">
        <v>14</v>
      </c>
      <c r="D213" t="s">
        <v>14</v>
      </c>
      <c r="E213">
        <v>0.38900000000000001</v>
      </c>
      <c r="F213" t="s">
        <v>6</v>
      </c>
    </row>
    <row r="214" spans="1:6" x14ac:dyDescent="0.35">
      <c r="A214" s="6">
        <v>44778</v>
      </c>
      <c r="B214" s="3">
        <v>0.45833333333333331</v>
      </c>
      <c r="C214" t="s">
        <v>17</v>
      </c>
      <c r="D214" t="s">
        <v>17</v>
      </c>
      <c r="E214">
        <v>0.43099999999999999</v>
      </c>
      <c r="F214" t="s">
        <v>6</v>
      </c>
    </row>
    <row r="215" spans="1:6" x14ac:dyDescent="0.35">
      <c r="A215" s="6">
        <v>44778</v>
      </c>
      <c r="B215" s="3">
        <v>0.45833333333333331</v>
      </c>
      <c r="C215" t="s">
        <v>9</v>
      </c>
      <c r="D215" t="s">
        <v>9</v>
      </c>
      <c r="E215">
        <v>0.91200000000000003</v>
      </c>
      <c r="F215" t="s">
        <v>6</v>
      </c>
    </row>
    <row r="216" spans="1:6" x14ac:dyDescent="0.35">
      <c r="A216" s="6">
        <v>44778</v>
      </c>
      <c r="B216" s="3">
        <v>0.45833333333333331</v>
      </c>
      <c r="C216" t="s">
        <v>5</v>
      </c>
      <c r="D216" t="s">
        <v>5</v>
      </c>
      <c r="E216">
        <v>0.52800000000000002</v>
      </c>
      <c r="F216" t="s">
        <v>6</v>
      </c>
    </row>
    <row r="217" spans="1:6" x14ac:dyDescent="0.35">
      <c r="A217" s="6">
        <v>44778</v>
      </c>
      <c r="B217" s="3">
        <v>0.45833333333333331</v>
      </c>
      <c r="C217" t="s">
        <v>15</v>
      </c>
      <c r="D217" t="s">
        <v>15</v>
      </c>
      <c r="E217">
        <v>0.52400000000000002</v>
      </c>
      <c r="F217" t="s">
        <v>6</v>
      </c>
    </row>
    <row r="218" spans="1:6" x14ac:dyDescent="0.35">
      <c r="A218" s="6">
        <v>44778</v>
      </c>
      <c r="B218" s="3">
        <v>0.47916666666666669</v>
      </c>
      <c r="C218" t="s">
        <v>13</v>
      </c>
      <c r="D218" t="s">
        <v>13</v>
      </c>
      <c r="E218">
        <v>0.68799999999999994</v>
      </c>
      <c r="F218" t="s">
        <v>6</v>
      </c>
    </row>
    <row r="219" spans="1:6" x14ac:dyDescent="0.35">
      <c r="A219" s="6">
        <v>44778</v>
      </c>
      <c r="B219" s="3">
        <v>0.47916666666666669</v>
      </c>
      <c r="C219" t="s">
        <v>8</v>
      </c>
      <c r="D219" t="s">
        <v>8</v>
      </c>
      <c r="E219">
        <v>0.42299999999999999</v>
      </c>
      <c r="F219" t="s">
        <v>6</v>
      </c>
    </row>
    <row r="220" spans="1:6" x14ac:dyDescent="0.35">
      <c r="A220" s="6">
        <v>44778</v>
      </c>
      <c r="B220" s="3">
        <v>0.47916666666666669</v>
      </c>
      <c r="C220" t="s">
        <v>16</v>
      </c>
      <c r="D220" t="s">
        <v>16</v>
      </c>
      <c r="E220">
        <v>0.64700000000000002</v>
      </c>
      <c r="F220" t="s">
        <v>6</v>
      </c>
    </row>
    <row r="221" spans="1:6" x14ac:dyDescent="0.35">
      <c r="A221" s="6">
        <v>44778</v>
      </c>
      <c r="B221" s="3">
        <v>0.47916666666666669</v>
      </c>
      <c r="C221" t="s">
        <v>14</v>
      </c>
      <c r="D221" t="s">
        <v>14</v>
      </c>
      <c r="E221">
        <v>0.40400000000000003</v>
      </c>
      <c r="F221" t="s">
        <v>6</v>
      </c>
    </row>
    <row r="222" spans="1:6" x14ac:dyDescent="0.35">
      <c r="A222" s="6">
        <v>44778</v>
      </c>
      <c r="B222" s="3">
        <v>0.47916666666666669</v>
      </c>
      <c r="C222" t="s">
        <v>17</v>
      </c>
      <c r="D222" t="s">
        <v>17</v>
      </c>
      <c r="E222">
        <v>0.434</v>
      </c>
      <c r="F222" t="s">
        <v>6</v>
      </c>
    </row>
    <row r="223" spans="1:6" x14ac:dyDescent="0.35">
      <c r="A223" s="6">
        <v>44778</v>
      </c>
      <c r="B223" s="3">
        <v>0.47916666666666669</v>
      </c>
      <c r="C223" t="s">
        <v>9</v>
      </c>
      <c r="D223" t="s">
        <v>9</v>
      </c>
      <c r="E223">
        <v>0.90900000000000003</v>
      </c>
      <c r="F223" t="s">
        <v>6</v>
      </c>
    </row>
    <row r="224" spans="1:6" x14ac:dyDescent="0.35">
      <c r="A224" s="6">
        <v>44778</v>
      </c>
      <c r="B224" s="3">
        <v>0.47916666666666669</v>
      </c>
      <c r="C224" t="s">
        <v>5</v>
      </c>
      <c r="D224" t="s">
        <v>5</v>
      </c>
      <c r="E224">
        <v>0.53500000000000003</v>
      </c>
      <c r="F224" t="s">
        <v>6</v>
      </c>
    </row>
    <row r="225" spans="1:6" x14ac:dyDescent="0.35">
      <c r="A225" s="6">
        <v>44778</v>
      </c>
      <c r="B225" s="3">
        <v>0.47916666666666669</v>
      </c>
      <c r="C225" t="s">
        <v>15</v>
      </c>
      <c r="D225" t="s">
        <v>15</v>
      </c>
      <c r="E225">
        <v>0.52200000000000002</v>
      </c>
      <c r="F225" t="s">
        <v>6</v>
      </c>
    </row>
    <row r="226" spans="1:6" x14ac:dyDescent="0.35">
      <c r="A226" s="6">
        <v>44778</v>
      </c>
      <c r="B226" s="3">
        <v>0.5</v>
      </c>
      <c r="C226" t="s">
        <v>13</v>
      </c>
      <c r="D226" t="s">
        <v>13</v>
      </c>
      <c r="E226">
        <v>0.65900000000000003</v>
      </c>
      <c r="F226" t="s">
        <v>6</v>
      </c>
    </row>
    <row r="227" spans="1:6" x14ac:dyDescent="0.35">
      <c r="A227" s="6">
        <v>44778</v>
      </c>
      <c r="B227" s="3">
        <v>0.5</v>
      </c>
      <c r="C227" t="s">
        <v>8</v>
      </c>
      <c r="D227" t="s">
        <v>8</v>
      </c>
      <c r="E227">
        <v>0.435</v>
      </c>
      <c r="F227" t="s">
        <v>6</v>
      </c>
    </row>
    <row r="228" spans="1:6" x14ac:dyDescent="0.35">
      <c r="A228" s="6">
        <v>44778</v>
      </c>
      <c r="B228" s="3">
        <v>0.5</v>
      </c>
      <c r="C228" t="s">
        <v>16</v>
      </c>
      <c r="D228" t="s">
        <v>16</v>
      </c>
      <c r="E228">
        <v>0.62</v>
      </c>
      <c r="F228" t="s">
        <v>6</v>
      </c>
    </row>
    <row r="229" spans="1:6" x14ac:dyDescent="0.35">
      <c r="A229" s="6">
        <v>44778</v>
      </c>
      <c r="B229" s="3">
        <v>0.5</v>
      </c>
      <c r="C229" t="s">
        <v>14</v>
      </c>
      <c r="D229" t="s">
        <v>14</v>
      </c>
      <c r="E229">
        <v>0.42</v>
      </c>
      <c r="F229" t="s">
        <v>6</v>
      </c>
    </row>
    <row r="230" spans="1:6" x14ac:dyDescent="0.35">
      <c r="A230" s="6">
        <v>44778</v>
      </c>
      <c r="B230" s="3">
        <v>0.5</v>
      </c>
      <c r="C230" t="s">
        <v>17</v>
      </c>
      <c r="D230" t="s">
        <v>17</v>
      </c>
      <c r="E230">
        <v>0.438</v>
      </c>
      <c r="F230" t="s">
        <v>6</v>
      </c>
    </row>
    <row r="231" spans="1:6" x14ac:dyDescent="0.35">
      <c r="A231" s="6">
        <v>44778</v>
      </c>
      <c r="B231" s="3">
        <v>0.5</v>
      </c>
      <c r="C231" t="s">
        <v>9</v>
      </c>
      <c r="D231" t="s">
        <v>9</v>
      </c>
      <c r="E231">
        <v>0.91</v>
      </c>
      <c r="F231" t="s">
        <v>6</v>
      </c>
    </row>
    <row r="232" spans="1:6" x14ac:dyDescent="0.35">
      <c r="A232" s="6">
        <v>44778</v>
      </c>
      <c r="B232" s="3">
        <v>0.5</v>
      </c>
      <c r="C232" t="s">
        <v>5</v>
      </c>
      <c r="D232" t="s">
        <v>5</v>
      </c>
      <c r="E232">
        <v>0.53600000000000003</v>
      </c>
      <c r="F232" t="s">
        <v>6</v>
      </c>
    </row>
    <row r="233" spans="1:6" x14ac:dyDescent="0.35">
      <c r="A233" s="6">
        <v>44778</v>
      </c>
      <c r="B233" s="3">
        <v>0.5</v>
      </c>
      <c r="C233" t="s">
        <v>15</v>
      </c>
      <c r="D233" t="s">
        <v>15</v>
      </c>
      <c r="E233">
        <v>0.52400000000000002</v>
      </c>
      <c r="F233" t="s">
        <v>6</v>
      </c>
    </row>
    <row r="234" spans="1:6" x14ac:dyDescent="0.35">
      <c r="A234" s="6">
        <v>44779</v>
      </c>
      <c r="B234" s="3">
        <v>0.14583333333333334</v>
      </c>
      <c r="C234" t="s">
        <v>35</v>
      </c>
      <c r="D234" t="s">
        <v>35</v>
      </c>
      <c r="E234">
        <v>0.52900000000000003</v>
      </c>
      <c r="F234" t="s">
        <v>6</v>
      </c>
    </row>
    <row r="235" spans="1:6" x14ac:dyDescent="0.35">
      <c r="A235" s="6">
        <v>44779</v>
      </c>
      <c r="B235" s="3">
        <v>0.14583333333333334</v>
      </c>
      <c r="C235" t="s">
        <v>17</v>
      </c>
      <c r="D235" t="s">
        <v>17</v>
      </c>
      <c r="E235">
        <v>0.46600000000000003</v>
      </c>
      <c r="F235" t="s">
        <v>6</v>
      </c>
    </row>
    <row r="236" spans="1:6" x14ac:dyDescent="0.35">
      <c r="A236" s="6">
        <v>44779</v>
      </c>
      <c r="B236" s="3">
        <v>0.14583333333333334</v>
      </c>
      <c r="C236" t="s">
        <v>5</v>
      </c>
      <c r="D236" t="s">
        <v>5</v>
      </c>
      <c r="E236">
        <v>0.64100000000000001</v>
      </c>
      <c r="F236" t="s">
        <v>6</v>
      </c>
    </row>
    <row r="237" spans="1:6" x14ac:dyDescent="0.35">
      <c r="A237" s="6">
        <v>44779</v>
      </c>
      <c r="B237" s="3">
        <v>0.14583333333333334</v>
      </c>
      <c r="C237" t="s">
        <v>11</v>
      </c>
      <c r="D237" t="s">
        <v>11</v>
      </c>
      <c r="E237">
        <v>0.622</v>
      </c>
      <c r="F237" t="s">
        <v>6</v>
      </c>
    </row>
    <row r="238" spans="1:6" x14ac:dyDescent="0.35">
      <c r="A238" s="6">
        <v>44779</v>
      </c>
      <c r="B238" s="3">
        <v>0.14583333333333334</v>
      </c>
      <c r="C238" t="s">
        <v>34</v>
      </c>
      <c r="D238" t="s">
        <v>34</v>
      </c>
      <c r="E238">
        <v>0.69299999999999995</v>
      </c>
      <c r="F238" t="s">
        <v>6</v>
      </c>
    </row>
    <row r="239" spans="1:6" x14ac:dyDescent="0.35">
      <c r="A239" s="6">
        <v>44779</v>
      </c>
      <c r="B239" s="3">
        <v>0.14583333333333334</v>
      </c>
      <c r="C239" t="s">
        <v>7</v>
      </c>
      <c r="D239" t="s">
        <v>7</v>
      </c>
      <c r="E239">
        <v>0.92</v>
      </c>
      <c r="F239" t="s">
        <v>6</v>
      </c>
    </row>
    <row r="240" spans="1:6" x14ac:dyDescent="0.35">
      <c r="A240" s="6">
        <v>44779</v>
      </c>
      <c r="B240" s="3">
        <v>0.14583333333333334</v>
      </c>
      <c r="C240" t="s">
        <v>10</v>
      </c>
      <c r="D240" t="s">
        <v>7</v>
      </c>
      <c r="E240">
        <v>0.64200000000000002</v>
      </c>
      <c r="F240" t="s">
        <v>6</v>
      </c>
    </row>
    <row r="241" spans="1:6" x14ac:dyDescent="0.35">
      <c r="A241" s="6">
        <v>44779</v>
      </c>
      <c r="B241" s="3">
        <v>0.14583333333333334</v>
      </c>
      <c r="C241" t="s">
        <v>15</v>
      </c>
      <c r="D241" t="s">
        <v>15</v>
      </c>
      <c r="E241">
        <v>0.71699999999999997</v>
      </c>
      <c r="F241" t="s">
        <v>6</v>
      </c>
    </row>
    <row r="242" spans="1:6" x14ac:dyDescent="0.35">
      <c r="A242" s="6">
        <v>44779</v>
      </c>
      <c r="B242" s="3">
        <v>0.16666666666666666</v>
      </c>
      <c r="C242" t="s">
        <v>35</v>
      </c>
      <c r="D242" t="s">
        <v>35</v>
      </c>
      <c r="E242">
        <v>0.56599999999999995</v>
      </c>
      <c r="F242" t="s">
        <v>6</v>
      </c>
    </row>
    <row r="243" spans="1:6" x14ac:dyDescent="0.35">
      <c r="A243" s="6">
        <v>44779</v>
      </c>
      <c r="B243" s="3">
        <v>0.16666666666666666</v>
      </c>
      <c r="C243" t="s">
        <v>17</v>
      </c>
      <c r="D243" t="s">
        <v>17</v>
      </c>
      <c r="E243">
        <v>0.496</v>
      </c>
      <c r="F243" t="s">
        <v>6</v>
      </c>
    </row>
    <row r="244" spans="1:6" x14ac:dyDescent="0.35">
      <c r="A244" s="6">
        <v>44779</v>
      </c>
      <c r="B244" s="3">
        <v>0.16666666666666666</v>
      </c>
      <c r="C244" t="s">
        <v>5</v>
      </c>
      <c r="D244" t="s">
        <v>5</v>
      </c>
      <c r="E244">
        <v>0.67</v>
      </c>
      <c r="F244" t="s">
        <v>6</v>
      </c>
    </row>
    <row r="245" spans="1:6" x14ac:dyDescent="0.35">
      <c r="A245" s="6">
        <v>44779</v>
      </c>
      <c r="B245" s="3">
        <v>0.16666666666666666</v>
      </c>
      <c r="C245" t="s">
        <v>11</v>
      </c>
      <c r="D245" t="s">
        <v>11</v>
      </c>
      <c r="E245">
        <v>0.65300000000000002</v>
      </c>
      <c r="F245" t="s">
        <v>6</v>
      </c>
    </row>
    <row r="246" spans="1:6" x14ac:dyDescent="0.35">
      <c r="A246" s="6">
        <v>44779</v>
      </c>
      <c r="B246" s="3">
        <v>0.16666666666666666</v>
      </c>
      <c r="C246" t="s">
        <v>34</v>
      </c>
      <c r="D246" t="s">
        <v>34</v>
      </c>
      <c r="E246">
        <v>0.71699999999999997</v>
      </c>
      <c r="F246" t="s">
        <v>6</v>
      </c>
    </row>
    <row r="247" spans="1:6" x14ac:dyDescent="0.35">
      <c r="A247" s="6">
        <v>44779</v>
      </c>
      <c r="B247" s="3">
        <v>0.16666666666666666</v>
      </c>
      <c r="C247" t="s">
        <v>7</v>
      </c>
      <c r="D247" t="s">
        <v>7</v>
      </c>
      <c r="E247">
        <v>0.98299999999999998</v>
      </c>
      <c r="F247" t="s">
        <v>6</v>
      </c>
    </row>
    <row r="248" spans="1:6" x14ac:dyDescent="0.35">
      <c r="A248" s="6">
        <v>44779</v>
      </c>
      <c r="B248" s="3">
        <v>0.16666666666666666</v>
      </c>
      <c r="C248" t="s">
        <v>10</v>
      </c>
      <c r="D248" t="s">
        <v>7</v>
      </c>
      <c r="E248">
        <v>0.69099999999999995</v>
      </c>
      <c r="F248" t="s">
        <v>6</v>
      </c>
    </row>
    <row r="249" spans="1:6" x14ac:dyDescent="0.35">
      <c r="A249" s="6">
        <v>44779</v>
      </c>
      <c r="B249" s="3">
        <v>0.16666666666666666</v>
      </c>
      <c r="C249" t="s">
        <v>15</v>
      </c>
      <c r="D249" t="s">
        <v>15</v>
      </c>
      <c r="E249">
        <v>0.75</v>
      </c>
      <c r="F249" t="s">
        <v>6</v>
      </c>
    </row>
    <row r="250" spans="1:6" x14ac:dyDescent="0.35">
      <c r="A250" s="6">
        <v>44779</v>
      </c>
      <c r="B250" s="3">
        <v>0.1875</v>
      </c>
      <c r="C250" t="s">
        <v>35</v>
      </c>
      <c r="D250" t="s">
        <v>35</v>
      </c>
      <c r="E250">
        <v>0.59299999999999997</v>
      </c>
      <c r="F250" t="s">
        <v>6</v>
      </c>
    </row>
    <row r="251" spans="1:6" x14ac:dyDescent="0.35">
      <c r="A251" s="6">
        <v>44779</v>
      </c>
      <c r="B251" s="3">
        <v>0.1875</v>
      </c>
      <c r="C251" t="s">
        <v>17</v>
      </c>
      <c r="D251" t="s">
        <v>17</v>
      </c>
      <c r="E251">
        <v>0.51900000000000002</v>
      </c>
      <c r="F251" t="s">
        <v>6</v>
      </c>
    </row>
    <row r="252" spans="1:6" x14ac:dyDescent="0.35">
      <c r="A252" s="6">
        <v>44779</v>
      </c>
      <c r="B252" s="3">
        <v>0.1875</v>
      </c>
      <c r="C252" t="s">
        <v>5</v>
      </c>
      <c r="D252" t="s">
        <v>5</v>
      </c>
      <c r="E252">
        <v>0.68899999999999995</v>
      </c>
      <c r="F252" t="s">
        <v>6</v>
      </c>
    </row>
    <row r="253" spans="1:6" x14ac:dyDescent="0.35">
      <c r="A253" s="6">
        <v>44779</v>
      </c>
      <c r="B253" s="3">
        <v>0.1875</v>
      </c>
      <c r="C253" t="s">
        <v>11</v>
      </c>
      <c r="D253" t="s">
        <v>11</v>
      </c>
      <c r="E253">
        <v>0.67700000000000005</v>
      </c>
      <c r="F253" t="s">
        <v>6</v>
      </c>
    </row>
    <row r="254" spans="1:6" x14ac:dyDescent="0.35">
      <c r="A254" s="6">
        <v>44779</v>
      </c>
      <c r="B254" s="3">
        <v>0.1875</v>
      </c>
      <c r="C254" t="s">
        <v>34</v>
      </c>
      <c r="D254" t="s">
        <v>34</v>
      </c>
      <c r="E254">
        <v>0.73399999999999999</v>
      </c>
      <c r="F254" t="s">
        <v>6</v>
      </c>
    </row>
    <row r="255" spans="1:6" x14ac:dyDescent="0.35">
      <c r="A255" s="6">
        <v>44779</v>
      </c>
      <c r="B255" s="3">
        <v>0.1875</v>
      </c>
      <c r="C255" t="s">
        <v>7</v>
      </c>
      <c r="D255" t="s">
        <v>7</v>
      </c>
      <c r="E255">
        <v>1.0289999999999999</v>
      </c>
      <c r="F255" t="s">
        <v>6</v>
      </c>
    </row>
    <row r="256" spans="1:6" x14ac:dyDescent="0.35">
      <c r="A256" s="6">
        <v>44779</v>
      </c>
      <c r="B256" s="3">
        <v>0.1875</v>
      </c>
      <c r="C256" t="s">
        <v>10</v>
      </c>
      <c r="D256" t="s">
        <v>7</v>
      </c>
      <c r="E256">
        <v>0.72599999999999998</v>
      </c>
      <c r="F256" t="s">
        <v>6</v>
      </c>
    </row>
    <row r="257" spans="1:6" x14ac:dyDescent="0.35">
      <c r="A257" s="6">
        <v>44779</v>
      </c>
      <c r="B257" s="3">
        <v>0.1875</v>
      </c>
      <c r="C257" t="s">
        <v>15</v>
      </c>
      <c r="D257" t="s">
        <v>15</v>
      </c>
      <c r="E257">
        <v>0.77800000000000002</v>
      </c>
      <c r="F257" t="s">
        <v>6</v>
      </c>
    </row>
    <row r="258" spans="1:6" x14ac:dyDescent="0.35">
      <c r="A258" s="6">
        <v>44779</v>
      </c>
      <c r="B258" s="3">
        <v>0.20833333333333334</v>
      </c>
      <c r="C258" t="s">
        <v>35</v>
      </c>
      <c r="D258" t="s">
        <v>35</v>
      </c>
      <c r="E258">
        <v>0.60899999999999999</v>
      </c>
      <c r="F258" t="s">
        <v>6</v>
      </c>
    </row>
    <row r="259" spans="1:6" x14ac:dyDescent="0.35">
      <c r="A259" s="6">
        <v>44779</v>
      </c>
      <c r="B259" s="3">
        <v>0.20833333333333334</v>
      </c>
      <c r="C259" t="s">
        <v>17</v>
      </c>
      <c r="D259" t="s">
        <v>17</v>
      </c>
      <c r="E259">
        <v>0.53100000000000003</v>
      </c>
      <c r="F259" t="s">
        <v>6</v>
      </c>
    </row>
    <row r="260" spans="1:6" x14ac:dyDescent="0.35">
      <c r="A260" s="6">
        <v>44779</v>
      </c>
      <c r="B260" s="3">
        <v>0.20833333333333334</v>
      </c>
      <c r="C260" t="s">
        <v>5</v>
      </c>
      <c r="D260" t="s">
        <v>5</v>
      </c>
      <c r="E260">
        <v>0.69899999999999995</v>
      </c>
      <c r="F260" t="s">
        <v>6</v>
      </c>
    </row>
    <row r="261" spans="1:6" x14ac:dyDescent="0.35">
      <c r="A261" s="6">
        <v>44779</v>
      </c>
      <c r="B261" s="3">
        <v>0.20833333333333334</v>
      </c>
      <c r="C261" t="s">
        <v>11</v>
      </c>
      <c r="D261" t="s">
        <v>11</v>
      </c>
      <c r="E261">
        <v>0.68899999999999995</v>
      </c>
      <c r="F261" t="s">
        <v>6</v>
      </c>
    </row>
    <row r="262" spans="1:6" x14ac:dyDescent="0.35">
      <c r="A262" s="6">
        <v>44779</v>
      </c>
      <c r="B262" s="3">
        <v>0.20833333333333334</v>
      </c>
      <c r="C262" t="s">
        <v>34</v>
      </c>
      <c r="D262" t="s">
        <v>34</v>
      </c>
      <c r="E262">
        <v>0.746</v>
      </c>
      <c r="F262" t="s">
        <v>6</v>
      </c>
    </row>
    <row r="263" spans="1:6" x14ac:dyDescent="0.35">
      <c r="A263" s="6">
        <v>44779</v>
      </c>
      <c r="B263" s="3">
        <v>0.20833333333333334</v>
      </c>
      <c r="C263" t="s">
        <v>7</v>
      </c>
      <c r="D263" t="s">
        <v>7</v>
      </c>
      <c r="E263">
        <v>1.054</v>
      </c>
      <c r="F263" t="s">
        <v>6</v>
      </c>
    </row>
    <row r="264" spans="1:6" x14ac:dyDescent="0.35">
      <c r="A264" s="6">
        <v>44779</v>
      </c>
      <c r="B264" s="3">
        <v>0.20833333333333334</v>
      </c>
      <c r="C264" t="s">
        <v>10</v>
      </c>
      <c r="D264" t="s">
        <v>7</v>
      </c>
      <c r="E264">
        <v>0.74399999999999999</v>
      </c>
      <c r="F264" t="s">
        <v>6</v>
      </c>
    </row>
    <row r="265" spans="1:6" x14ac:dyDescent="0.35">
      <c r="A265" s="6">
        <v>44779</v>
      </c>
      <c r="B265" s="3">
        <v>0.20833333333333334</v>
      </c>
      <c r="C265" t="s">
        <v>15</v>
      </c>
      <c r="D265" t="s">
        <v>15</v>
      </c>
      <c r="E265">
        <v>0.80500000000000005</v>
      </c>
      <c r="F265" t="s">
        <v>6</v>
      </c>
    </row>
    <row r="266" spans="1:6" x14ac:dyDescent="0.35">
      <c r="A266" s="6">
        <v>44779</v>
      </c>
      <c r="B266" s="3">
        <v>0.22916666666666666</v>
      </c>
      <c r="C266" t="s">
        <v>35</v>
      </c>
      <c r="D266" t="s">
        <v>35</v>
      </c>
      <c r="E266">
        <v>0.621</v>
      </c>
      <c r="F266" t="s">
        <v>6</v>
      </c>
    </row>
    <row r="267" spans="1:6" x14ac:dyDescent="0.35">
      <c r="A267" s="6">
        <v>44779</v>
      </c>
      <c r="B267" s="3">
        <v>0.22916666666666666</v>
      </c>
      <c r="C267" t="s">
        <v>17</v>
      </c>
      <c r="D267" t="s">
        <v>17</v>
      </c>
      <c r="E267">
        <v>0.53900000000000003</v>
      </c>
      <c r="F267" t="s">
        <v>6</v>
      </c>
    </row>
    <row r="268" spans="1:6" x14ac:dyDescent="0.35">
      <c r="A268" s="6">
        <v>44779</v>
      </c>
      <c r="B268" s="3">
        <v>0.22916666666666666</v>
      </c>
      <c r="C268" t="s">
        <v>5</v>
      </c>
      <c r="D268" t="s">
        <v>5</v>
      </c>
      <c r="E268">
        <v>0.70499999999999996</v>
      </c>
      <c r="F268" t="s">
        <v>6</v>
      </c>
    </row>
    <row r="269" spans="1:6" x14ac:dyDescent="0.35">
      <c r="A269" s="6">
        <v>44779</v>
      </c>
      <c r="B269" s="3">
        <v>0.22916666666666666</v>
      </c>
      <c r="C269" t="s">
        <v>11</v>
      </c>
      <c r="D269" t="s">
        <v>11</v>
      </c>
      <c r="E269">
        <v>0.69699999999999995</v>
      </c>
      <c r="F269" t="s">
        <v>6</v>
      </c>
    </row>
    <row r="270" spans="1:6" x14ac:dyDescent="0.35">
      <c r="A270" s="6">
        <v>44779</v>
      </c>
      <c r="B270" s="3">
        <v>0.22916666666666666</v>
      </c>
      <c r="C270" t="s">
        <v>34</v>
      </c>
      <c r="D270" t="s">
        <v>34</v>
      </c>
      <c r="E270">
        <v>0.75</v>
      </c>
      <c r="F270" t="s">
        <v>6</v>
      </c>
    </row>
    <row r="271" spans="1:6" x14ac:dyDescent="0.35">
      <c r="A271" s="6">
        <v>44779</v>
      </c>
      <c r="B271" s="3">
        <v>0.22916666666666666</v>
      </c>
      <c r="C271" t="s">
        <v>7</v>
      </c>
      <c r="D271" t="s">
        <v>7</v>
      </c>
      <c r="E271">
        <v>1.07</v>
      </c>
      <c r="F271" t="s">
        <v>6</v>
      </c>
    </row>
    <row r="272" spans="1:6" x14ac:dyDescent="0.35">
      <c r="A272" s="6">
        <v>44779</v>
      </c>
      <c r="B272" s="3">
        <v>0.22916666666666666</v>
      </c>
      <c r="C272" t="s">
        <v>10</v>
      </c>
      <c r="D272" t="s">
        <v>7</v>
      </c>
      <c r="E272">
        <v>0.75600000000000001</v>
      </c>
      <c r="F272" t="s">
        <v>6</v>
      </c>
    </row>
    <row r="273" spans="1:6" x14ac:dyDescent="0.35">
      <c r="A273" s="6">
        <v>44779</v>
      </c>
      <c r="B273" s="3">
        <v>0.22916666666666666</v>
      </c>
      <c r="C273" t="s">
        <v>15</v>
      </c>
      <c r="D273" t="s">
        <v>15</v>
      </c>
      <c r="E273">
        <v>0.81799999999999995</v>
      </c>
      <c r="F273" t="s">
        <v>6</v>
      </c>
    </row>
    <row r="274" spans="1:6" x14ac:dyDescent="0.35">
      <c r="A274" s="6">
        <v>44779</v>
      </c>
      <c r="B274" s="3">
        <v>0.29166666666666669</v>
      </c>
      <c r="C274" t="s">
        <v>35</v>
      </c>
      <c r="D274" t="s">
        <v>35</v>
      </c>
      <c r="E274">
        <v>0.65200000000000002</v>
      </c>
      <c r="F274" t="s">
        <v>6</v>
      </c>
    </row>
    <row r="275" spans="1:6" x14ac:dyDescent="0.35">
      <c r="A275" s="6">
        <v>44779</v>
      </c>
      <c r="B275" s="3">
        <v>0.29166666666666669</v>
      </c>
      <c r="C275" t="s">
        <v>17</v>
      </c>
      <c r="D275" t="s">
        <v>17</v>
      </c>
      <c r="E275">
        <v>0.55200000000000005</v>
      </c>
      <c r="F275" t="s">
        <v>6</v>
      </c>
    </row>
    <row r="276" spans="1:6" x14ac:dyDescent="0.35">
      <c r="A276" s="6">
        <v>44779</v>
      </c>
      <c r="B276" s="3">
        <v>0.29166666666666669</v>
      </c>
      <c r="C276" t="s">
        <v>5</v>
      </c>
      <c r="D276" t="s">
        <v>5</v>
      </c>
      <c r="E276">
        <v>0.71099999999999997</v>
      </c>
      <c r="F276" t="s">
        <v>6</v>
      </c>
    </row>
    <row r="277" spans="1:6" x14ac:dyDescent="0.35">
      <c r="A277" s="6">
        <v>44779</v>
      </c>
      <c r="B277" s="3">
        <v>0.29166666666666669</v>
      </c>
      <c r="C277" t="s">
        <v>11</v>
      </c>
      <c r="D277" t="s">
        <v>11</v>
      </c>
      <c r="E277">
        <v>0.71099999999999997</v>
      </c>
      <c r="F277" t="s">
        <v>6</v>
      </c>
    </row>
    <row r="278" spans="1:6" x14ac:dyDescent="0.35">
      <c r="A278" s="6">
        <v>44779</v>
      </c>
      <c r="B278" s="3">
        <v>0.29166666666666669</v>
      </c>
      <c r="C278" t="s">
        <v>34</v>
      </c>
      <c r="D278" t="s">
        <v>34</v>
      </c>
      <c r="E278">
        <v>0.76100000000000001</v>
      </c>
      <c r="F278" t="s">
        <v>6</v>
      </c>
    </row>
    <row r="279" spans="1:6" x14ac:dyDescent="0.35">
      <c r="A279" s="6">
        <v>44779</v>
      </c>
      <c r="B279" s="3">
        <v>0.29166666666666669</v>
      </c>
      <c r="C279" t="s">
        <v>7</v>
      </c>
      <c r="D279" t="s">
        <v>7</v>
      </c>
      <c r="E279">
        <v>1.091</v>
      </c>
      <c r="F279" t="s">
        <v>6</v>
      </c>
    </row>
    <row r="280" spans="1:6" x14ac:dyDescent="0.35">
      <c r="A280" s="6">
        <v>44779</v>
      </c>
      <c r="B280" s="3">
        <v>0.29166666666666669</v>
      </c>
      <c r="C280" t="s">
        <v>10</v>
      </c>
      <c r="D280" t="s">
        <v>7</v>
      </c>
      <c r="E280">
        <v>0.77800000000000002</v>
      </c>
      <c r="F280" t="s">
        <v>6</v>
      </c>
    </row>
    <row r="281" spans="1:6" x14ac:dyDescent="0.35">
      <c r="A281" s="6">
        <v>44779</v>
      </c>
      <c r="B281" s="3">
        <v>0.29166666666666669</v>
      </c>
      <c r="C281" t="s">
        <v>15</v>
      </c>
      <c r="D281" t="s">
        <v>15</v>
      </c>
      <c r="E281">
        <v>0.83799999999999997</v>
      </c>
      <c r="F281" t="s">
        <v>6</v>
      </c>
    </row>
    <row r="282" spans="1:6" x14ac:dyDescent="0.35">
      <c r="A282" s="6">
        <v>44779</v>
      </c>
      <c r="B282" s="3">
        <v>0.3125</v>
      </c>
      <c r="C282" t="s">
        <v>35</v>
      </c>
      <c r="D282" t="s">
        <v>35</v>
      </c>
      <c r="E282">
        <v>0.65900000000000003</v>
      </c>
      <c r="F282" t="s">
        <v>6</v>
      </c>
    </row>
    <row r="283" spans="1:6" x14ac:dyDescent="0.35">
      <c r="A283" s="6">
        <v>44779</v>
      </c>
      <c r="B283" s="3">
        <v>0.3125</v>
      </c>
      <c r="C283" t="s">
        <v>17</v>
      </c>
      <c r="D283" t="s">
        <v>17</v>
      </c>
      <c r="E283">
        <v>0.55400000000000005</v>
      </c>
      <c r="F283" t="s">
        <v>6</v>
      </c>
    </row>
    <row r="284" spans="1:6" x14ac:dyDescent="0.35">
      <c r="A284" s="6">
        <v>44779</v>
      </c>
      <c r="B284" s="3">
        <v>0.3125</v>
      </c>
      <c r="C284" t="s">
        <v>5</v>
      </c>
      <c r="D284" t="s">
        <v>5</v>
      </c>
      <c r="E284">
        <v>0.70699999999999996</v>
      </c>
      <c r="F284" t="s">
        <v>6</v>
      </c>
    </row>
    <row r="285" spans="1:6" x14ac:dyDescent="0.35">
      <c r="A285" s="6">
        <v>44779</v>
      </c>
      <c r="B285" s="3">
        <v>0.3125</v>
      </c>
      <c r="C285" t="s">
        <v>11</v>
      </c>
      <c r="D285" t="s">
        <v>11</v>
      </c>
      <c r="E285">
        <v>0.71499999999999997</v>
      </c>
      <c r="F285" t="s">
        <v>6</v>
      </c>
    </row>
    <row r="286" spans="1:6" x14ac:dyDescent="0.35">
      <c r="A286" s="6">
        <v>44779</v>
      </c>
      <c r="B286" s="3">
        <v>0.3125</v>
      </c>
      <c r="C286" t="s">
        <v>34</v>
      </c>
      <c r="D286" t="s">
        <v>34</v>
      </c>
      <c r="E286">
        <v>0.76700000000000002</v>
      </c>
      <c r="F286" t="s">
        <v>6</v>
      </c>
    </row>
    <row r="287" spans="1:6" x14ac:dyDescent="0.35">
      <c r="A287" s="6">
        <v>44779</v>
      </c>
      <c r="B287" s="3">
        <v>0.3125</v>
      </c>
      <c r="C287" t="s">
        <v>7</v>
      </c>
      <c r="D287" t="s">
        <v>7</v>
      </c>
      <c r="E287">
        <v>1.0780000000000001</v>
      </c>
      <c r="F287" t="s">
        <v>6</v>
      </c>
    </row>
    <row r="288" spans="1:6" x14ac:dyDescent="0.35">
      <c r="A288" s="6">
        <v>44779</v>
      </c>
      <c r="B288" s="3">
        <v>0.3125</v>
      </c>
      <c r="C288" t="s">
        <v>10</v>
      </c>
      <c r="D288" t="s">
        <v>7</v>
      </c>
      <c r="E288">
        <v>0.78200000000000003</v>
      </c>
      <c r="F288" t="s">
        <v>6</v>
      </c>
    </row>
    <row r="289" spans="1:6" x14ac:dyDescent="0.35">
      <c r="A289" s="6">
        <v>44779</v>
      </c>
      <c r="B289" s="3">
        <v>0.3125</v>
      </c>
      <c r="C289" t="s">
        <v>15</v>
      </c>
      <c r="D289" t="s">
        <v>15</v>
      </c>
      <c r="E289">
        <v>0.84199999999999997</v>
      </c>
      <c r="F289" t="s">
        <v>6</v>
      </c>
    </row>
    <row r="290" spans="1:6" x14ac:dyDescent="0.35">
      <c r="A290" s="6">
        <v>44779</v>
      </c>
      <c r="B290" s="3">
        <v>0.33333333333333331</v>
      </c>
      <c r="C290" t="s">
        <v>35</v>
      </c>
      <c r="D290" t="s">
        <v>35</v>
      </c>
      <c r="E290">
        <v>0.66600000000000004</v>
      </c>
      <c r="F290" t="s">
        <v>6</v>
      </c>
    </row>
    <row r="291" spans="1:6" x14ac:dyDescent="0.35">
      <c r="A291" s="6">
        <v>44779</v>
      </c>
      <c r="B291" s="3">
        <v>0.33333333333333331</v>
      </c>
      <c r="C291" t="s">
        <v>17</v>
      </c>
      <c r="D291" t="s">
        <v>17</v>
      </c>
      <c r="E291">
        <v>0.55900000000000005</v>
      </c>
      <c r="F291" t="s">
        <v>6</v>
      </c>
    </row>
    <row r="292" spans="1:6" x14ac:dyDescent="0.35">
      <c r="A292" s="6">
        <v>44779</v>
      </c>
      <c r="B292" s="3">
        <v>0.33333333333333331</v>
      </c>
      <c r="C292" t="s">
        <v>5</v>
      </c>
      <c r="D292" t="s">
        <v>5</v>
      </c>
      <c r="E292">
        <v>0.66500000000000004</v>
      </c>
      <c r="F292" t="s">
        <v>6</v>
      </c>
    </row>
    <row r="293" spans="1:6" x14ac:dyDescent="0.35">
      <c r="A293" s="6">
        <v>44779</v>
      </c>
      <c r="B293" s="3">
        <v>0.33333333333333331</v>
      </c>
      <c r="C293" t="s">
        <v>11</v>
      </c>
      <c r="D293" t="s">
        <v>11</v>
      </c>
      <c r="E293">
        <v>0.68899999999999995</v>
      </c>
      <c r="F293" t="s">
        <v>6</v>
      </c>
    </row>
    <row r="294" spans="1:6" x14ac:dyDescent="0.35">
      <c r="A294" s="6">
        <v>44779</v>
      </c>
      <c r="B294" s="3">
        <v>0.33333333333333331</v>
      </c>
      <c r="C294" t="s">
        <v>34</v>
      </c>
      <c r="D294" t="s">
        <v>34</v>
      </c>
      <c r="E294">
        <v>0.77300000000000002</v>
      </c>
      <c r="F294" t="s">
        <v>6</v>
      </c>
    </row>
    <row r="295" spans="1:6" x14ac:dyDescent="0.35">
      <c r="A295" s="6">
        <v>44779</v>
      </c>
      <c r="B295" s="3">
        <v>0.33333333333333331</v>
      </c>
      <c r="C295" t="s">
        <v>7</v>
      </c>
      <c r="D295" t="s">
        <v>7</v>
      </c>
      <c r="E295">
        <v>1.0449999999999999</v>
      </c>
      <c r="F295" t="s">
        <v>6</v>
      </c>
    </row>
    <row r="296" spans="1:6" x14ac:dyDescent="0.35">
      <c r="A296" s="6">
        <v>44779</v>
      </c>
      <c r="B296" s="3">
        <v>0.33333333333333331</v>
      </c>
      <c r="C296" t="s">
        <v>10</v>
      </c>
      <c r="D296" t="s">
        <v>7</v>
      </c>
      <c r="E296">
        <v>0.78700000000000003</v>
      </c>
      <c r="F296" t="s">
        <v>6</v>
      </c>
    </row>
    <row r="297" spans="1:6" x14ac:dyDescent="0.35">
      <c r="A297" s="6">
        <v>44779</v>
      </c>
      <c r="B297" s="3">
        <v>0.33333333333333331</v>
      </c>
      <c r="C297" t="s">
        <v>15</v>
      </c>
      <c r="D297" t="s">
        <v>15</v>
      </c>
      <c r="E297">
        <v>0.85099999999999998</v>
      </c>
      <c r="F297" t="s">
        <v>6</v>
      </c>
    </row>
    <row r="298" spans="1:6" x14ac:dyDescent="0.35">
      <c r="A298" s="6">
        <v>44779</v>
      </c>
      <c r="B298" s="3">
        <v>0.35416666666666669</v>
      </c>
      <c r="C298" t="s">
        <v>35</v>
      </c>
      <c r="D298" t="s">
        <v>35</v>
      </c>
      <c r="E298">
        <v>0.67</v>
      </c>
      <c r="F298" t="s">
        <v>6</v>
      </c>
    </row>
    <row r="299" spans="1:6" x14ac:dyDescent="0.35">
      <c r="A299" s="6">
        <v>44779</v>
      </c>
      <c r="B299" s="3">
        <v>0.35416666666666669</v>
      </c>
      <c r="C299" t="s">
        <v>17</v>
      </c>
      <c r="D299" t="s">
        <v>17</v>
      </c>
      <c r="E299">
        <v>0.56000000000000005</v>
      </c>
      <c r="F299" t="s">
        <v>6</v>
      </c>
    </row>
    <row r="300" spans="1:6" x14ac:dyDescent="0.35">
      <c r="A300" s="6">
        <v>44779</v>
      </c>
      <c r="B300" s="3">
        <v>0.35416666666666669</v>
      </c>
      <c r="C300" t="s">
        <v>5</v>
      </c>
      <c r="D300" t="s">
        <v>5</v>
      </c>
      <c r="E300">
        <v>0.60899999999999999</v>
      </c>
      <c r="F300" t="s">
        <v>6</v>
      </c>
    </row>
    <row r="301" spans="1:6" x14ac:dyDescent="0.35">
      <c r="A301" s="6">
        <v>44779</v>
      </c>
      <c r="B301" s="3">
        <v>0.35416666666666669</v>
      </c>
      <c r="C301" t="s">
        <v>11</v>
      </c>
      <c r="D301" t="s">
        <v>11</v>
      </c>
      <c r="E301">
        <v>0.59</v>
      </c>
      <c r="F301" t="s">
        <v>6</v>
      </c>
    </row>
    <row r="302" spans="1:6" x14ac:dyDescent="0.35">
      <c r="A302" s="6">
        <v>44779</v>
      </c>
      <c r="B302" s="3">
        <v>0.35416666666666669</v>
      </c>
      <c r="C302" t="s">
        <v>34</v>
      </c>
      <c r="D302" t="s">
        <v>34</v>
      </c>
      <c r="E302">
        <v>0.76800000000000002</v>
      </c>
      <c r="F302" t="s">
        <v>6</v>
      </c>
    </row>
    <row r="303" spans="1:6" x14ac:dyDescent="0.35">
      <c r="A303" s="6">
        <v>44779</v>
      </c>
      <c r="B303" s="3">
        <v>0.35416666666666669</v>
      </c>
      <c r="C303" t="s">
        <v>7</v>
      </c>
      <c r="D303" t="s">
        <v>7</v>
      </c>
      <c r="E303">
        <v>1.012</v>
      </c>
      <c r="F303" t="s">
        <v>6</v>
      </c>
    </row>
    <row r="304" spans="1:6" x14ac:dyDescent="0.35">
      <c r="A304" s="6">
        <v>44779</v>
      </c>
      <c r="B304" s="3">
        <v>0.35416666666666669</v>
      </c>
      <c r="C304" t="s">
        <v>10</v>
      </c>
      <c r="D304" t="s">
        <v>7</v>
      </c>
      <c r="E304">
        <v>0.78900000000000003</v>
      </c>
      <c r="F304" t="s">
        <v>6</v>
      </c>
    </row>
    <row r="305" spans="1:6" x14ac:dyDescent="0.35">
      <c r="A305" s="6">
        <v>44779</v>
      </c>
      <c r="B305" s="3">
        <v>0.35416666666666669</v>
      </c>
      <c r="C305" t="s">
        <v>15</v>
      </c>
      <c r="D305" t="s">
        <v>15</v>
      </c>
      <c r="E305">
        <v>0.85599999999999998</v>
      </c>
      <c r="F305" t="s">
        <v>6</v>
      </c>
    </row>
    <row r="306" spans="1:6" x14ac:dyDescent="0.35">
      <c r="A306" s="6">
        <v>44779</v>
      </c>
      <c r="B306" s="3">
        <v>0.375</v>
      </c>
      <c r="C306" t="s">
        <v>35</v>
      </c>
      <c r="D306" t="s">
        <v>35</v>
      </c>
      <c r="E306">
        <v>0.66100000000000003</v>
      </c>
      <c r="F306" t="s">
        <v>6</v>
      </c>
    </row>
    <row r="307" spans="1:6" x14ac:dyDescent="0.35">
      <c r="A307" s="6">
        <v>44779</v>
      </c>
      <c r="B307" s="3">
        <v>0.375</v>
      </c>
      <c r="C307" t="s">
        <v>17</v>
      </c>
      <c r="D307" t="s">
        <v>17</v>
      </c>
      <c r="E307">
        <v>0.56599999999999995</v>
      </c>
      <c r="F307" t="s">
        <v>6</v>
      </c>
    </row>
    <row r="308" spans="1:6" x14ac:dyDescent="0.35">
      <c r="A308" s="6">
        <v>44779</v>
      </c>
      <c r="B308" s="3">
        <v>0.375</v>
      </c>
      <c r="C308" t="s">
        <v>5</v>
      </c>
      <c r="D308" t="s">
        <v>5</v>
      </c>
      <c r="E308">
        <v>0.55100000000000005</v>
      </c>
      <c r="F308" t="s">
        <v>6</v>
      </c>
    </row>
    <row r="309" spans="1:6" x14ac:dyDescent="0.35">
      <c r="A309" s="6">
        <v>44779</v>
      </c>
      <c r="B309" s="3">
        <v>0.375</v>
      </c>
      <c r="C309" t="s">
        <v>11</v>
      </c>
      <c r="D309" t="s">
        <v>11</v>
      </c>
      <c r="E309">
        <v>0.54700000000000004</v>
      </c>
      <c r="F309" t="s">
        <v>6</v>
      </c>
    </row>
    <row r="310" spans="1:6" x14ac:dyDescent="0.35">
      <c r="A310" s="6">
        <v>44779</v>
      </c>
      <c r="B310" s="3">
        <v>0.375</v>
      </c>
      <c r="C310" t="s">
        <v>34</v>
      </c>
      <c r="D310" t="s">
        <v>34</v>
      </c>
      <c r="E310">
        <v>0.745</v>
      </c>
      <c r="F310" t="s">
        <v>6</v>
      </c>
    </row>
    <row r="311" spans="1:6" x14ac:dyDescent="0.35">
      <c r="A311" s="6">
        <v>44779</v>
      </c>
      <c r="B311" s="3">
        <v>0.375</v>
      </c>
      <c r="C311" t="s">
        <v>7</v>
      </c>
      <c r="D311" t="s">
        <v>7</v>
      </c>
      <c r="E311">
        <v>1.0029999999999999</v>
      </c>
      <c r="F311" t="s">
        <v>6</v>
      </c>
    </row>
    <row r="312" spans="1:6" x14ac:dyDescent="0.35">
      <c r="A312" s="6">
        <v>44779</v>
      </c>
      <c r="B312" s="3">
        <v>0.375</v>
      </c>
      <c r="C312" t="s">
        <v>10</v>
      </c>
      <c r="D312" t="s">
        <v>7</v>
      </c>
      <c r="E312">
        <v>0.79100000000000004</v>
      </c>
      <c r="F312" t="s">
        <v>6</v>
      </c>
    </row>
    <row r="313" spans="1:6" x14ac:dyDescent="0.35">
      <c r="A313" s="6">
        <v>44779</v>
      </c>
      <c r="B313" s="3">
        <v>0.375</v>
      </c>
      <c r="C313" t="s">
        <v>15</v>
      </c>
      <c r="D313" t="s">
        <v>15</v>
      </c>
      <c r="E313">
        <v>0.85199999999999998</v>
      </c>
      <c r="F313" t="s">
        <v>6</v>
      </c>
    </row>
    <row r="314" spans="1:6" x14ac:dyDescent="0.35">
      <c r="A314" s="6">
        <v>44779</v>
      </c>
      <c r="B314" s="3">
        <v>0.39583333333333331</v>
      </c>
      <c r="C314" t="s">
        <v>35</v>
      </c>
      <c r="D314" t="s">
        <v>35</v>
      </c>
      <c r="E314">
        <v>0.63900000000000001</v>
      </c>
      <c r="F314" t="s">
        <v>6</v>
      </c>
    </row>
    <row r="315" spans="1:6" x14ac:dyDescent="0.35">
      <c r="A315" s="6">
        <v>44779</v>
      </c>
      <c r="B315" s="3">
        <v>0.39583333333333331</v>
      </c>
      <c r="C315" t="s">
        <v>17</v>
      </c>
      <c r="D315" t="s">
        <v>17</v>
      </c>
      <c r="E315">
        <v>0.56899999999999995</v>
      </c>
      <c r="F315" t="s">
        <v>6</v>
      </c>
    </row>
    <row r="316" spans="1:6" x14ac:dyDescent="0.35">
      <c r="A316" s="6">
        <v>44779</v>
      </c>
      <c r="B316" s="3">
        <v>0.39583333333333331</v>
      </c>
      <c r="C316" t="s">
        <v>5</v>
      </c>
      <c r="D316" t="s">
        <v>5</v>
      </c>
      <c r="E316">
        <v>0.51800000000000002</v>
      </c>
      <c r="F316" t="s">
        <v>6</v>
      </c>
    </row>
    <row r="317" spans="1:6" x14ac:dyDescent="0.35">
      <c r="A317" s="6">
        <v>44779</v>
      </c>
      <c r="B317" s="3">
        <v>0.39583333333333331</v>
      </c>
      <c r="C317" t="s">
        <v>11</v>
      </c>
      <c r="D317" t="s">
        <v>11</v>
      </c>
      <c r="E317">
        <v>0.54300000000000004</v>
      </c>
      <c r="F317" t="s">
        <v>6</v>
      </c>
    </row>
    <row r="318" spans="1:6" x14ac:dyDescent="0.35">
      <c r="A318" s="6">
        <v>44779</v>
      </c>
      <c r="B318" s="3">
        <v>0.39583333333333331</v>
      </c>
      <c r="C318" t="s">
        <v>34</v>
      </c>
      <c r="D318" t="s">
        <v>34</v>
      </c>
      <c r="E318">
        <v>0.71399999999999997</v>
      </c>
      <c r="F318" t="s">
        <v>6</v>
      </c>
    </row>
    <row r="319" spans="1:6" x14ac:dyDescent="0.35">
      <c r="A319" s="6">
        <v>44779</v>
      </c>
      <c r="B319" s="3">
        <v>0.39583333333333331</v>
      </c>
      <c r="C319" t="s">
        <v>7</v>
      </c>
      <c r="D319" t="s">
        <v>7</v>
      </c>
      <c r="E319">
        <v>1.002</v>
      </c>
      <c r="F319" t="s">
        <v>6</v>
      </c>
    </row>
    <row r="320" spans="1:6" x14ac:dyDescent="0.35">
      <c r="A320" s="6">
        <v>44779</v>
      </c>
      <c r="B320" s="3">
        <v>0.39583333333333331</v>
      </c>
      <c r="C320" t="s">
        <v>10</v>
      </c>
      <c r="D320" t="s">
        <v>7</v>
      </c>
      <c r="E320">
        <v>0.8</v>
      </c>
      <c r="F320" t="s">
        <v>6</v>
      </c>
    </row>
    <row r="321" spans="1:6" x14ac:dyDescent="0.35">
      <c r="A321" s="6">
        <v>44779</v>
      </c>
      <c r="B321" s="3">
        <v>0.39583333333333331</v>
      </c>
      <c r="C321" t="s">
        <v>15</v>
      </c>
      <c r="D321" t="s">
        <v>15</v>
      </c>
      <c r="E321">
        <v>0.84399999999999997</v>
      </c>
      <c r="F321" t="s">
        <v>6</v>
      </c>
    </row>
    <row r="322" spans="1:6" x14ac:dyDescent="0.35">
      <c r="A322" s="6">
        <v>44779</v>
      </c>
      <c r="B322" s="3">
        <v>0.41666666666666669</v>
      </c>
      <c r="C322" t="s">
        <v>35</v>
      </c>
      <c r="D322" t="s">
        <v>35</v>
      </c>
      <c r="E322">
        <v>0.61299999999999999</v>
      </c>
      <c r="F322" t="s">
        <v>6</v>
      </c>
    </row>
    <row r="323" spans="1:6" x14ac:dyDescent="0.35">
      <c r="A323" s="6">
        <v>44779</v>
      </c>
      <c r="B323" s="3">
        <v>0.41666666666666669</v>
      </c>
      <c r="C323" t="s">
        <v>17</v>
      </c>
      <c r="D323" t="s">
        <v>17</v>
      </c>
      <c r="E323">
        <v>0.57099999999999995</v>
      </c>
      <c r="F323" t="s">
        <v>6</v>
      </c>
    </row>
    <row r="324" spans="1:6" x14ac:dyDescent="0.35">
      <c r="A324" s="6">
        <v>44779</v>
      </c>
      <c r="B324" s="3">
        <v>0.41666666666666669</v>
      </c>
      <c r="C324" t="s">
        <v>5</v>
      </c>
      <c r="D324" t="s">
        <v>5</v>
      </c>
      <c r="E324">
        <v>0.50700000000000001</v>
      </c>
      <c r="F324" t="s">
        <v>6</v>
      </c>
    </row>
    <row r="325" spans="1:6" x14ac:dyDescent="0.35">
      <c r="A325" s="6">
        <v>44779</v>
      </c>
      <c r="B325" s="3">
        <v>0.41666666666666669</v>
      </c>
      <c r="C325" t="s">
        <v>11</v>
      </c>
      <c r="D325" t="s">
        <v>11</v>
      </c>
      <c r="E325">
        <v>0.54300000000000004</v>
      </c>
      <c r="F325" t="s">
        <v>6</v>
      </c>
    </row>
    <row r="326" spans="1:6" x14ac:dyDescent="0.35">
      <c r="A326" s="6">
        <v>44779</v>
      </c>
      <c r="B326" s="3">
        <v>0.41666666666666669</v>
      </c>
      <c r="C326" t="s">
        <v>34</v>
      </c>
      <c r="D326" t="s">
        <v>34</v>
      </c>
      <c r="E326">
        <v>0.67200000000000004</v>
      </c>
      <c r="F326" t="s">
        <v>6</v>
      </c>
    </row>
    <row r="327" spans="1:6" x14ac:dyDescent="0.35">
      <c r="A327" s="6">
        <v>44779</v>
      </c>
      <c r="B327" s="3">
        <v>0.41666666666666669</v>
      </c>
      <c r="C327" t="s">
        <v>7</v>
      </c>
      <c r="D327" t="s">
        <v>7</v>
      </c>
      <c r="E327">
        <v>1.0029999999999999</v>
      </c>
      <c r="F327" t="s">
        <v>6</v>
      </c>
    </row>
    <row r="328" spans="1:6" x14ac:dyDescent="0.35">
      <c r="A328" s="6">
        <v>44779</v>
      </c>
      <c r="B328" s="3">
        <v>0.41666666666666669</v>
      </c>
      <c r="C328" t="s">
        <v>10</v>
      </c>
      <c r="D328" t="s">
        <v>7</v>
      </c>
      <c r="E328">
        <v>0.80500000000000005</v>
      </c>
      <c r="F328" t="s">
        <v>6</v>
      </c>
    </row>
    <row r="329" spans="1:6" x14ac:dyDescent="0.35">
      <c r="A329" s="6">
        <v>44779</v>
      </c>
      <c r="B329" s="3">
        <v>0.41666666666666669</v>
      </c>
      <c r="C329" t="s">
        <v>15</v>
      </c>
      <c r="D329" t="s">
        <v>15</v>
      </c>
      <c r="E329">
        <v>0.83899999999999997</v>
      </c>
      <c r="F329" t="s">
        <v>6</v>
      </c>
    </row>
    <row r="330" spans="1:6" x14ac:dyDescent="0.35">
      <c r="A330" s="6">
        <v>44779</v>
      </c>
      <c r="B330" s="3">
        <v>0.4375</v>
      </c>
      <c r="C330" t="s">
        <v>35</v>
      </c>
      <c r="D330" t="s">
        <v>35</v>
      </c>
      <c r="E330">
        <v>0.58699999999999997</v>
      </c>
      <c r="F330" t="s">
        <v>6</v>
      </c>
    </row>
    <row r="331" spans="1:6" x14ac:dyDescent="0.35">
      <c r="A331" s="6">
        <v>44779</v>
      </c>
      <c r="B331" s="3">
        <v>0.4375</v>
      </c>
      <c r="C331" t="s">
        <v>17</v>
      </c>
      <c r="D331" t="s">
        <v>17</v>
      </c>
      <c r="E331">
        <v>0.57499999999999996</v>
      </c>
      <c r="F331" t="s">
        <v>6</v>
      </c>
    </row>
    <row r="332" spans="1:6" x14ac:dyDescent="0.35">
      <c r="A332" s="6">
        <v>44779</v>
      </c>
      <c r="B332" s="3">
        <v>0.4375</v>
      </c>
      <c r="C332" t="s">
        <v>5</v>
      </c>
      <c r="D332" t="s">
        <v>5</v>
      </c>
      <c r="E332">
        <v>0.505</v>
      </c>
      <c r="F332" t="s">
        <v>6</v>
      </c>
    </row>
    <row r="333" spans="1:6" x14ac:dyDescent="0.35">
      <c r="A333" s="6">
        <v>44779</v>
      </c>
      <c r="B333" s="3">
        <v>0.4375</v>
      </c>
      <c r="C333" t="s">
        <v>11</v>
      </c>
      <c r="D333" t="s">
        <v>11</v>
      </c>
      <c r="E333">
        <v>0.54600000000000004</v>
      </c>
      <c r="F333" t="s">
        <v>6</v>
      </c>
    </row>
    <row r="334" spans="1:6" x14ac:dyDescent="0.35">
      <c r="A334" s="6">
        <v>44779</v>
      </c>
      <c r="B334" s="3">
        <v>0.4375</v>
      </c>
      <c r="C334" t="s">
        <v>34</v>
      </c>
      <c r="D334" t="s">
        <v>34</v>
      </c>
      <c r="E334">
        <v>0.63100000000000001</v>
      </c>
      <c r="F334" t="s">
        <v>6</v>
      </c>
    </row>
    <row r="335" spans="1:6" x14ac:dyDescent="0.35">
      <c r="A335" s="6">
        <v>44779</v>
      </c>
      <c r="B335" s="3">
        <v>0.4375</v>
      </c>
      <c r="C335" t="s">
        <v>7</v>
      </c>
      <c r="D335" t="s">
        <v>7</v>
      </c>
      <c r="E335">
        <v>0.996</v>
      </c>
      <c r="F335" t="s">
        <v>6</v>
      </c>
    </row>
    <row r="336" spans="1:6" x14ac:dyDescent="0.35">
      <c r="A336" s="6">
        <v>44779</v>
      </c>
      <c r="B336" s="3">
        <v>0.4375</v>
      </c>
      <c r="C336" t="s">
        <v>10</v>
      </c>
      <c r="D336" t="s">
        <v>7</v>
      </c>
      <c r="E336">
        <v>0.80700000000000005</v>
      </c>
      <c r="F336" t="s">
        <v>6</v>
      </c>
    </row>
    <row r="337" spans="1:6" x14ac:dyDescent="0.35">
      <c r="A337" s="6">
        <v>44779</v>
      </c>
      <c r="B337" s="3">
        <v>0.4375</v>
      </c>
      <c r="C337" t="s">
        <v>15</v>
      </c>
      <c r="D337" t="s">
        <v>15</v>
      </c>
      <c r="E337">
        <v>0.84299999999999997</v>
      </c>
      <c r="F337" t="s">
        <v>6</v>
      </c>
    </row>
    <row r="338" spans="1:6" x14ac:dyDescent="0.35">
      <c r="A338" s="6">
        <v>44779</v>
      </c>
      <c r="B338" s="3">
        <v>0.45833333333333331</v>
      </c>
      <c r="C338" t="s">
        <v>35</v>
      </c>
      <c r="D338" t="s">
        <v>35</v>
      </c>
      <c r="E338">
        <v>0.56599999999999995</v>
      </c>
      <c r="F338" t="s">
        <v>6</v>
      </c>
    </row>
    <row r="339" spans="1:6" x14ac:dyDescent="0.35">
      <c r="A339" s="6">
        <v>44779</v>
      </c>
      <c r="B339" s="3">
        <v>0.45833333333333331</v>
      </c>
      <c r="C339" t="s">
        <v>17</v>
      </c>
      <c r="D339" t="s">
        <v>17</v>
      </c>
      <c r="E339">
        <v>0.57599999999999996</v>
      </c>
      <c r="F339" t="s">
        <v>6</v>
      </c>
    </row>
    <row r="340" spans="1:6" x14ac:dyDescent="0.35">
      <c r="A340" s="6">
        <v>44779</v>
      </c>
      <c r="B340" s="3">
        <v>0.45833333333333331</v>
      </c>
      <c r="C340" t="s">
        <v>5</v>
      </c>
      <c r="D340" t="s">
        <v>5</v>
      </c>
      <c r="E340">
        <v>0.50700000000000001</v>
      </c>
      <c r="F340" t="s">
        <v>6</v>
      </c>
    </row>
    <row r="341" spans="1:6" x14ac:dyDescent="0.35">
      <c r="A341" s="6">
        <v>44779</v>
      </c>
      <c r="B341" s="3">
        <v>0.45833333333333331</v>
      </c>
      <c r="C341" t="s">
        <v>11</v>
      </c>
      <c r="D341" t="s">
        <v>11</v>
      </c>
      <c r="E341">
        <v>0.54400000000000004</v>
      </c>
      <c r="F341" t="s">
        <v>6</v>
      </c>
    </row>
    <row r="342" spans="1:6" x14ac:dyDescent="0.35">
      <c r="A342" s="6">
        <v>44779</v>
      </c>
      <c r="B342" s="3">
        <v>0.45833333333333331</v>
      </c>
      <c r="C342" t="s">
        <v>34</v>
      </c>
      <c r="D342" t="s">
        <v>34</v>
      </c>
      <c r="E342">
        <v>0.6</v>
      </c>
      <c r="F342" t="s">
        <v>6</v>
      </c>
    </row>
    <row r="343" spans="1:6" x14ac:dyDescent="0.35">
      <c r="A343" s="6">
        <v>44779</v>
      </c>
      <c r="B343" s="3">
        <v>0.45833333333333331</v>
      </c>
      <c r="C343" t="s">
        <v>7</v>
      </c>
      <c r="D343" t="s">
        <v>7</v>
      </c>
      <c r="E343">
        <v>0.99099999999999999</v>
      </c>
      <c r="F343" t="s">
        <v>6</v>
      </c>
    </row>
    <row r="344" spans="1:6" x14ac:dyDescent="0.35">
      <c r="A344" s="6">
        <v>44779</v>
      </c>
      <c r="B344" s="3">
        <v>0.45833333333333331</v>
      </c>
      <c r="C344" t="s">
        <v>10</v>
      </c>
      <c r="D344" t="s">
        <v>7</v>
      </c>
      <c r="E344">
        <v>0.80400000000000005</v>
      </c>
      <c r="F344" t="s">
        <v>6</v>
      </c>
    </row>
    <row r="345" spans="1:6" x14ac:dyDescent="0.35">
      <c r="A345" s="6">
        <v>44779</v>
      </c>
      <c r="B345" s="3">
        <v>0.45833333333333331</v>
      </c>
      <c r="C345" t="s">
        <v>15</v>
      </c>
      <c r="D345" t="s">
        <v>15</v>
      </c>
      <c r="E345">
        <v>0.85099999999999998</v>
      </c>
      <c r="F345" t="s">
        <v>6</v>
      </c>
    </row>
    <row r="346" spans="1:6" x14ac:dyDescent="0.35">
      <c r="A346" s="6">
        <v>44779</v>
      </c>
      <c r="B346" s="3">
        <v>0.47916666666666669</v>
      </c>
      <c r="C346" t="s">
        <v>35</v>
      </c>
      <c r="D346" t="s">
        <v>35</v>
      </c>
      <c r="E346">
        <v>0.54900000000000004</v>
      </c>
      <c r="F346" t="s">
        <v>6</v>
      </c>
    </row>
    <row r="347" spans="1:6" x14ac:dyDescent="0.35">
      <c r="A347" s="6">
        <v>44779</v>
      </c>
      <c r="B347" s="3">
        <v>0.47916666666666669</v>
      </c>
      <c r="C347" t="s">
        <v>17</v>
      </c>
      <c r="D347" t="s">
        <v>17</v>
      </c>
      <c r="E347">
        <v>0.58299999999999996</v>
      </c>
      <c r="F347" t="s">
        <v>6</v>
      </c>
    </row>
    <row r="348" spans="1:6" x14ac:dyDescent="0.35">
      <c r="A348" s="6">
        <v>44779</v>
      </c>
      <c r="B348" s="3">
        <v>0.47916666666666669</v>
      </c>
      <c r="C348" t="s">
        <v>5</v>
      </c>
      <c r="D348" t="s">
        <v>5</v>
      </c>
      <c r="E348">
        <v>0.50900000000000001</v>
      </c>
      <c r="F348" t="s">
        <v>6</v>
      </c>
    </row>
    <row r="349" spans="1:6" x14ac:dyDescent="0.35">
      <c r="A349" s="6">
        <v>44779</v>
      </c>
      <c r="B349" s="3">
        <v>0.47916666666666669</v>
      </c>
      <c r="C349" t="s">
        <v>11</v>
      </c>
      <c r="D349" t="s">
        <v>11</v>
      </c>
      <c r="E349">
        <v>0.54200000000000004</v>
      </c>
      <c r="F349" t="s">
        <v>6</v>
      </c>
    </row>
    <row r="350" spans="1:6" x14ac:dyDescent="0.35">
      <c r="A350" s="6">
        <v>44779</v>
      </c>
      <c r="B350" s="3">
        <v>0.47916666666666669</v>
      </c>
      <c r="C350" t="s">
        <v>34</v>
      </c>
      <c r="D350" t="s">
        <v>34</v>
      </c>
      <c r="E350">
        <v>0.57499999999999996</v>
      </c>
      <c r="F350" t="s">
        <v>6</v>
      </c>
    </row>
    <row r="351" spans="1:6" x14ac:dyDescent="0.35">
      <c r="A351" s="6">
        <v>44779</v>
      </c>
      <c r="B351" s="3">
        <v>0.47916666666666669</v>
      </c>
      <c r="C351" t="s">
        <v>7</v>
      </c>
      <c r="D351" t="s">
        <v>7</v>
      </c>
      <c r="E351">
        <v>0.98699999999999999</v>
      </c>
      <c r="F351" t="s">
        <v>6</v>
      </c>
    </row>
    <row r="352" spans="1:6" x14ac:dyDescent="0.35">
      <c r="A352" s="6">
        <v>44779</v>
      </c>
      <c r="B352" s="3">
        <v>0.47916666666666669</v>
      </c>
      <c r="C352" t="s">
        <v>10</v>
      </c>
      <c r="D352" t="s">
        <v>7</v>
      </c>
      <c r="E352">
        <v>0.8</v>
      </c>
      <c r="F352" t="s">
        <v>6</v>
      </c>
    </row>
    <row r="353" spans="1:6" x14ac:dyDescent="0.35">
      <c r="A353" s="6">
        <v>44779</v>
      </c>
      <c r="B353" s="3">
        <v>0.47916666666666669</v>
      </c>
      <c r="C353" t="s">
        <v>15</v>
      </c>
      <c r="D353" t="s">
        <v>15</v>
      </c>
      <c r="E353">
        <v>0.86099999999999999</v>
      </c>
      <c r="F353" t="s">
        <v>6</v>
      </c>
    </row>
    <row r="354" spans="1:6" x14ac:dyDescent="0.35">
      <c r="A354" s="6">
        <v>44779</v>
      </c>
      <c r="B354" s="3">
        <v>0.5</v>
      </c>
      <c r="C354" t="s">
        <v>35</v>
      </c>
      <c r="D354" t="s">
        <v>35</v>
      </c>
      <c r="E354">
        <v>0.53400000000000003</v>
      </c>
      <c r="F354" t="s">
        <v>6</v>
      </c>
    </row>
    <row r="355" spans="1:6" x14ac:dyDescent="0.35">
      <c r="A355" s="6">
        <v>44779</v>
      </c>
      <c r="B355" s="3">
        <v>0.5</v>
      </c>
      <c r="C355" t="s">
        <v>17</v>
      </c>
      <c r="D355" t="s">
        <v>17</v>
      </c>
      <c r="E355">
        <v>0.59</v>
      </c>
      <c r="F355" t="s">
        <v>6</v>
      </c>
    </row>
    <row r="356" spans="1:6" x14ac:dyDescent="0.35">
      <c r="A356" s="6">
        <v>44779</v>
      </c>
      <c r="B356" s="3">
        <v>0.5</v>
      </c>
      <c r="C356" t="s">
        <v>5</v>
      </c>
      <c r="D356" t="s">
        <v>5</v>
      </c>
      <c r="E356">
        <v>0.51</v>
      </c>
      <c r="F356" t="s">
        <v>6</v>
      </c>
    </row>
    <row r="357" spans="1:6" x14ac:dyDescent="0.35">
      <c r="A357" s="6">
        <v>44779</v>
      </c>
      <c r="B357" s="3">
        <v>0.5</v>
      </c>
      <c r="C357" t="s">
        <v>11</v>
      </c>
      <c r="D357" t="s">
        <v>11</v>
      </c>
      <c r="E357">
        <v>0.54200000000000004</v>
      </c>
      <c r="F357" t="s">
        <v>6</v>
      </c>
    </row>
    <row r="358" spans="1:6" x14ac:dyDescent="0.35">
      <c r="A358" s="6">
        <v>44779</v>
      </c>
      <c r="B358" s="3">
        <v>0.5</v>
      </c>
      <c r="C358" t="s">
        <v>34</v>
      </c>
      <c r="D358" t="s">
        <v>34</v>
      </c>
      <c r="E358">
        <v>0.56000000000000005</v>
      </c>
      <c r="F358" t="s">
        <v>6</v>
      </c>
    </row>
    <row r="359" spans="1:6" x14ac:dyDescent="0.35">
      <c r="A359" s="6">
        <v>44779</v>
      </c>
      <c r="B359" s="3">
        <v>0.5</v>
      </c>
      <c r="C359" t="s">
        <v>7</v>
      </c>
      <c r="D359" t="s">
        <v>7</v>
      </c>
      <c r="E359">
        <v>0.98199999999999998</v>
      </c>
      <c r="F359" t="s">
        <v>6</v>
      </c>
    </row>
    <row r="360" spans="1:6" x14ac:dyDescent="0.35">
      <c r="A360" s="6">
        <v>44779</v>
      </c>
      <c r="B360" s="3">
        <v>0.5</v>
      </c>
      <c r="C360" t="s">
        <v>10</v>
      </c>
      <c r="D360" t="s">
        <v>7</v>
      </c>
      <c r="E360">
        <v>0.79200000000000004</v>
      </c>
      <c r="F360" t="s">
        <v>6</v>
      </c>
    </row>
    <row r="361" spans="1:6" x14ac:dyDescent="0.35">
      <c r="A361" s="6">
        <v>44779</v>
      </c>
      <c r="B361" s="3">
        <v>0.5</v>
      </c>
      <c r="C361" t="s">
        <v>15</v>
      </c>
      <c r="D361" t="s">
        <v>15</v>
      </c>
      <c r="E361">
        <v>0.85299999999999998</v>
      </c>
      <c r="F361" t="s">
        <v>6</v>
      </c>
    </row>
    <row r="362" spans="1:6" x14ac:dyDescent="0.35">
      <c r="A362" s="6">
        <v>44790</v>
      </c>
      <c r="B362" s="3">
        <v>0.125</v>
      </c>
      <c r="C362" t="s">
        <v>13</v>
      </c>
      <c r="D362" t="s">
        <v>13</v>
      </c>
      <c r="E362">
        <v>0.45500000000000002</v>
      </c>
      <c r="F362" t="s">
        <v>6</v>
      </c>
    </row>
    <row r="363" spans="1:6" x14ac:dyDescent="0.35">
      <c r="A363" s="6">
        <v>44790</v>
      </c>
      <c r="B363" s="3">
        <v>0.125</v>
      </c>
      <c r="C363" t="s">
        <v>8</v>
      </c>
      <c r="D363" t="s">
        <v>8</v>
      </c>
      <c r="E363">
        <v>0.51900000000000002</v>
      </c>
      <c r="F363" t="s">
        <v>6</v>
      </c>
    </row>
    <row r="364" spans="1:6" x14ac:dyDescent="0.35">
      <c r="A364" s="6">
        <v>44790</v>
      </c>
      <c r="B364" s="3">
        <v>0.125</v>
      </c>
      <c r="C364" t="s">
        <v>16</v>
      </c>
      <c r="D364" t="s">
        <v>16</v>
      </c>
      <c r="E364">
        <v>0.67100000000000004</v>
      </c>
      <c r="F364" t="s">
        <v>6</v>
      </c>
    </row>
    <row r="365" spans="1:6" x14ac:dyDescent="0.35">
      <c r="A365" s="6">
        <v>44790</v>
      </c>
      <c r="B365" s="3">
        <v>0.125</v>
      </c>
      <c r="C365" t="s">
        <v>14</v>
      </c>
      <c r="D365" t="s">
        <v>14</v>
      </c>
      <c r="E365">
        <v>0.47</v>
      </c>
      <c r="F365" t="s">
        <v>6</v>
      </c>
    </row>
    <row r="366" spans="1:6" x14ac:dyDescent="0.35">
      <c r="A366" s="6">
        <v>44790</v>
      </c>
      <c r="B366" s="3">
        <v>0.125</v>
      </c>
      <c r="C366" t="s">
        <v>9</v>
      </c>
      <c r="D366" t="s">
        <v>9</v>
      </c>
      <c r="E366">
        <v>0.66500000000000004</v>
      </c>
      <c r="F366" t="s">
        <v>6</v>
      </c>
    </row>
    <row r="367" spans="1:6" x14ac:dyDescent="0.35">
      <c r="A367" s="6">
        <v>44790</v>
      </c>
      <c r="B367" s="3">
        <v>0.125</v>
      </c>
      <c r="C367" t="s">
        <v>5</v>
      </c>
      <c r="D367" t="s">
        <v>5</v>
      </c>
      <c r="E367">
        <v>0.61499999999999999</v>
      </c>
      <c r="F367" t="s">
        <v>6</v>
      </c>
    </row>
    <row r="368" spans="1:6" x14ac:dyDescent="0.35">
      <c r="A368" s="6">
        <v>44790</v>
      </c>
      <c r="B368" s="3">
        <v>0.125</v>
      </c>
      <c r="C368" t="s">
        <v>11</v>
      </c>
      <c r="D368" t="s">
        <v>11</v>
      </c>
      <c r="E368">
        <v>0.55400000000000005</v>
      </c>
      <c r="F368" t="s">
        <v>6</v>
      </c>
    </row>
    <row r="369" spans="1:6" x14ac:dyDescent="0.35">
      <c r="A369" s="6">
        <v>44790</v>
      </c>
      <c r="B369" s="3">
        <v>0.125</v>
      </c>
      <c r="C369" t="s">
        <v>7</v>
      </c>
      <c r="D369" t="s">
        <v>7</v>
      </c>
      <c r="E369">
        <v>0.77700000000000002</v>
      </c>
      <c r="F369" t="s">
        <v>6</v>
      </c>
    </row>
    <row r="370" spans="1:6" x14ac:dyDescent="0.35">
      <c r="A370" s="6">
        <v>44790</v>
      </c>
      <c r="B370" s="3">
        <v>0.14583333333333334</v>
      </c>
      <c r="C370" t="s">
        <v>13</v>
      </c>
      <c r="D370" t="s">
        <v>13</v>
      </c>
      <c r="E370">
        <v>0.55400000000000005</v>
      </c>
      <c r="F370" t="s">
        <v>6</v>
      </c>
    </row>
    <row r="371" spans="1:6" x14ac:dyDescent="0.35">
      <c r="A371" s="6">
        <v>44790</v>
      </c>
      <c r="B371" s="3">
        <v>0.14583333333333334</v>
      </c>
      <c r="C371" t="s">
        <v>8</v>
      </c>
      <c r="D371" t="s">
        <v>8</v>
      </c>
      <c r="E371">
        <v>0.63</v>
      </c>
      <c r="F371" t="s">
        <v>6</v>
      </c>
    </row>
    <row r="372" spans="1:6" x14ac:dyDescent="0.35">
      <c r="A372" s="6">
        <v>44790</v>
      </c>
      <c r="B372" s="3">
        <v>0.14583333333333334</v>
      </c>
      <c r="C372" t="s">
        <v>16</v>
      </c>
      <c r="D372" t="s">
        <v>16</v>
      </c>
      <c r="E372">
        <v>0.82599999999999996</v>
      </c>
      <c r="F372" t="s">
        <v>6</v>
      </c>
    </row>
    <row r="373" spans="1:6" x14ac:dyDescent="0.35">
      <c r="A373" s="6">
        <v>44790</v>
      </c>
      <c r="B373" s="3">
        <v>0.14583333333333334</v>
      </c>
      <c r="C373" t="s">
        <v>14</v>
      </c>
      <c r="D373" t="s">
        <v>14</v>
      </c>
      <c r="E373">
        <v>0.58099999999999996</v>
      </c>
      <c r="F373" t="s">
        <v>6</v>
      </c>
    </row>
    <row r="374" spans="1:6" x14ac:dyDescent="0.35">
      <c r="A374" s="6">
        <v>44790</v>
      </c>
      <c r="B374" s="3">
        <v>0.14583333333333334</v>
      </c>
      <c r="C374" t="s">
        <v>9</v>
      </c>
      <c r="D374" t="s">
        <v>9</v>
      </c>
      <c r="E374">
        <v>0.78800000000000003</v>
      </c>
      <c r="F374" t="s">
        <v>6</v>
      </c>
    </row>
    <row r="375" spans="1:6" x14ac:dyDescent="0.35">
      <c r="A375" s="6">
        <v>44790</v>
      </c>
      <c r="B375" s="3">
        <v>0.14583333333333334</v>
      </c>
      <c r="C375" t="s">
        <v>5</v>
      </c>
      <c r="D375" t="s">
        <v>5</v>
      </c>
      <c r="E375">
        <v>0.73299999999999998</v>
      </c>
      <c r="F375" t="s">
        <v>6</v>
      </c>
    </row>
    <row r="376" spans="1:6" x14ac:dyDescent="0.35">
      <c r="A376" s="6">
        <v>44790</v>
      </c>
      <c r="B376" s="3">
        <v>0.14583333333333334</v>
      </c>
      <c r="C376" t="s">
        <v>11</v>
      </c>
      <c r="D376" t="s">
        <v>11</v>
      </c>
      <c r="E376">
        <v>0.67200000000000004</v>
      </c>
      <c r="F376" t="s">
        <v>6</v>
      </c>
    </row>
    <row r="377" spans="1:6" x14ac:dyDescent="0.35">
      <c r="A377" s="6">
        <v>44790</v>
      </c>
      <c r="B377" s="3">
        <v>0.14583333333333334</v>
      </c>
      <c r="C377" t="s">
        <v>7</v>
      </c>
      <c r="D377" t="s">
        <v>7</v>
      </c>
      <c r="E377">
        <v>1.0009999999999999</v>
      </c>
      <c r="F377" t="s">
        <v>6</v>
      </c>
    </row>
    <row r="378" spans="1:6" x14ac:dyDescent="0.35">
      <c r="A378" s="6">
        <v>44790</v>
      </c>
      <c r="B378" s="3">
        <v>0.16666666666666666</v>
      </c>
      <c r="C378" t="s">
        <v>13</v>
      </c>
      <c r="D378" t="s">
        <v>13</v>
      </c>
      <c r="E378">
        <v>0.59299999999999997</v>
      </c>
      <c r="F378" t="s">
        <v>6</v>
      </c>
    </row>
    <row r="379" spans="1:6" x14ac:dyDescent="0.35">
      <c r="A379" s="6">
        <v>44790</v>
      </c>
      <c r="B379" s="3">
        <v>0.16666666666666666</v>
      </c>
      <c r="C379" t="s">
        <v>8</v>
      </c>
      <c r="D379" t="s">
        <v>8</v>
      </c>
      <c r="E379">
        <v>0.67400000000000004</v>
      </c>
      <c r="F379" t="s">
        <v>6</v>
      </c>
    </row>
    <row r="380" spans="1:6" x14ac:dyDescent="0.35">
      <c r="A380" s="6">
        <v>44790</v>
      </c>
      <c r="B380" s="3">
        <v>0.16666666666666666</v>
      </c>
      <c r="C380" t="s">
        <v>16</v>
      </c>
      <c r="D380" t="s">
        <v>16</v>
      </c>
      <c r="E380">
        <v>0.89</v>
      </c>
      <c r="F380" t="s">
        <v>6</v>
      </c>
    </row>
    <row r="381" spans="1:6" x14ac:dyDescent="0.35">
      <c r="A381" s="6">
        <v>44790</v>
      </c>
      <c r="B381" s="3">
        <v>0.16666666666666666</v>
      </c>
      <c r="C381" t="s">
        <v>14</v>
      </c>
      <c r="D381" t="s">
        <v>14</v>
      </c>
      <c r="E381">
        <v>0.64500000000000002</v>
      </c>
      <c r="F381" t="s">
        <v>6</v>
      </c>
    </row>
    <row r="382" spans="1:6" x14ac:dyDescent="0.35">
      <c r="A382" s="6">
        <v>44790</v>
      </c>
      <c r="B382" s="3">
        <v>0.16666666666666666</v>
      </c>
      <c r="C382" t="s">
        <v>9</v>
      </c>
      <c r="D382" t="s">
        <v>9</v>
      </c>
      <c r="E382">
        <v>0.85099999999999998</v>
      </c>
      <c r="F382" t="s">
        <v>6</v>
      </c>
    </row>
    <row r="383" spans="1:6" x14ac:dyDescent="0.35">
      <c r="A383" s="6">
        <v>44790</v>
      </c>
      <c r="B383" s="3">
        <v>0.16666666666666666</v>
      </c>
      <c r="C383" t="s">
        <v>5</v>
      </c>
      <c r="D383" t="s">
        <v>5</v>
      </c>
      <c r="E383">
        <v>0.77600000000000002</v>
      </c>
      <c r="F383" t="s">
        <v>6</v>
      </c>
    </row>
    <row r="384" spans="1:6" x14ac:dyDescent="0.35">
      <c r="A384" s="6">
        <v>44790</v>
      </c>
      <c r="B384" s="3">
        <v>0.16666666666666666</v>
      </c>
      <c r="C384" t="s">
        <v>11</v>
      </c>
      <c r="D384" t="s">
        <v>11</v>
      </c>
      <c r="E384">
        <v>0.71699999999999997</v>
      </c>
      <c r="F384" t="s">
        <v>6</v>
      </c>
    </row>
    <row r="385" spans="1:6" x14ac:dyDescent="0.35">
      <c r="A385" s="6">
        <v>44790</v>
      </c>
      <c r="B385" s="3">
        <v>0.16666666666666666</v>
      </c>
      <c r="C385" t="s">
        <v>7</v>
      </c>
      <c r="D385" t="s">
        <v>7</v>
      </c>
      <c r="E385">
        <v>1.1020000000000001</v>
      </c>
      <c r="F385" t="s">
        <v>6</v>
      </c>
    </row>
    <row r="386" spans="1:6" x14ac:dyDescent="0.35">
      <c r="A386" s="6">
        <v>44790</v>
      </c>
      <c r="B386" s="3">
        <v>0.1875</v>
      </c>
      <c r="C386" t="s">
        <v>13</v>
      </c>
      <c r="D386" t="s">
        <v>13</v>
      </c>
      <c r="E386">
        <v>0.60799999999999998</v>
      </c>
      <c r="F386" t="s">
        <v>6</v>
      </c>
    </row>
    <row r="387" spans="1:6" x14ac:dyDescent="0.35">
      <c r="A387" s="6">
        <v>44790</v>
      </c>
      <c r="B387" s="3">
        <v>0.1875</v>
      </c>
      <c r="C387" t="s">
        <v>8</v>
      </c>
      <c r="D387" t="s">
        <v>8</v>
      </c>
      <c r="E387">
        <v>0.69</v>
      </c>
      <c r="F387" t="s">
        <v>6</v>
      </c>
    </row>
    <row r="388" spans="1:6" x14ac:dyDescent="0.35">
      <c r="A388" s="6">
        <v>44790</v>
      </c>
      <c r="B388" s="3">
        <v>0.1875</v>
      </c>
      <c r="C388" t="s">
        <v>16</v>
      </c>
      <c r="D388" t="s">
        <v>16</v>
      </c>
      <c r="E388">
        <v>0.91500000000000004</v>
      </c>
      <c r="F388" t="s">
        <v>6</v>
      </c>
    </row>
    <row r="389" spans="1:6" x14ac:dyDescent="0.35">
      <c r="A389" s="6">
        <v>44790</v>
      </c>
      <c r="B389" s="3">
        <v>0.1875</v>
      </c>
      <c r="C389" t="s">
        <v>14</v>
      </c>
      <c r="D389" t="s">
        <v>14</v>
      </c>
      <c r="E389">
        <v>0.67500000000000004</v>
      </c>
      <c r="F389" t="s">
        <v>6</v>
      </c>
    </row>
    <row r="390" spans="1:6" x14ac:dyDescent="0.35">
      <c r="A390" s="6">
        <v>44790</v>
      </c>
      <c r="B390" s="3">
        <v>0.1875</v>
      </c>
      <c r="C390" t="s">
        <v>9</v>
      </c>
      <c r="D390" t="s">
        <v>9</v>
      </c>
      <c r="E390">
        <v>0.879</v>
      </c>
      <c r="F390" t="s">
        <v>6</v>
      </c>
    </row>
    <row r="391" spans="1:6" x14ac:dyDescent="0.35">
      <c r="A391" s="6">
        <v>44790</v>
      </c>
      <c r="B391" s="3">
        <v>0.1875</v>
      </c>
      <c r="C391" t="s">
        <v>5</v>
      </c>
      <c r="D391" t="s">
        <v>5</v>
      </c>
      <c r="E391">
        <v>0.79200000000000004</v>
      </c>
      <c r="F391" t="s">
        <v>6</v>
      </c>
    </row>
    <row r="392" spans="1:6" x14ac:dyDescent="0.35">
      <c r="A392" s="6">
        <v>44790</v>
      </c>
      <c r="B392" s="3">
        <v>0.1875</v>
      </c>
      <c r="C392" t="s">
        <v>11</v>
      </c>
      <c r="D392" t="s">
        <v>11</v>
      </c>
      <c r="E392">
        <v>0.73299999999999998</v>
      </c>
      <c r="F392" t="s">
        <v>6</v>
      </c>
    </row>
    <row r="393" spans="1:6" x14ac:dyDescent="0.35">
      <c r="A393" s="6">
        <v>44790</v>
      </c>
      <c r="B393" s="3">
        <v>0.1875</v>
      </c>
      <c r="C393" t="s">
        <v>7</v>
      </c>
      <c r="D393" t="s">
        <v>7</v>
      </c>
      <c r="E393">
        <v>1.139</v>
      </c>
      <c r="F393" t="s">
        <v>6</v>
      </c>
    </row>
    <row r="394" spans="1:6" x14ac:dyDescent="0.35">
      <c r="A394" s="6">
        <v>44790</v>
      </c>
      <c r="B394" s="3">
        <v>0.20833333333333334</v>
      </c>
      <c r="C394" t="s">
        <v>13</v>
      </c>
      <c r="D394" t="s">
        <v>13</v>
      </c>
      <c r="E394">
        <v>0.61499999999999999</v>
      </c>
      <c r="F394" t="s">
        <v>6</v>
      </c>
    </row>
    <row r="395" spans="1:6" x14ac:dyDescent="0.35">
      <c r="A395" s="6">
        <v>44790</v>
      </c>
      <c r="B395" s="3">
        <v>0.20833333333333334</v>
      </c>
      <c r="C395" t="s">
        <v>8</v>
      </c>
      <c r="D395" t="s">
        <v>8</v>
      </c>
      <c r="E395">
        <v>0.69799999999999995</v>
      </c>
      <c r="F395" t="s">
        <v>6</v>
      </c>
    </row>
    <row r="396" spans="1:6" x14ac:dyDescent="0.35">
      <c r="A396" s="6">
        <v>44790</v>
      </c>
      <c r="B396" s="3">
        <v>0.20833333333333334</v>
      </c>
      <c r="C396" t="s">
        <v>16</v>
      </c>
      <c r="D396" t="s">
        <v>16</v>
      </c>
      <c r="E396">
        <v>0.92900000000000005</v>
      </c>
      <c r="F396" t="s">
        <v>6</v>
      </c>
    </row>
    <row r="397" spans="1:6" x14ac:dyDescent="0.35">
      <c r="A397" s="6">
        <v>44790</v>
      </c>
      <c r="B397" s="3">
        <v>0.20833333333333334</v>
      </c>
      <c r="C397" t="s">
        <v>14</v>
      </c>
      <c r="D397" t="s">
        <v>14</v>
      </c>
      <c r="E397">
        <v>0.69199999999999995</v>
      </c>
      <c r="F397" t="s">
        <v>6</v>
      </c>
    </row>
    <row r="398" spans="1:6" x14ac:dyDescent="0.35">
      <c r="A398" s="6">
        <v>44790</v>
      </c>
      <c r="B398" s="3">
        <v>0.20833333333333334</v>
      </c>
      <c r="C398" t="s">
        <v>9</v>
      </c>
      <c r="D398" t="s">
        <v>9</v>
      </c>
      <c r="E398">
        <v>0.89500000000000002</v>
      </c>
      <c r="F398" t="s">
        <v>6</v>
      </c>
    </row>
    <row r="399" spans="1:6" x14ac:dyDescent="0.35">
      <c r="A399" s="6">
        <v>44790</v>
      </c>
      <c r="B399" s="3">
        <v>0.20833333333333334</v>
      </c>
      <c r="C399" t="s">
        <v>5</v>
      </c>
      <c r="D399" t="s">
        <v>5</v>
      </c>
      <c r="E399">
        <v>0.80100000000000005</v>
      </c>
      <c r="F399" t="s">
        <v>6</v>
      </c>
    </row>
    <row r="400" spans="1:6" x14ac:dyDescent="0.35">
      <c r="A400" s="6">
        <v>44790</v>
      </c>
      <c r="B400" s="3">
        <v>0.20833333333333334</v>
      </c>
      <c r="C400" t="s">
        <v>11</v>
      </c>
      <c r="D400" t="s">
        <v>11</v>
      </c>
      <c r="E400">
        <v>0.74099999999999999</v>
      </c>
      <c r="F400" t="s">
        <v>6</v>
      </c>
    </row>
    <row r="401" spans="1:6" x14ac:dyDescent="0.35">
      <c r="A401" s="6">
        <v>44790</v>
      </c>
      <c r="B401" s="3">
        <v>0.20833333333333334</v>
      </c>
      <c r="C401" t="s">
        <v>7</v>
      </c>
      <c r="D401" t="s">
        <v>7</v>
      </c>
      <c r="E401">
        <v>1.157</v>
      </c>
      <c r="F401" t="s">
        <v>6</v>
      </c>
    </row>
    <row r="402" spans="1:6" x14ac:dyDescent="0.35">
      <c r="A402" s="6">
        <v>44790</v>
      </c>
      <c r="B402" s="3">
        <v>0.25</v>
      </c>
      <c r="C402" t="s">
        <v>13</v>
      </c>
      <c r="D402" t="s">
        <v>13</v>
      </c>
      <c r="E402">
        <v>0.622</v>
      </c>
      <c r="F402" t="s">
        <v>6</v>
      </c>
    </row>
    <row r="403" spans="1:6" x14ac:dyDescent="0.35">
      <c r="A403" s="6">
        <v>44790</v>
      </c>
      <c r="B403" s="3">
        <v>0.25</v>
      </c>
      <c r="C403" t="s">
        <v>8</v>
      </c>
      <c r="D403" t="s">
        <v>8</v>
      </c>
      <c r="E403">
        <v>0.70499999999999996</v>
      </c>
      <c r="F403" t="s">
        <v>6</v>
      </c>
    </row>
    <row r="404" spans="1:6" x14ac:dyDescent="0.35">
      <c r="A404" s="6">
        <v>44790</v>
      </c>
      <c r="B404" s="3">
        <v>0.25</v>
      </c>
      <c r="C404" t="s">
        <v>16</v>
      </c>
      <c r="D404" t="s">
        <v>16</v>
      </c>
      <c r="E404">
        <v>0.94699999999999995</v>
      </c>
      <c r="F404" t="s">
        <v>6</v>
      </c>
    </row>
    <row r="405" spans="1:6" x14ac:dyDescent="0.35">
      <c r="A405" s="6">
        <v>44790</v>
      </c>
      <c r="B405" s="3">
        <v>0.25</v>
      </c>
      <c r="C405" t="s">
        <v>14</v>
      </c>
      <c r="D405" t="s">
        <v>14</v>
      </c>
      <c r="E405">
        <v>0.70699999999999996</v>
      </c>
      <c r="F405" t="s">
        <v>6</v>
      </c>
    </row>
    <row r="406" spans="1:6" x14ac:dyDescent="0.35">
      <c r="A406" s="6">
        <v>44790</v>
      </c>
      <c r="B406" s="3">
        <v>0.25</v>
      </c>
      <c r="C406" t="s">
        <v>9</v>
      </c>
      <c r="D406" t="s">
        <v>9</v>
      </c>
      <c r="E406">
        <v>0.91</v>
      </c>
      <c r="F406" t="s">
        <v>6</v>
      </c>
    </row>
    <row r="407" spans="1:6" x14ac:dyDescent="0.35">
      <c r="A407" s="6">
        <v>44790</v>
      </c>
      <c r="B407" s="3">
        <v>0.25</v>
      </c>
      <c r="C407" t="s">
        <v>5</v>
      </c>
      <c r="D407" t="s">
        <v>5</v>
      </c>
      <c r="E407">
        <v>0.81499999999999995</v>
      </c>
      <c r="F407" t="s">
        <v>6</v>
      </c>
    </row>
    <row r="408" spans="1:6" x14ac:dyDescent="0.35">
      <c r="A408" s="6">
        <v>44790</v>
      </c>
      <c r="B408" s="3">
        <v>0.25</v>
      </c>
      <c r="C408" t="s">
        <v>11</v>
      </c>
      <c r="D408" t="s">
        <v>11</v>
      </c>
      <c r="E408">
        <v>0.75</v>
      </c>
      <c r="F408" t="s">
        <v>6</v>
      </c>
    </row>
    <row r="409" spans="1:6" x14ac:dyDescent="0.35">
      <c r="A409" s="6">
        <v>44790</v>
      </c>
      <c r="B409" s="3">
        <v>0.25</v>
      </c>
      <c r="C409" t="s">
        <v>7</v>
      </c>
      <c r="D409" t="s">
        <v>7</v>
      </c>
      <c r="E409">
        <v>1.1779999999999999</v>
      </c>
      <c r="F409" t="s">
        <v>6</v>
      </c>
    </row>
    <row r="410" spans="1:6" x14ac:dyDescent="0.35">
      <c r="A410" s="6">
        <v>44790</v>
      </c>
      <c r="B410" s="3">
        <v>0.27083333333333331</v>
      </c>
      <c r="C410" t="s">
        <v>13</v>
      </c>
      <c r="D410" t="s">
        <v>13</v>
      </c>
      <c r="E410">
        <v>0.624</v>
      </c>
      <c r="F410" t="s">
        <v>6</v>
      </c>
    </row>
    <row r="411" spans="1:6" x14ac:dyDescent="0.35">
      <c r="A411" s="6">
        <v>44790</v>
      </c>
      <c r="B411" s="3">
        <v>0.27083333333333331</v>
      </c>
      <c r="C411" t="s">
        <v>8</v>
      </c>
      <c r="D411" t="s">
        <v>8</v>
      </c>
      <c r="E411">
        <v>0.70699999999999996</v>
      </c>
      <c r="F411" t="s">
        <v>6</v>
      </c>
    </row>
    <row r="412" spans="1:6" x14ac:dyDescent="0.35">
      <c r="A412" s="6">
        <v>44790</v>
      </c>
      <c r="B412" s="3">
        <v>0.27083333333333331</v>
      </c>
      <c r="C412" t="s">
        <v>16</v>
      </c>
      <c r="D412" t="s">
        <v>16</v>
      </c>
      <c r="E412">
        <v>0.95199999999999996</v>
      </c>
      <c r="F412" t="s">
        <v>6</v>
      </c>
    </row>
    <row r="413" spans="1:6" x14ac:dyDescent="0.35">
      <c r="A413" s="6">
        <v>44790</v>
      </c>
      <c r="B413" s="3">
        <v>0.27083333333333331</v>
      </c>
      <c r="C413" t="s">
        <v>14</v>
      </c>
      <c r="D413" t="s">
        <v>14</v>
      </c>
      <c r="E413">
        <v>0.71099999999999997</v>
      </c>
      <c r="F413" t="s">
        <v>6</v>
      </c>
    </row>
    <row r="414" spans="1:6" x14ac:dyDescent="0.35">
      <c r="A414" s="6">
        <v>44790</v>
      </c>
      <c r="B414" s="3">
        <v>0.27083333333333331</v>
      </c>
      <c r="C414" t="s">
        <v>9</v>
      </c>
      <c r="D414" t="s">
        <v>9</v>
      </c>
      <c r="E414">
        <v>0.91500000000000004</v>
      </c>
      <c r="F414" t="s">
        <v>6</v>
      </c>
    </row>
    <row r="415" spans="1:6" x14ac:dyDescent="0.35">
      <c r="A415" s="6">
        <v>44790</v>
      </c>
      <c r="B415" s="3">
        <v>0.27083333333333331</v>
      </c>
      <c r="C415" t="s">
        <v>5</v>
      </c>
      <c r="D415" t="s">
        <v>5</v>
      </c>
      <c r="E415">
        <v>0.81599999999999995</v>
      </c>
      <c r="F415" t="s">
        <v>6</v>
      </c>
    </row>
    <row r="416" spans="1:6" x14ac:dyDescent="0.35">
      <c r="A416" s="6">
        <v>44790</v>
      </c>
      <c r="B416" s="3">
        <v>0.27083333333333331</v>
      </c>
      <c r="C416" t="s">
        <v>11</v>
      </c>
      <c r="D416" t="s">
        <v>11</v>
      </c>
      <c r="E416">
        <v>0.752</v>
      </c>
      <c r="F416" t="s">
        <v>6</v>
      </c>
    </row>
    <row r="417" spans="1:6" x14ac:dyDescent="0.35">
      <c r="A417" s="6">
        <v>44790</v>
      </c>
      <c r="B417" s="3">
        <v>0.27083333333333331</v>
      </c>
      <c r="C417" t="s">
        <v>7</v>
      </c>
      <c r="D417" t="s">
        <v>7</v>
      </c>
      <c r="E417">
        <v>1.1839999999999999</v>
      </c>
      <c r="F417" t="s">
        <v>6</v>
      </c>
    </row>
    <row r="418" spans="1:6" x14ac:dyDescent="0.35">
      <c r="A418" s="6">
        <v>44790</v>
      </c>
      <c r="B418" s="3">
        <v>0.3125</v>
      </c>
      <c r="C418" t="s">
        <v>13</v>
      </c>
      <c r="D418" t="s">
        <v>13</v>
      </c>
      <c r="E418">
        <v>0.628</v>
      </c>
      <c r="F418" t="s">
        <v>6</v>
      </c>
    </row>
    <row r="419" spans="1:6" x14ac:dyDescent="0.35">
      <c r="A419" s="6">
        <v>44790</v>
      </c>
      <c r="B419" s="3">
        <v>0.3125</v>
      </c>
      <c r="C419" t="s">
        <v>8</v>
      </c>
      <c r="D419" t="s">
        <v>8</v>
      </c>
      <c r="E419">
        <v>0.70599999999999996</v>
      </c>
      <c r="F419" t="s">
        <v>6</v>
      </c>
    </row>
    <row r="420" spans="1:6" x14ac:dyDescent="0.35">
      <c r="A420" s="6">
        <v>44790</v>
      </c>
      <c r="B420" s="3">
        <v>0.3125</v>
      </c>
      <c r="C420" t="s">
        <v>16</v>
      </c>
      <c r="D420" t="s">
        <v>16</v>
      </c>
      <c r="E420">
        <v>0.95599999999999996</v>
      </c>
      <c r="F420" t="s">
        <v>6</v>
      </c>
    </row>
    <row r="421" spans="1:6" x14ac:dyDescent="0.35">
      <c r="A421" s="6">
        <v>44790</v>
      </c>
      <c r="B421" s="3">
        <v>0.3125</v>
      </c>
      <c r="C421" t="s">
        <v>14</v>
      </c>
      <c r="D421" t="s">
        <v>14</v>
      </c>
      <c r="E421">
        <v>0.71599999999999997</v>
      </c>
      <c r="F421" t="s">
        <v>6</v>
      </c>
    </row>
    <row r="422" spans="1:6" x14ac:dyDescent="0.35">
      <c r="A422" s="6">
        <v>44790</v>
      </c>
      <c r="B422" s="3">
        <v>0.3125</v>
      </c>
      <c r="C422" t="s">
        <v>9</v>
      </c>
      <c r="D422" t="s">
        <v>9</v>
      </c>
      <c r="E422">
        <v>0.91600000000000004</v>
      </c>
      <c r="F422" t="s">
        <v>6</v>
      </c>
    </row>
    <row r="423" spans="1:6" x14ac:dyDescent="0.35">
      <c r="A423" s="6">
        <v>44790</v>
      </c>
      <c r="B423" s="3">
        <v>0.3125</v>
      </c>
      <c r="C423" t="s">
        <v>5</v>
      </c>
      <c r="D423" t="s">
        <v>5</v>
      </c>
      <c r="E423">
        <v>0.80800000000000005</v>
      </c>
      <c r="F423" t="s">
        <v>6</v>
      </c>
    </row>
    <row r="424" spans="1:6" x14ac:dyDescent="0.35">
      <c r="A424" s="6">
        <v>44790</v>
      </c>
      <c r="B424" s="3">
        <v>0.3125</v>
      </c>
      <c r="C424" t="s">
        <v>11</v>
      </c>
      <c r="D424" t="s">
        <v>11</v>
      </c>
      <c r="E424">
        <v>0.754</v>
      </c>
      <c r="F424" t="s">
        <v>6</v>
      </c>
    </row>
    <row r="425" spans="1:6" x14ac:dyDescent="0.35">
      <c r="A425" s="6">
        <v>44790</v>
      </c>
      <c r="B425" s="3">
        <v>0.3125</v>
      </c>
      <c r="C425" t="s">
        <v>7</v>
      </c>
      <c r="D425" t="s">
        <v>7</v>
      </c>
      <c r="E425">
        <v>1.1879999999999999</v>
      </c>
      <c r="F425" t="s">
        <v>6</v>
      </c>
    </row>
    <row r="426" spans="1:6" x14ac:dyDescent="0.35">
      <c r="A426" s="6">
        <v>44790</v>
      </c>
      <c r="B426" s="3">
        <v>0.33333333333333331</v>
      </c>
      <c r="C426" t="s">
        <v>13</v>
      </c>
      <c r="D426" t="s">
        <v>13</v>
      </c>
      <c r="E426">
        <v>0.63</v>
      </c>
      <c r="F426" t="s">
        <v>6</v>
      </c>
    </row>
    <row r="427" spans="1:6" x14ac:dyDescent="0.35">
      <c r="A427" s="6">
        <v>44790</v>
      </c>
      <c r="B427" s="3">
        <v>0.33333333333333331</v>
      </c>
      <c r="C427" t="s">
        <v>8</v>
      </c>
      <c r="D427" t="s">
        <v>8</v>
      </c>
      <c r="E427">
        <v>0.65300000000000002</v>
      </c>
      <c r="F427" t="s">
        <v>6</v>
      </c>
    </row>
    <row r="428" spans="1:6" x14ac:dyDescent="0.35">
      <c r="A428" s="6">
        <v>44790</v>
      </c>
      <c r="B428" s="3">
        <v>0.33333333333333331</v>
      </c>
      <c r="C428" t="s">
        <v>16</v>
      </c>
      <c r="D428" t="s">
        <v>16</v>
      </c>
      <c r="E428">
        <v>0.95699999999999996</v>
      </c>
      <c r="F428" t="s">
        <v>6</v>
      </c>
    </row>
    <row r="429" spans="1:6" x14ac:dyDescent="0.35">
      <c r="A429" s="6">
        <v>44790</v>
      </c>
      <c r="B429" s="3">
        <v>0.33333333333333331</v>
      </c>
      <c r="C429" t="s">
        <v>14</v>
      </c>
      <c r="D429" t="s">
        <v>14</v>
      </c>
      <c r="E429">
        <v>0.72</v>
      </c>
      <c r="F429" t="s">
        <v>6</v>
      </c>
    </row>
    <row r="430" spans="1:6" x14ac:dyDescent="0.35">
      <c r="A430" s="6">
        <v>44790</v>
      </c>
      <c r="B430" s="3">
        <v>0.33333333333333331</v>
      </c>
      <c r="C430" t="s">
        <v>9</v>
      </c>
      <c r="D430" t="s">
        <v>9</v>
      </c>
      <c r="E430">
        <v>0.91700000000000004</v>
      </c>
      <c r="F430" t="s">
        <v>6</v>
      </c>
    </row>
    <row r="431" spans="1:6" x14ac:dyDescent="0.35">
      <c r="A431" s="6">
        <v>44790</v>
      </c>
      <c r="B431" s="3">
        <v>0.33333333333333331</v>
      </c>
      <c r="C431" t="s">
        <v>5</v>
      </c>
      <c r="D431" t="s">
        <v>5</v>
      </c>
      <c r="E431">
        <v>0.75600000000000001</v>
      </c>
      <c r="F431" t="s">
        <v>6</v>
      </c>
    </row>
    <row r="432" spans="1:6" x14ac:dyDescent="0.35">
      <c r="A432" s="6">
        <v>44790</v>
      </c>
      <c r="B432" s="3">
        <v>0.33333333333333331</v>
      </c>
      <c r="C432" t="s">
        <v>11</v>
      </c>
      <c r="D432" t="s">
        <v>11</v>
      </c>
      <c r="E432">
        <v>0.73699999999999999</v>
      </c>
      <c r="F432" t="s">
        <v>6</v>
      </c>
    </row>
    <row r="433" spans="1:6" x14ac:dyDescent="0.35">
      <c r="A433" s="6">
        <v>44790</v>
      </c>
      <c r="B433" s="3">
        <v>0.33333333333333331</v>
      </c>
      <c r="C433" t="s">
        <v>7</v>
      </c>
      <c r="D433" t="s">
        <v>7</v>
      </c>
      <c r="E433">
        <v>1.1910000000000001</v>
      </c>
      <c r="F433" t="s">
        <v>6</v>
      </c>
    </row>
    <row r="434" spans="1:6" x14ac:dyDescent="0.35">
      <c r="A434" s="6">
        <v>44790</v>
      </c>
      <c r="B434" s="3">
        <v>0.35416666666666669</v>
      </c>
      <c r="C434" t="s">
        <v>13</v>
      </c>
      <c r="D434" t="s">
        <v>13</v>
      </c>
      <c r="E434">
        <v>0.628</v>
      </c>
      <c r="F434" t="s">
        <v>6</v>
      </c>
    </row>
    <row r="435" spans="1:6" x14ac:dyDescent="0.35">
      <c r="A435" s="6">
        <v>44790</v>
      </c>
      <c r="B435" s="3">
        <v>0.35416666666666669</v>
      </c>
      <c r="C435" t="s">
        <v>8</v>
      </c>
      <c r="D435" t="s">
        <v>8</v>
      </c>
      <c r="E435">
        <v>0.58699999999999997</v>
      </c>
      <c r="F435" t="s">
        <v>6</v>
      </c>
    </row>
    <row r="436" spans="1:6" x14ac:dyDescent="0.35">
      <c r="A436" s="6">
        <v>44790</v>
      </c>
      <c r="B436" s="3">
        <v>0.35416666666666669</v>
      </c>
      <c r="C436" t="s">
        <v>16</v>
      </c>
      <c r="D436" t="s">
        <v>16</v>
      </c>
      <c r="E436">
        <v>0.95799999999999996</v>
      </c>
      <c r="F436" t="s">
        <v>6</v>
      </c>
    </row>
    <row r="437" spans="1:6" x14ac:dyDescent="0.35">
      <c r="A437" s="6">
        <v>44790</v>
      </c>
      <c r="B437" s="3">
        <v>0.35416666666666669</v>
      </c>
      <c r="C437" t="s">
        <v>14</v>
      </c>
      <c r="D437" t="s">
        <v>14</v>
      </c>
      <c r="E437">
        <v>0.71899999999999997</v>
      </c>
      <c r="F437" t="s">
        <v>6</v>
      </c>
    </row>
    <row r="438" spans="1:6" x14ac:dyDescent="0.35">
      <c r="A438" s="6">
        <v>44790</v>
      </c>
      <c r="B438" s="3">
        <v>0.35416666666666669</v>
      </c>
      <c r="C438" t="s">
        <v>9</v>
      </c>
      <c r="D438" t="s">
        <v>9</v>
      </c>
      <c r="E438">
        <v>0.92200000000000004</v>
      </c>
      <c r="F438" t="s">
        <v>6</v>
      </c>
    </row>
    <row r="439" spans="1:6" x14ac:dyDescent="0.35">
      <c r="A439" s="6">
        <v>44790</v>
      </c>
      <c r="B439" s="3">
        <v>0.35416666666666669</v>
      </c>
      <c r="C439" t="s">
        <v>5</v>
      </c>
      <c r="D439" t="s">
        <v>5</v>
      </c>
      <c r="E439">
        <v>0.67</v>
      </c>
      <c r="F439" t="s">
        <v>6</v>
      </c>
    </row>
    <row r="440" spans="1:6" x14ac:dyDescent="0.35">
      <c r="A440" s="6">
        <v>44790</v>
      </c>
      <c r="B440" s="3">
        <v>0.35416666666666669</v>
      </c>
      <c r="C440" t="s">
        <v>11</v>
      </c>
      <c r="D440" t="s">
        <v>11</v>
      </c>
      <c r="E440">
        <v>0.68100000000000005</v>
      </c>
      <c r="F440" t="s">
        <v>6</v>
      </c>
    </row>
    <row r="441" spans="1:6" x14ac:dyDescent="0.35">
      <c r="A441" s="6">
        <v>44790</v>
      </c>
      <c r="B441" s="3">
        <v>0.35416666666666669</v>
      </c>
      <c r="C441" t="s">
        <v>7</v>
      </c>
      <c r="D441" t="s">
        <v>7</v>
      </c>
      <c r="E441">
        <v>1.1970000000000001</v>
      </c>
      <c r="F441" t="s">
        <v>6</v>
      </c>
    </row>
    <row r="442" spans="1:6" x14ac:dyDescent="0.35">
      <c r="A442" s="6">
        <v>44790</v>
      </c>
      <c r="B442" s="3">
        <v>0.375</v>
      </c>
      <c r="C442" t="s">
        <v>13</v>
      </c>
      <c r="D442" t="s">
        <v>13</v>
      </c>
      <c r="E442">
        <v>0.61499999999999999</v>
      </c>
      <c r="F442" t="s">
        <v>6</v>
      </c>
    </row>
    <row r="443" spans="1:6" x14ac:dyDescent="0.35">
      <c r="A443" s="6">
        <v>44790</v>
      </c>
      <c r="B443" s="3">
        <v>0.375</v>
      </c>
      <c r="C443" t="s">
        <v>8</v>
      </c>
      <c r="D443" t="s">
        <v>8</v>
      </c>
      <c r="E443">
        <v>0.53700000000000003</v>
      </c>
      <c r="F443" t="s">
        <v>6</v>
      </c>
    </row>
    <row r="444" spans="1:6" x14ac:dyDescent="0.35">
      <c r="A444" s="6">
        <v>44790</v>
      </c>
      <c r="B444" s="3">
        <v>0.375</v>
      </c>
      <c r="C444" t="s">
        <v>16</v>
      </c>
      <c r="D444" t="s">
        <v>16</v>
      </c>
      <c r="E444">
        <v>0.95699999999999996</v>
      </c>
      <c r="F444" t="s">
        <v>6</v>
      </c>
    </row>
    <row r="445" spans="1:6" x14ac:dyDescent="0.35">
      <c r="A445" s="6">
        <v>44790</v>
      </c>
      <c r="B445" s="3">
        <v>0.375</v>
      </c>
      <c r="C445" t="s">
        <v>14</v>
      </c>
      <c r="D445" t="s">
        <v>14</v>
      </c>
      <c r="E445">
        <v>0.7</v>
      </c>
      <c r="F445" t="s">
        <v>6</v>
      </c>
    </row>
    <row r="446" spans="1:6" x14ac:dyDescent="0.35">
      <c r="A446" s="6">
        <v>44790</v>
      </c>
      <c r="B446" s="3">
        <v>0.375</v>
      </c>
      <c r="C446" t="s">
        <v>9</v>
      </c>
      <c r="D446" t="s">
        <v>9</v>
      </c>
      <c r="E446">
        <v>0.92600000000000005</v>
      </c>
      <c r="F446" t="s">
        <v>6</v>
      </c>
    </row>
    <row r="447" spans="1:6" x14ac:dyDescent="0.35">
      <c r="A447" s="6">
        <v>44790</v>
      </c>
      <c r="B447" s="3">
        <v>0.375</v>
      </c>
      <c r="C447" t="s">
        <v>5</v>
      </c>
      <c r="D447" t="s">
        <v>5</v>
      </c>
      <c r="E447">
        <v>0.60699999999999998</v>
      </c>
      <c r="F447" t="s">
        <v>6</v>
      </c>
    </row>
    <row r="448" spans="1:6" x14ac:dyDescent="0.35">
      <c r="A448" s="6">
        <v>44790</v>
      </c>
      <c r="B448" s="3">
        <v>0.375</v>
      </c>
      <c r="C448" t="s">
        <v>11</v>
      </c>
      <c r="D448" t="s">
        <v>11</v>
      </c>
      <c r="E448">
        <v>0.61299999999999999</v>
      </c>
      <c r="F448" t="s">
        <v>6</v>
      </c>
    </row>
    <row r="449" spans="1:6" x14ac:dyDescent="0.35">
      <c r="A449" s="6">
        <v>44790</v>
      </c>
      <c r="B449" s="3">
        <v>0.375</v>
      </c>
      <c r="C449" t="s">
        <v>7</v>
      </c>
      <c r="D449" t="s">
        <v>7</v>
      </c>
      <c r="E449">
        <v>1.202</v>
      </c>
      <c r="F449" t="s">
        <v>6</v>
      </c>
    </row>
    <row r="450" spans="1:6" x14ac:dyDescent="0.35">
      <c r="A450" s="6">
        <v>44790</v>
      </c>
      <c r="B450" s="3">
        <v>0.39583333333333331</v>
      </c>
      <c r="C450" t="s">
        <v>13</v>
      </c>
      <c r="D450" t="s">
        <v>13</v>
      </c>
      <c r="E450">
        <v>0.58599999999999997</v>
      </c>
      <c r="F450" t="s">
        <v>6</v>
      </c>
    </row>
    <row r="451" spans="1:6" x14ac:dyDescent="0.35">
      <c r="A451" s="6">
        <v>44790</v>
      </c>
      <c r="B451" s="3">
        <v>0.39583333333333331</v>
      </c>
      <c r="C451" t="s">
        <v>8</v>
      </c>
      <c r="D451" t="s">
        <v>8</v>
      </c>
      <c r="E451">
        <v>0.52100000000000002</v>
      </c>
      <c r="F451" t="s">
        <v>6</v>
      </c>
    </row>
    <row r="452" spans="1:6" x14ac:dyDescent="0.35">
      <c r="A452" s="6">
        <v>44790</v>
      </c>
      <c r="B452" s="3">
        <v>0.39583333333333331</v>
      </c>
      <c r="C452" t="s">
        <v>16</v>
      </c>
      <c r="D452" t="s">
        <v>16</v>
      </c>
      <c r="E452">
        <v>0.95199999999999996</v>
      </c>
      <c r="F452" t="s">
        <v>6</v>
      </c>
    </row>
    <row r="453" spans="1:6" x14ac:dyDescent="0.35">
      <c r="A453" s="6">
        <v>44790</v>
      </c>
      <c r="B453" s="3">
        <v>0.39583333333333331</v>
      </c>
      <c r="C453" t="s">
        <v>14</v>
      </c>
      <c r="D453" t="s">
        <v>14</v>
      </c>
      <c r="E453">
        <v>0.66300000000000003</v>
      </c>
      <c r="F453" t="s">
        <v>6</v>
      </c>
    </row>
    <row r="454" spans="1:6" x14ac:dyDescent="0.35">
      <c r="A454" s="6">
        <v>44790</v>
      </c>
      <c r="B454" s="3">
        <v>0.39583333333333331</v>
      </c>
      <c r="C454" t="s">
        <v>9</v>
      </c>
      <c r="D454" t="s">
        <v>9</v>
      </c>
      <c r="E454">
        <v>0.93100000000000005</v>
      </c>
      <c r="F454" t="s">
        <v>6</v>
      </c>
    </row>
    <row r="455" spans="1:6" x14ac:dyDescent="0.35">
      <c r="A455" s="6">
        <v>44790</v>
      </c>
      <c r="B455" s="3">
        <v>0.39583333333333331</v>
      </c>
      <c r="C455" t="s">
        <v>5</v>
      </c>
      <c r="D455" t="s">
        <v>5</v>
      </c>
      <c r="E455">
        <v>0.57099999999999995</v>
      </c>
      <c r="F455" t="s">
        <v>6</v>
      </c>
    </row>
    <row r="456" spans="1:6" x14ac:dyDescent="0.35">
      <c r="A456" s="6">
        <v>44790</v>
      </c>
      <c r="B456" s="3">
        <v>0.39583333333333331</v>
      </c>
      <c r="C456" t="s">
        <v>11</v>
      </c>
      <c r="D456" t="s">
        <v>11</v>
      </c>
      <c r="E456">
        <v>0.57099999999999995</v>
      </c>
      <c r="F456" t="s">
        <v>6</v>
      </c>
    </row>
    <row r="457" spans="1:6" x14ac:dyDescent="0.35">
      <c r="A457" s="6">
        <v>44790</v>
      </c>
      <c r="B457" s="3">
        <v>0.39583333333333331</v>
      </c>
      <c r="C457" t="s">
        <v>7</v>
      </c>
      <c r="D457" t="s">
        <v>7</v>
      </c>
      <c r="E457">
        <v>1.2090000000000001</v>
      </c>
      <c r="F457" t="s">
        <v>6</v>
      </c>
    </row>
    <row r="458" spans="1:6" x14ac:dyDescent="0.35">
      <c r="A458" s="6">
        <v>44790</v>
      </c>
      <c r="B458" s="3">
        <v>0.41666666666666669</v>
      </c>
      <c r="C458" t="s">
        <v>13</v>
      </c>
      <c r="D458" t="s">
        <v>13</v>
      </c>
      <c r="E458">
        <v>0.54400000000000004</v>
      </c>
      <c r="F458" t="s">
        <v>6</v>
      </c>
    </row>
    <row r="459" spans="1:6" x14ac:dyDescent="0.35">
      <c r="A459" s="6">
        <v>44790</v>
      </c>
      <c r="B459" s="3">
        <v>0.41666666666666669</v>
      </c>
      <c r="C459" t="s">
        <v>8</v>
      </c>
      <c r="D459" t="s">
        <v>8</v>
      </c>
      <c r="E459">
        <v>0.51800000000000002</v>
      </c>
      <c r="F459" t="s">
        <v>6</v>
      </c>
    </row>
    <row r="460" spans="1:6" x14ac:dyDescent="0.35">
      <c r="A460" s="6">
        <v>44790</v>
      </c>
      <c r="B460" s="3">
        <v>0.41666666666666669</v>
      </c>
      <c r="C460" t="s">
        <v>16</v>
      </c>
      <c r="D460" t="s">
        <v>16</v>
      </c>
      <c r="E460">
        <v>0.94099999999999995</v>
      </c>
      <c r="F460" t="s">
        <v>6</v>
      </c>
    </row>
    <row r="461" spans="1:6" x14ac:dyDescent="0.35">
      <c r="A461" s="6">
        <v>44790</v>
      </c>
      <c r="B461" s="3">
        <v>0.41666666666666669</v>
      </c>
      <c r="C461" t="s">
        <v>14</v>
      </c>
      <c r="D461" t="s">
        <v>14</v>
      </c>
      <c r="E461">
        <v>0.63200000000000001</v>
      </c>
      <c r="F461" t="s">
        <v>6</v>
      </c>
    </row>
    <row r="462" spans="1:6" x14ac:dyDescent="0.35">
      <c r="A462" s="6">
        <v>44790</v>
      </c>
      <c r="B462" s="3">
        <v>0.41666666666666669</v>
      </c>
      <c r="C462" t="s">
        <v>9</v>
      </c>
      <c r="D462" t="s">
        <v>9</v>
      </c>
      <c r="E462">
        <v>0.93700000000000006</v>
      </c>
      <c r="F462" t="s">
        <v>6</v>
      </c>
    </row>
    <row r="463" spans="1:6" x14ac:dyDescent="0.35">
      <c r="A463" s="6">
        <v>44790</v>
      </c>
      <c r="B463" s="3">
        <v>0.41666666666666669</v>
      </c>
      <c r="C463" t="s">
        <v>5</v>
      </c>
      <c r="D463" t="s">
        <v>5</v>
      </c>
      <c r="E463">
        <v>0.57599999999999996</v>
      </c>
      <c r="F463" t="s">
        <v>6</v>
      </c>
    </row>
    <row r="464" spans="1:6" x14ac:dyDescent="0.35">
      <c r="A464" s="6">
        <v>44790</v>
      </c>
      <c r="B464" s="3">
        <v>0.41666666666666669</v>
      </c>
      <c r="C464" t="s">
        <v>11</v>
      </c>
      <c r="D464" t="s">
        <v>11</v>
      </c>
      <c r="E464">
        <v>0.55300000000000005</v>
      </c>
      <c r="F464" t="s">
        <v>6</v>
      </c>
    </row>
    <row r="465" spans="1:6" x14ac:dyDescent="0.35">
      <c r="A465" s="6">
        <v>44790</v>
      </c>
      <c r="B465" s="3">
        <v>0.41666666666666669</v>
      </c>
      <c r="C465" t="s">
        <v>7</v>
      </c>
      <c r="D465" t="s">
        <v>7</v>
      </c>
      <c r="E465">
        <v>1.216</v>
      </c>
      <c r="F465" t="s">
        <v>6</v>
      </c>
    </row>
    <row r="466" spans="1:6" x14ac:dyDescent="0.35">
      <c r="A466" s="6">
        <v>44790</v>
      </c>
      <c r="B466" s="3">
        <v>0.4375</v>
      </c>
      <c r="C466" t="s">
        <v>13</v>
      </c>
      <c r="D466" t="s">
        <v>13</v>
      </c>
      <c r="E466">
        <v>0.51100000000000001</v>
      </c>
      <c r="F466" t="s">
        <v>6</v>
      </c>
    </row>
    <row r="467" spans="1:6" x14ac:dyDescent="0.35">
      <c r="A467" s="6">
        <v>44790</v>
      </c>
      <c r="B467" s="3">
        <v>0.4375</v>
      </c>
      <c r="C467" t="s">
        <v>8</v>
      </c>
      <c r="D467" t="s">
        <v>8</v>
      </c>
      <c r="E467">
        <v>0.52100000000000002</v>
      </c>
      <c r="F467" t="s">
        <v>6</v>
      </c>
    </row>
    <row r="468" spans="1:6" x14ac:dyDescent="0.35">
      <c r="A468" s="6">
        <v>44790</v>
      </c>
      <c r="B468" s="3">
        <v>0.4375</v>
      </c>
      <c r="C468" t="s">
        <v>16</v>
      </c>
      <c r="D468" t="s">
        <v>16</v>
      </c>
      <c r="E468">
        <v>0.92400000000000004</v>
      </c>
      <c r="F468" t="s">
        <v>6</v>
      </c>
    </row>
    <row r="469" spans="1:6" x14ac:dyDescent="0.35">
      <c r="A469" s="6">
        <v>44790</v>
      </c>
      <c r="B469" s="3">
        <v>0.4375</v>
      </c>
      <c r="C469" t="s">
        <v>14</v>
      </c>
      <c r="D469" t="s">
        <v>14</v>
      </c>
      <c r="E469">
        <v>0.627</v>
      </c>
      <c r="F469" t="s">
        <v>6</v>
      </c>
    </row>
    <row r="470" spans="1:6" x14ac:dyDescent="0.35">
      <c r="A470" s="6">
        <v>44790</v>
      </c>
      <c r="B470" s="3">
        <v>0.4375</v>
      </c>
      <c r="C470" t="s">
        <v>9</v>
      </c>
      <c r="D470" t="s">
        <v>9</v>
      </c>
      <c r="E470">
        <v>0.94</v>
      </c>
      <c r="F470" t="s">
        <v>6</v>
      </c>
    </row>
    <row r="471" spans="1:6" x14ac:dyDescent="0.35">
      <c r="A471" s="6">
        <v>44790</v>
      </c>
      <c r="B471" s="3">
        <v>0.4375</v>
      </c>
      <c r="C471" t="s">
        <v>5</v>
      </c>
      <c r="D471" t="s">
        <v>5</v>
      </c>
      <c r="E471">
        <v>0.59899999999999998</v>
      </c>
      <c r="F471" t="s">
        <v>6</v>
      </c>
    </row>
    <row r="472" spans="1:6" x14ac:dyDescent="0.35">
      <c r="A472" s="6">
        <v>44790</v>
      </c>
      <c r="B472" s="3">
        <v>0.4375</v>
      </c>
      <c r="C472" t="s">
        <v>11</v>
      </c>
      <c r="D472" t="s">
        <v>11</v>
      </c>
      <c r="E472">
        <v>0.55600000000000005</v>
      </c>
      <c r="F472" t="s">
        <v>6</v>
      </c>
    </row>
    <row r="473" spans="1:6" x14ac:dyDescent="0.35">
      <c r="A473" s="6">
        <v>44790</v>
      </c>
      <c r="B473" s="3">
        <v>0.4375</v>
      </c>
      <c r="C473" t="s">
        <v>7</v>
      </c>
      <c r="D473" t="s">
        <v>7</v>
      </c>
      <c r="E473">
        <v>1.2230000000000001</v>
      </c>
      <c r="F473" t="s">
        <v>6</v>
      </c>
    </row>
    <row r="474" spans="1:6" x14ac:dyDescent="0.35">
      <c r="A474" s="6">
        <v>44790</v>
      </c>
      <c r="B474" s="3">
        <v>0.45833333333333331</v>
      </c>
      <c r="C474" t="s">
        <v>13</v>
      </c>
      <c r="D474" t="s">
        <v>13</v>
      </c>
      <c r="E474">
        <v>0.49099999999999999</v>
      </c>
      <c r="F474" t="s">
        <v>6</v>
      </c>
    </row>
    <row r="475" spans="1:6" x14ac:dyDescent="0.35">
      <c r="A475" s="6">
        <v>44790</v>
      </c>
      <c r="B475" s="3">
        <v>0.45833333333333331</v>
      </c>
      <c r="C475" t="s">
        <v>8</v>
      </c>
      <c r="D475" t="s">
        <v>8</v>
      </c>
      <c r="E475">
        <v>0.51700000000000002</v>
      </c>
      <c r="F475" t="s">
        <v>6</v>
      </c>
    </row>
    <row r="476" spans="1:6" x14ac:dyDescent="0.35">
      <c r="A476" s="6">
        <v>44790</v>
      </c>
      <c r="B476" s="3">
        <v>0.45833333333333331</v>
      </c>
      <c r="C476" t="s">
        <v>16</v>
      </c>
      <c r="D476" t="s">
        <v>16</v>
      </c>
      <c r="E476">
        <v>0.90600000000000003</v>
      </c>
      <c r="F476" t="s">
        <v>6</v>
      </c>
    </row>
    <row r="477" spans="1:6" x14ac:dyDescent="0.35">
      <c r="A477" s="6">
        <v>44790</v>
      </c>
      <c r="B477" s="3">
        <v>0.45833333333333331</v>
      </c>
      <c r="C477" t="s">
        <v>14</v>
      </c>
      <c r="D477" t="s">
        <v>14</v>
      </c>
      <c r="E477">
        <v>0.64</v>
      </c>
      <c r="F477" t="s">
        <v>6</v>
      </c>
    </row>
    <row r="478" spans="1:6" x14ac:dyDescent="0.35">
      <c r="A478" s="6">
        <v>44790</v>
      </c>
      <c r="B478" s="3">
        <v>0.45833333333333331</v>
      </c>
      <c r="C478" t="s">
        <v>9</v>
      </c>
      <c r="D478" t="s">
        <v>9</v>
      </c>
      <c r="E478">
        <v>0.94099999999999995</v>
      </c>
      <c r="F478" t="s">
        <v>6</v>
      </c>
    </row>
    <row r="479" spans="1:6" x14ac:dyDescent="0.35">
      <c r="A479" s="6">
        <v>44790</v>
      </c>
      <c r="B479" s="3">
        <v>0.45833333333333331</v>
      </c>
      <c r="C479" t="s">
        <v>5</v>
      </c>
      <c r="D479" t="s">
        <v>5</v>
      </c>
      <c r="E479">
        <v>0.59699999999999998</v>
      </c>
      <c r="F479" t="s">
        <v>6</v>
      </c>
    </row>
    <row r="480" spans="1:6" x14ac:dyDescent="0.35">
      <c r="A480" s="6">
        <v>44790</v>
      </c>
      <c r="B480" s="3">
        <v>0.45833333333333331</v>
      </c>
      <c r="C480" t="s">
        <v>11</v>
      </c>
      <c r="D480" t="s">
        <v>11</v>
      </c>
      <c r="E480">
        <v>0.56000000000000005</v>
      </c>
      <c r="F480" t="s">
        <v>6</v>
      </c>
    </row>
    <row r="481" spans="1:6" x14ac:dyDescent="0.35">
      <c r="A481" s="6">
        <v>44790</v>
      </c>
      <c r="B481" s="3">
        <v>0.45833333333333331</v>
      </c>
      <c r="C481" t="s">
        <v>7</v>
      </c>
      <c r="D481" t="s">
        <v>7</v>
      </c>
      <c r="E481">
        <v>1.2270000000000001</v>
      </c>
      <c r="F481" t="s">
        <v>6</v>
      </c>
    </row>
    <row r="482" spans="1:6" x14ac:dyDescent="0.35">
      <c r="A482" s="6">
        <v>44790</v>
      </c>
      <c r="B482" s="3">
        <v>0.47916666666666669</v>
      </c>
      <c r="C482" t="s">
        <v>13</v>
      </c>
      <c r="D482" t="s">
        <v>13</v>
      </c>
      <c r="E482">
        <v>0.48599999999999999</v>
      </c>
      <c r="F482" t="s">
        <v>6</v>
      </c>
    </row>
    <row r="483" spans="1:6" x14ac:dyDescent="0.35">
      <c r="A483" s="6">
        <v>44790</v>
      </c>
      <c r="B483" s="3">
        <v>0.47916666666666669</v>
      </c>
      <c r="C483" t="s">
        <v>8</v>
      </c>
      <c r="D483" t="s">
        <v>8</v>
      </c>
      <c r="E483">
        <v>0.51400000000000001</v>
      </c>
      <c r="F483" t="s">
        <v>6</v>
      </c>
    </row>
    <row r="484" spans="1:6" x14ac:dyDescent="0.35">
      <c r="A484" s="6">
        <v>44790</v>
      </c>
      <c r="B484" s="3">
        <v>0.47916666666666669</v>
      </c>
      <c r="C484" t="s">
        <v>16</v>
      </c>
      <c r="D484" t="s">
        <v>16</v>
      </c>
      <c r="E484">
        <v>0.89200000000000002</v>
      </c>
      <c r="F484" t="s">
        <v>6</v>
      </c>
    </row>
    <row r="485" spans="1:6" x14ac:dyDescent="0.35">
      <c r="A485" s="6">
        <v>44790</v>
      </c>
      <c r="B485" s="3">
        <v>0.47916666666666669</v>
      </c>
      <c r="C485" t="s">
        <v>14</v>
      </c>
      <c r="D485" t="s">
        <v>14</v>
      </c>
      <c r="E485">
        <v>0.65100000000000002</v>
      </c>
      <c r="F485" t="s">
        <v>6</v>
      </c>
    </row>
    <row r="486" spans="1:6" x14ac:dyDescent="0.35">
      <c r="A486" s="6">
        <v>44790</v>
      </c>
      <c r="B486" s="3">
        <v>0.47916666666666669</v>
      </c>
      <c r="C486" t="s">
        <v>9</v>
      </c>
      <c r="D486" t="s">
        <v>9</v>
      </c>
      <c r="E486">
        <v>0.94299999999999995</v>
      </c>
      <c r="F486" t="s">
        <v>6</v>
      </c>
    </row>
    <row r="487" spans="1:6" x14ac:dyDescent="0.35">
      <c r="A487" s="6">
        <v>44790</v>
      </c>
      <c r="B487" s="3">
        <v>0.47916666666666669</v>
      </c>
      <c r="C487" t="s">
        <v>5</v>
      </c>
      <c r="D487" t="s">
        <v>5</v>
      </c>
      <c r="E487">
        <v>0.59499999999999997</v>
      </c>
      <c r="F487" t="s">
        <v>6</v>
      </c>
    </row>
    <row r="488" spans="1:6" x14ac:dyDescent="0.35">
      <c r="A488" s="6">
        <v>44790</v>
      </c>
      <c r="B488" s="3">
        <v>0.47916666666666669</v>
      </c>
      <c r="C488" t="s">
        <v>11</v>
      </c>
      <c r="D488" t="s">
        <v>11</v>
      </c>
      <c r="E488">
        <v>0.55900000000000005</v>
      </c>
      <c r="F488" t="s">
        <v>6</v>
      </c>
    </row>
    <row r="489" spans="1:6" x14ac:dyDescent="0.35">
      <c r="A489" s="6">
        <v>44790</v>
      </c>
      <c r="B489" s="3">
        <v>0.47916666666666669</v>
      </c>
      <c r="C489" t="s">
        <v>7</v>
      </c>
      <c r="D489" t="s">
        <v>7</v>
      </c>
      <c r="E489">
        <v>1.2330000000000001</v>
      </c>
      <c r="F489" t="s">
        <v>6</v>
      </c>
    </row>
    <row r="490" spans="1:6" x14ac:dyDescent="0.35">
      <c r="A490" s="6">
        <v>44791</v>
      </c>
      <c r="B490" s="3">
        <v>0.14583333333333334</v>
      </c>
      <c r="C490" t="s">
        <v>36</v>
      </c>
      <c r="D490" t="s">
        <v>35</v>
      </c>
      <c r="E490">
        <v>0.65200000000000002</v>
      </c>
      <c r="F490" t="s">
        <v>6</v>
      </c>
    </row>
    <row r="491" spans="1:6" x14ac:dyDescent="0.35">
      <c r="A491" s="6">
        <v>44791</v>
      </c>
      <c r="B491" s="3">
        <v>0.14583333333333334</v>
      </c>
      <c r="C491" t="s">
        <v>35</v>
      </c>
      <c r="D491" t="s">
        <v>35</v>
      </c>
      <c r="E491">
        <v>0.57199999999999995</v>
      </c>
      <c r="F491" t="s">
        <v>6</v>
      </c>
    </row>
    <row r="492" spans="1:6" x14ac:dyDescent="0.35">
      <c r="A492" s="6">
        <v>44791</v>
      </c>
      <c r="B492" s="3">
        <v>0.14583333333333334</v>
      </c>
      <c r="C492" t="s">
        <v>13</v>
      </c>
      <c r="D492" t="s">
        <v>13</v>
      </c>
      <c r="E492">
        <v>0.68700000000000006</v>
      </c>
      <c r="F492" t="s">
        <v>6</v>
      </c>
    </row>
    <row r="493" spans="1:6" x14ac:dyDescent="0.35">
      <c r="A493" s="6">
        <v>44791</v>
      </c>
      <c r="B493" s="3">
        <v>0.14583333333333334</v>
      </c>
      <c r="C493" t="s">
        <v>8</v>
      </c>
      <c r="D493" t="s">
        <v>8</v>
      </c>
      <c r="E493">
        <v>0.56100000000000005</v>
      </c>
      <c r="F493" t="s">
        <v>6</v>
      </c>
    </row>
    <row r="494" spans="1:6" x14ac:dyDescent="0.35">
      <c r="A494" s="6">
        <v>44791</v>
      </c>
      <c r="B494" s="3">
        <v>0.14583333333333334</v>
      </c>
      <c r="C494" t="s">
        <v>17</v>
      </c>
      <c r="D494" t="s">
        <v>17</v>
      </c>
      <c r="E494">
        <v>0.53300000000000003</v>
      </c>
      <c r="F494" t="s">
        <v>6</v>
      </c>
    </row>
    <row r="495" spans="1:6" x14ac:dyDescent="0.35">
      <c r="A495" s="6">
        <v>44791</v>
      </c>
      <c r="B495" s="3">
        <v>0.14583333333333334</v>
      </c>
      <c r="C495" t="s">
        <v>11</v>
      </c>
      <c r="D495" t="s">
        <v>11</v>
      </c>
      <c r="E495">
        <v>0.60799999999999998</v>
      </c>
      <c r="F495" t="s">
        <v>6</v>
      </c>
    </row>
    <row r="496" spans="1:6" x14ac:dyDescent="0.35">
      <c r="A496" s="6">
        <v>44791</v>
      </c>
      <c r="B496" s="3">
        <v>0.14583333333333334</v>
      </c>
      <c r="C496" t="s">
        <v>34</v>
      </c>
      <c r="D496" t="s">
        <v>34</v>
      </c>
      <c r="E496">
        <v>0.72599999999999998</v>
      </c>
      <c r="F496" t="s">
        <v>6</v>
      </c>
    </row>
    <row r="497" spans="1:6" x14ac:dyDescent="0.35">
      <c r="A497" s="6">
        <v>44791</v>
      </c>
      <c r="B497" s="3">
        <v>0.16666666666666666</v>
      </c>
      <c r="C497" t="s">
        <v>36</v>
      </c>
      <c r="D497" t="s">
        <v>35</v>
      </c>
      <c r="E497">
        <v>0.69899999999999995</v>
      </c>
      <c r="F497" t="s">
        <v>6</v>
      </c>
    </row>
    <row r="498" spans="1:6" x14ac:dyDescent="0.35">
      <c r="A498" s="6">
        <v>44791</v>
      </c>
      <c r="B498" s="3">
        <v>0.16666666666666666</v>
      </c>
      <c r="C498" t="s">
        <v>35</v>
      </c>
      <c r="D498" t="s">
        <v>35</v>
      </c>
      <c r="E498">
        <v>0.626</v>
      </c>
      <c r="F498" t="s">
        <v>6</v>
      </c>
    </row>
    <row r="499" spans="1:6" x14ac:dyDescent="0.35">
      <c r="A499" s="6">
        <v>44791</v>
      </c>
      <c r="B499" s="3">
        <v>0.16666666666666666</v>
      </c>
      <c r="C499" t="s">
        <v>13</v>
      </c>
      <c r="D499" t="s">
        <v>13</v>
      </c>
      <c r="E499">
        <v>0.73199999999999998</v>
      </c>
      <c r="F499" t="s">
        <v>6</v>
      </c>
    </row>
    <row r="500" spans="1:6" x14ac:dyDescent="0.35">
      <c r="A500" s="6">
        <v>44791</v>
      </c>
      <c r="B500" s="3">
        <v>0.16666666666666666</v>
      </c>
      <c r="C500" t="s">
        <v>8</v>
      </c>
      <c r="D500" t="s">
        <v>8</v>
      </c>
      <c r="E500">
        <v>0.60299999999999998</v>
      </c>
      <c r="F500" t="s">
        <v>6</v>
      </c>
    </row>
    <row r="501" spans="1:6" x14ac:dyDescent="0.35">
      <c r="A501" s="6">
        <v>44791</v>
      </c>
      <c r="B501" s="3">
        <v>0.16666666666666666</v>
      </c>
      <c r="C501" t="s">
        <v>17</v>
      </c>
      <c r="D501" t="s">
        <v>17</v>
      </c>
      <c r="E501">
        <v>0.57899999999999996</v>
      </c>
      <c r="F501" t="s">
        <v>6</v>
      </c>
    </row>
    <row r="502" spans="1:6" x14ac:dyDescent="0.35">
      <c r="A502" s="6">
        <v>44791</v>
      </c>
      <c r="B502" s="3">
        <v>0.16666666666666666</v>
      </c>
      <c r="C502" t="s">
        <v>11</v>
      </c>
      <c r="D502" t="s">
        <v>11</v>
      </c>
      <c r="E502">
        <v>0.64700000000000002</v>
      </c>
      <c r="F502" t="s">
        <v>6</v>
      </c>
    </row>
    <row r="503" spans="1:6" x14ac:dyDescent="0.35">
      <c r="A503" s="6">
        <v>44791</v>
      </c>
      <c r="B503" s="3">
        <v>0.16666666666666666</v>
      </c>
      <c r="C503" t="s">
        <v>34</v>
      </c>
      <c r="D503" t="s">
        <v>34</v>
      </c>
      <c r="E503">
        <v>0.78</v>
      </c>
      <c r="F503" t="s">
        <v>6</v>
      </c>
    </row>
    <row r="504" spans="1:6" x14ac:dyDescent="0.35">
      <c r="A504" s="6">
        <v>44791</v>
      </c>
      <c r="B504" s="3">
        <v>0.1875</v>
      </c>
      <c r="C504" t="s">
        <v>36</v>
      </c>
      <c r="D504" t="s">
        <v>35</v>
      </c>
      <c r="E504">
        <v>0.72799999999999998</v>
      </c>
      <c r="F504" t="s">
        <v>6</v>
      </c>
    </row>
    <row r="505" spans="1:6" x14ac:dyDescent="0.35">
      <c r="A505" s="6">
        <v>44791</v>
      </c>
      <c r="B505" s="3">
        <v>0.1875</v>
      </c>
      <c r="C505" t="s">
        <v>35</v>
      </c>
      <c r="D505" t="s">
        <v>35</v>
      </c>
      <c r="E505">
        <v>0.67</v>
      </c>
      <c r="F505" t="s">
        <v>6</v>
      </c>
    </row>
    <row r="506" spans="1:6" x14ac:dyDescent="0.35">
      <c r="A506" s="6">
        <v>44791</v>
      </c>
      <c r="B506" s="3">
        <v>0.1875</v>
      </c>
      <c r="C506" t="s">
        <v>13</v>
      </c>
      <c r="D506" t="s">
        <v>13</v>
      </c>
      <c r="E506">
        <v>0.76200000000000001</v>
      </c>
      <c r="F506" t="s">
        <v>6</v>
      </c>
    </row>
    <row r="507" spans="1:6" x14ac:dyDescent="0.35">
      <c r="A507" s="6">
        <v>44791</v>
      </c>
      <c r="B507" s="3">
        <v>0.1875</v>
      </c>
      <c r="C507" t="s">
        <v>8</v>
      </c>
      <c r="D507" t="s">
        <v>8</v>
      </c>
      <c r="E507">
        <v>0.63900000000000001</v>
      </c>
      <c r="F507" t="s">
        <v>6</v>
      </c>
    </row>
    <row r="508" spans="1:6" x14ac:dyDescent="0.35">
      <c r="A508" s="6">
        <v>44791</v>
      </c>
      <c r="B508" s="3">
        <v>0.1875</v>
      </c>
      <c r="C508" t="s">
        <v>17</v>
      </c>
      <c r="D508" t="s">
        <v>17</v>
      </c>
      <c r="E508">
        <v>0.61099999999999999</v>
      </c>
      <c r="F508" t="s">
        <v>6</v>
      </c>
    </row>
    <row r="509" spans="1:6" x14ac:dyDescent="0.35">
      <c r="A509" s="6">
        <v>44791</v>
      </c>
      <c r="B509" s="3">
        <v>0.1875</v>
      </c>
      <c r="C509" t="s">
        <v>11</v>
      </c>
      <c r="D509" t="s">
        <v>11</v>
      </c>
      <c r="E509">
        <v>0.67600000000000005</v>
      </c>
      <c r="F509" t="s">
        <v>6</v>
      </c>
    </row>
    <row r="510" spans="1:6" x14ac:dyDescent="0.35">
      <c r="A510" s="6">
        <v>44791</v>
      </c>
      <c r="B510" s="3">
        <v>0.1875</v>
      </c>
      <c r="C510" t="s">
        <v>34</v>
      </c>
      <c r="D510" t="s">
        <v>34</v>
      </c>
      <c r="E510">
        <v>0.81699999999999995</v>
      </c>
      <c r="F510" t="s">
        <v>6</v>
      </c>
    </row>
    <row r="511" spans="1:6" x14ac:dyDescent="0.35">
      <c r="A511" s="6">
        <v>44791</v>
      </c>
      <c r="B511" s="3">
        <v>0.20833333333333334</v>
      </c>
      <c r="C511" t="s">
        <v>36</v>
      </c>
      <c r="D511" t="s">
        <v>35</v>
      </c>
      <c r="E511">
        <v>0.74099999999999999</v>
      </c>
      <c r="F511" t="s">
        <v>6</v>
      </c>
    </row>
    <row r="512" spans="1:6" x14ac:dyDescent="0.35">
      <c r="A512" s="6">
        <v>44791</v>
      </c>
      <c r="B512" s="3">
        <v>0.20833333333333334</v>
      </c>
      <c r="C512" t="s">
        <v>35</v>
      </c>
      <c r="D512" t="s">
        <v>35</v>
      </c>
      <c r="E512">
        <v>0.69599999999999995</v>
      </c>
      <c r="F512" t="s">
        <v>6</v>
      </c>
    </row>
    <row r="513" spans="1:6" x14ac:dyDescent="0.35">
      <c r="A513" s="6">
        <v>44791</v>
      </c>
      <c r="B513" s="3">
        <v>0.20833333333333334</v>
      </c>
      <c r="C513" t="s">
        <v>13</v>
      </c>
      <c r="D513" t="s">
        <v>13</v>
      </c>
      <c r="E513">
        <v>0.77600000000000002</v>
      </c>
      <c r="F513" t="s">
        <v>6</v>
      </c>
    </row>
    <row r="514" spans="1:6" x14ac:dyDescent="0.35">
      <c r="A514" s="6">
        <v>44791</v>
      </c>
      <c r="B514" s="3">
        <v>0.20833333333333334</v>
      </c>
      <c r="C514" t="s">
        <v>8</v>
      </c>
      <c r="D514" t="s">
        <v>8</v>
      </c>
      <c r="E514">
        <v>0.66600000000000004</v>
      </c>
      <c r="F514" t="s">
        <v>6</v>
      </c>
    </row>
    <row r="515" spans="1:6" x14ac:dyDescent="0.35">
      <c r="A515" s="6">
        <v>44791</v>
      </c>
      <c r="B515" s="3">
        <v>0.20833333333333334</v>
      </c>
      <c r="C515" t="s">
        <v>17</v>
      </c>
      <c r="D515" t="s">
        <v>17</v>
      </c>
      <c r="E515">
        <v>0.629</v>
      </c>
      <c r="F515" t="s">
        <v>6</v>
      </c>
    </row>
    <row r="516" spans="1:6" x14ac:dyDescent="0.35">
      <c r="A516" s="6">
        <v>44791</v>
      </c>
      <c r="B516" s="3">
        <v>0.20833333333333334</v>
      </c>
      <c r="C516" t="s">
        <v>11</v>
      </c>
      <c r="D516" t="s">
        <v>11</v>
      </c>
      <c r="E516">
        <v>0.69499999999999995</v>
      </c>
      <c r="F516" t="s">
        <v>6</v>
      </c>
    </row>
    <row r="517" spans="1:6" x14ac:dyDescent="0.35">
      <c r="A517" s="6">
        <v>44791</v>
      </c>
      <c r="B517" s="3">
        <v>0.20833333333333334</v>
      </c>
      <c r="C517" t="s">
        <v>34</v>
      </c>
      <c r="D517" t="s">
        <v>34</v>
      </c>
      <c r="E517">
        <v>0.83399999999999996</v>
      </c>
      <c r="F517" t="s">
        <v>6</v>
      </c>
    </row>
    <row r="518" spans="1:6" x14ac:dyDescent="0.35">
      <c r="A518" s="6">
        <v>44791</v>
      </c>
      <c r="B518" s="3">
        <v>0.22916666666666666</v>
      </c>
      <c r="C518" t="s">
        <v>36</v>
      </c>
      <c r="D518" t="s">
        <v>35</v>
      </c>
      <c r="E518">
        <v>0.749</v>
      </c>
      <c r="F518" t="s">
        <v>6</v>
      </c>
    </row>
    <row r="519" spans="1:6" x14ac:dyDescent="0.35">
      <c r="A519" s="6">
        <v>44791</v>
      </c>
      <c r="B519" s="3">
        <v>0.22916666666666666</v>
      </c>
      <c r="C519" t="s">
        <v>35</v>
      </c>
      <c r="D519" t="s">
        <v>35</v>
      </c>
      <c r="E519">
        <v>0.71299999999999997</v>
      </c>
      <c r="F519" t="s">
        <v>6</v>
      </c>
    </row>
    <row r="520" spans="1:6" x14ac:dyDescent="0.35">
      <c r="A520" s="6">
        <v>44791</v>
      </c>
      <c r="B520" s="3">
        <v>0.22916666666666666</v>
      </c>
      <c r="C520" t="s">
        <v>13</v>
      </c>
      <c r="D520" t="s">
        <v>13</v>
      </c>
      <c r="E520">
        <v>0.78400000000000003</v>
      </c>
      <c r="F520" t="s">
        <v>6</v>
      </c>
    </row>
    <row r="521" spans="1:6" x14ac:dyDescent="0.35">
      <c r="A521" s="6">
        <v>44791</v>
      </c>
      <c r="B521" s="3">
        <v>0.22916666666666666</v>
      </c>
      <c r="C521" t="s">
        <v>8</v>
      </c>
      <c r="D521" t="s">
        <v>8</v>
      </c>
      <c r="E521">
        <v>0.68100000000000005</v>
      </c>
      <c r="F521" t="s">
        <v>6</v>
      </c>
    </row>
    <row r="522" spans="1:6" x14ac:dyDescent="0.35">
      <c r="A522" s="6">
        <v>44791</v>
      </c>
      <c r="B522" s="3">
        <v>0.22916666666666666</v>
      </c>
      <c r="C522" t="s">
        <v>17</v>
      </c>
      <c r="D522" t="s">
        <v>17</v>
      </c>
      <c r="E522">
        <v>0.64</v>
      </c>
      <c r="F522" t="s">
        <v>6</v>
      </c>
    </row>
    <row r="523" spans="1:6" x14ac:dyDescent="0.35">
      <c r="A523" s="6">
        <v>44791</v>
      </c>
      <c r="B523" s="3">
        <v>0.22916666666666666</v>
      </c>
      <c r="C523" t="s">
        <v>11</v>
      </c>
      <c r="D523" t="s">
        <v>11</v>
      </c>
      <c r="E523">
        <v>0.70499999999999996</v>
      </c>
      <c r="F523" t="s">
        <v>6</v>
      </c>
    </row>
    <row r="524" spans="1:6" x14ac:dyDescent="0.35">
      <c r="A524" s="6">
        <v>44791</v>
      </c>
      <c r="B524" s="3">
        <v>0.22916666666666666</v>
      </c>
      <c r="C524" t="s">
        <v>34</v>
      </c>
      <c r="D524" t="s">
        <v>34</v>
      </c>
      <c r="E524">
        <v>0.84399999999999997</v>
      </c>
      <c r="F524" t="s">
        <v>6</v>
      </c>
    </row>
    <row r="525" spans="1:6" x14ac:dyDescent="0.35">
      <c r="A525" s="6">
        <v>44791</v>
      </c>
      <c r="B525" s="3">
        <v>0.27083333333333331</v>
      </c>
      <c r="C525" t="s">
        <v>36</v>
      </c>
      <c r="D525" t="s">
        <v>35</v>
      </c>
      <c r="E525">
        <v>0.71799999999999997</v>
      </c>
      <c r="F525" t="s">
        <v>6</v>
      </c>
    </row>
    <row r="526" spans="1:6" x14ac:dyDescent="0.35">
      <c r="A526" s="6">
        <v>44791</v>
      </c>
      <c r="B526" s="3">
        <v>0.27083333333333331</v>
      </c>
      <c r="C526" t="s">
        <v>35</v>
      </c>
      <c r="D526" t="s">
        <v>35</v>
      </c>
      <c r="E526">
        <v>0.68100000000000005</v>
      </c>
      <c r="F526" t="s">
        <v>6</v>
      </c>
    </row>
    <row r="527" spans="1:6" x14ac:dyDescent="0.35">
      <c r="A527" s="6">
        <v>44791</v>
      </c>
      <c r="B527" s="3">
        <v>0.27083333333333331</v>
      </c>
      <c r="C527" t="s">
        <v>13</v>
      </c>
      <c r="D527" t="s">
        <v>13</v>
      </c>
      <c r="E527">
        <v>0.74199999999999999</v>
      </c>
      <c r="F527" t="s">
        <v>6</v>
      </c>
    </row>
    <row r="528" spans="1:6" x14ac:dyDescent="0.35">
      <c r="A528" s="6">
        <v>44791</v>
      </c>
      <c r="B528" s="3">
        <v>0.27083333333333331</v>
      </c>
      <c r="C528" t="s">
        <v>8</v>
      </c>
      <c r="D528" t="s">
        <v>8</v>
      </c>
      <c r="E528">
        <v>0.65500000000000003</v>
      </c>
      <c r="F528" t="s">
        <v>6</v>
      </c>
    </row>
    <row r="529" spans="1:6" x14ac:dyDescent="0.35">
      <c r="A529" s="6">
        <v>44791</v>
      </c>
      <c r="B529" s="3">
        <v>0.27083333333333331</v>
      </c>
      <c r="C529" t="s">
        <v>16</v>
      </c>
      <c r="D529" t="s">
        <v>16</v>
      </c>
      <c r="E529">
        <v>0.95799999999999996</v>
      </c>
      <c r="F529" t="s">
        <v>6</v>
      </c>
    </row>
    <row r="530" spans="1:6" x14ac:dyDescent="0.35">
      <c r="A530" s="6">
        <v>44791</v>
      </c>
      <c r="B530" s="3">
        <v>0.27083333333333331</v>
      </c>
      <c r="C530" t="s">
        <v>17</v>
      </c>
      <c r="D530" t="s">
        <v>17</v>
      </c>
      <c r="E530">
        <v>0.60099999999999998</v>
      </c>
      <c r="F530" t="s">
        <v>6</v>
      </c>
    </row>
    <row r="531" spans="1:6" x14ac:dyDescent="0.35">
      <c r="A531" s="6">
        <v>44791</v>
      </c>
      <c r="B531" s="3">
        <v>0.27083333333333331</v>
      </c>
      <c r="C531" t="s">
        <v>11</v>
      </c>
      <c r="D531" t="s">
        <v>11</v>
      </c>
      <c r="E531">
        <v>0.67100000000000004</v>
      </c>
      <c r="F531" t="s">
        <v>6</v>
      </c>
    </row>
    <row r="532" spans="1:6" x14ac:dyDescent="0.35">
      <c r="A532" s="6">
        <v>44791</v>
      </c>
      <c r="B532" s="3">
        <v>0.27083333333333331</v>
      </c>
      <c r="C532" t="s">
        <v>34</v>
      </c>
      <c r="D532" t="s">
        <v>34</v>
      </c>
      <c r="E532">
        <v>0.80300000000000005</v>
      </c>
      <c r="F532" t="s">
        <v>6</v>
      </c>
    </row>
    <row r="533" spans="1:6" x14ac:dyDescent="0.35">
      <c r="A533" s="6">
        <v>44791</v>
      </c>
      <c r="B533" s="3">
        <v>0.29166666666666669</v>
      </c>
      <c r="C533" t="s">
        <v>36</v>
      </c>
      <c r="D533" t="s">
        <v>35</v>
      </c>
      <c r="E533">
        <v>0.71299999999999997</v>
      </c>
      <c r="F533" t="s">
        <v>6</v>
      </c>
    </row>
    <row r="534" spans="1:6" x14ac:dyDescent="0.35">
      <c r="A534" s="6">
        <v>44791</v>
      </c>
      <c r="B534" s="3">
        <v>0.29166666666666669</v>
      </c>
      <c r="C534" t="s">
        <v>35</v>
      </c>
      <c r="D534" t="s">
        <v>35</v>
      </c>
      <c r="E534">
        <v>0.67700000000000005</v>
      </c>
      <c r="F534" t="s">
        <v>6</v>
      </c>
    </row>
    <row r="535" spans="1:6" x14ac:dyDescent="0.35">
      <c r="A535" s="6">
        <v>44791</v>
      </c>
      <c r="B535" s="3">
        <v>0.29166666666666669</v>
      </c>
      <c r="C535" t="s">
        <v>13</v>
      </c>
      <c r="D535" t="s">
        <v>13</v>
      </c>
      <c r="E535">
        <v>0.73699999999999999</v>
      </c>
      <c r="F535" t="s">
        <v>6</v>
      </c>
    </row>
    <row r="536" spans="1:6" x14ac:dyDescent="0.35">
      <c r="A536" s="6">
        <v>44791</v>
      </c>
      <c r="B536" s="3">
        <v>0.29166666666666669</v>
      </c>
      <c r="C536" t="s">
        <v>8</v>
      </c>
      <c r="D536" t="s">
        <v>8</v>
      </c>
      <c r="E536">
        <v>0.65200000000000002</v>
      </c>
      <c r="F536" t="s">
        <v>6</v>
      </c>
    </row>
    <row r="537" spans="1:6" x14ac:dyDescent="0.35">
      <c r="A537" s="6">
        <v>44791</v>
      </c>
      <c r="B537" s="3">
        <v>0.29166666666666669</v>
      </c>
      <c r="C537" t="s">
        <v>16</v>
      </c>
      <c r="D537" t="s">
        <v>16</v>
      </c>
      <c r="E537">
        <v>0.95299999999999996</v>
      </c>
      <c r="F537" t="s">
        <v>6</v>
      </c>
    </row>
    <row r="538" spans="1:6" x14ac:dyDescent="0.35">
      <c r="A538" s="6">
        <v>44791</v>
      </c>
      <c r="B538" s="3">
        <v>0.29166666666666669</v>
      </c>
      <c r="C538" t="s">
        <v>17</v>
      </c>
      <c r="D538" t="s">
        <v>17</v>
      </c>
      <c r="E538">
        <v>0.59699999999999998</v>
      </c>
      <c r="F538" t="s">
        <v>6</v>
      </c>
    </row>
    <row r="539" spans="1:6" x14ac:dyDescent="0.35">
      <c r="A539" s="6">
        <v>44791</v>
      </c>
      <c r="B539" s="3">
        <v>0.29166666666666669</v>
      </c>
      <c r="C539" t="s">
        <v>11</v>
      </c>
      <c r="D539" t="s">
        <v>11</v>
      </c>
      <c r="E539">
        <v>0.66700000000000004</v>
      </c>
      <c r="F539" t="s">
        <v>6</v>
      </c>
    </row>
    <row r="540" spans="1:6" x14ac:dyDescent="0.35">
      <c r="A540" s="6">
        <v>44791</v>
      </c>
      <c r="B540" s="3">
        <v>0.29166666666666669</v>
      </c>
      <c r="C540" t="s">
        <v>34</v>
      </c>
      <c r="D540" t="s">
        <v>34</v>
      </c>
      <c r="E540">
        <v>0.79800000000000004</v>
      </c>
      <c r="F540" t="s">
        <v>6</v>
      </c>
    </row>
    <row r="541" spans="1:6" x14ac:dyDescent="0.35">
      <c r="A541" s="6">
        <v>44791</v>
      </c>
      <c r="B541" s="3">
        <v>0.3125</v>
      </c>
      <c r="C541" t="s">
        <v>36</v>
      </c>
      <c r="D541" t="s">
        <v>35</v>
      </c>
      <c r="E541">
        <v>0.74399999999999999</v>
      </c>
      <c r="F541" t="s">
        <v>6</v>
      </c>
    </row>
    <row r="542" spans="1:6" x14ac:dyDescent="0.35">
      <c r="A542" s="6">
        <v>44791</v>
      </c>
      <c r="B542" s="3">
        <v>0.3125</v>
      </c>
      <c r="C542" t="s">
        <v>35</v>
      </c>
      <c r="D542" t="s">
        <v>35</v>
      </c>
      <c r="E542">
        <v>0.72</v>
      </c>
      <c r="F542" t="s">
        <v>6</v>
      </c>
    </row>
    <row r="543" spans="1:6" x14ac:dyDescent="0.35">
      <c r="A543" s="6">
        <v>44791</v>
      </c>
      <c r="B543" s="3">
        <v>0.3125</v>
      </c>
      <c r="C543" t="s">
        <v>13</v>
      </c>
      <c r="D543" t="s">
        <v>13</v>
      </c>
      <c r="E543">
        <v>0.77500000000000002</v>
      </c>
      <c r="F543" t="s">
        <v>6</v>
      </c>
    </row>
    <row r="544" spans="1:6" x14ac:dyDescent="0.35">
      <c r="A544" s="6">
        <v>44791</v>
      </c>
      <c r="B544" s="3">
        <v>0.3125</v>
      </c>
      <c r="C544" t="s">
        <v>8</v>
      </c>
      <c r="D544" t="s">
        <v>8</v>
      </c>
      <c r="E544">
        <v>0.68700000000000006</v>
      </c>
      <c r="F544" t="s">
        <v>6</v>
      </c>
    </row>
    <row r="545" spans="1:6" x14ac:dyDescent="0.35">
      <c r="A545" s="6">
        <v>44791</v>
      </c>
      <c r="B545" s="3">
        <v>0.3125</v>
      </c>
      <c r="C545" t="s">
        <v>16</v>
      </c>
      <c r="D545" t="s">
        <v>16</v>
      </c>
      <c r="E545">
        <v>0.99399999999999999</v>
      </c>
      <c r="F545" t="s">
        <v>6</v>
      </c>
    </row>
    <row r="546" spans="1:6" x14ac:dyDescent="0.35">
      <c r="A546" s="6">
        <v>44791</v>
      </c>
      <c r="B546" s="3">
        <v>0.3125</v>
      </c>
      <c r="C546" t="s">
        <v>17</v>
      </c>
      <c r="D546" t="s">
        <v>17</v>
      </c>
      <c r="E546">
        <v>0.63700000000000001</v>
      </c>
      <c r="F546" t="s">
        <v>6</v>
      </c>
    </row>
    <row r="547" spans="1:6" x14ac:dyDescent="0.35">
      <c r="A547" s="6">
        <v>44791</v>
      </c>
      <c r="B547" s="3">
        <v>0.3125</v>
      </c>
      <c r="C547" t="s">
        <v>11</v>
      </c>
      <c r="D547" t="s">
        <v>11</v>
      </c>
      <c r="E547">
        <v>0.70099999999999996</v>
      </c>
      <c r="F547" t="s">
        <v>6</v>
      </c>
    </row>
    <row r="548" spans="1:6" x14ac:dyDescent="0.35">
      <c r="A548" s="6">
        <v>44791</v>
      </c>
      <c r="B548" s="3">
        <v>0.3125</v>
      </c>
      <c r="C548" t="s">
        <v>34</v>
      </c>
      <c r="D548" t="s">
        <v>34</v>
      </c>
      <c r="E548">
        <v>0.83699999999999997</v>
      </c>
      <c r="F548" t="s">
        <v>6</v>
      </c>
    </row>
    <row r="549" spans="1:6" x14ac:dyDescent="0.35">
      <c r="A549" s="6">
        <v>44791</v>
      </c>
      <c r="B549" s="3">
        <v>0.33333333333333331</v>
      </c>
      <c r="C549" t="s">
        <v>36</v>
      </c>
      <c r="D549" t="s">
        <v>35</v>
      </c>
      <c r="E549">
        <v>0.754</v>
      </c>
      <c r="F549" t="s">
        <v>6</v>
      </c>
    </row>
    <row r="550" spans="1:6" x14ac:dyDescent="0.35">
      <c r="A550" s="6">
        <v>44791</v>
      </c>
      <c r="B550" s="3">
        <v>0.33333333333333331</v>
      </c>
      <c r="C550" t="s">
        <v>35</v>
      </c>
      <c r="D550" t="s">
        <v>35</v>
      </c>
      <c r="E550">
        <v>0.73699999999999999</v>
      </c>
      <c r="F550" t="s">
        <v>6</v>
      </c>
    </row>
    <row r="551" spans="1:6" x14ac:dyDescent="0.35">
      <c r="A551" s="6">
        <v>44791</v>
      </c>
      <c r="B551" s="3">
        <v>0.33333333333333331</v>
      </c>
      <c r="C551" t="s">
        <v>13</v>
      </c>
      <c r="D551" t="s">
        <v>13</v>
      </c>
      <c r="E551">
        <v>0.78500000000000003</v>
      </c>
      <c r="F551" t="s">
        <v>6</v>
      </c>
    </row>
    <row r="552" spans="1:6" x14ac:dyDescent="0.35">
      <c r="A552" s="6">
        <v>44791</v>
      </c>
      <c r="B552" s="3">
        <v>0.33333333333333331</v>
      </c>
      <c r="C552" t="s">
        <v>8</v>
      </c>
      <c r="D552" t="s">
        <v>8</v>
      </c>
      <c r="E552">
        <v>0.69599999999999995</v>
      </c>
      <c r="F552" t="s">
        <v>6</v>
      </c>
    </row>
    <row r="553" spans="1:6" x14ac:dyDescent="0.35">
      <c r="A553" s="6">
        <v>44791</v>
      </c>
      <c r="B553" s="3">
        <v>0.33333333333333331</v>
      </c>
      <c r="C553" t="s">
        <v>16</v>
      </c>
      <c r="D553" t="s">
        <v>16</v>
      </c>
      <c r="E553">
        <v>1.008</v>
      </c>
      <c r="F553" t="s">
        <v>6</v>
      </c>
    </row>
    <row r="554" spans="1:6" x14ac:dyDescent="0.35">
      <c r="A554" s="6">
        <v>44791</v>
      </c>
      <c r="B554" s="3">
        <v>0.33333333333333331</v>
      </c>
      <c r="C554" t="s">
        <v>17</v>
      </c>
      <c r="D554" t="s">
        <v>17</v>
      </c>
      <c r="E554">
        <v>0.65200000000000002</v>
      </c>
      <c r="F554" t="s">
        <v>6</v>
      </c>
    </row>
    <row r="555" spans="1:6" x14ac:dyDescent="0.35">
      <c r="A555" s="6">
        <v>44791</v>
      </c>
      <c r="B555" s="3">
        <v>0.33333333333333331</v>
      </c>
      <c r="C555" t="s">
        <v>11</v>
      </c>
      <c r="D555" t="s">
        <v>11</v>
      </c>
      <c r="E555">
        <v>0.70499999999999996</v>
      </c>
      <c r="F555" t="s">
        <v>6</v>
      </c>
    </row>
    <row r="556" spans="1:6" x14ac:dyDescent="0.35">
      <c r="A556" s="6">
        <v>44791</v>
      </c>
      <c r="B556" s="3">
        <v>0.33333333333333331</v>
      </c>
      <c r="C556" t="s">
        <v>34</v>
      </c>
      <c r="D556" t="s">
        <v>34</v>
      </c>
      <c r="E556">
        <v>0.85</v>
      </c>
      <c r="F556" t="s">
        <v>6</v>
      </c>
    </row>
    <row r="557" spans="1:6" x14ac:dyDescent="0.35">
      <c r="A557" s="6">
        <v>44791</v>
      </c>
      <c r="B557" s="3">
        <v>0.35416666666666669</v>
      </c>
      <c r="C557" t="s">
        <v>36</v>
      </c>
      <c r="D557" t="s">
        <v>35</v>
      </c>
      <c r="E557">
        <v>0.75900000000000001</v>
      </c>
      <c r="F557" t="s">
        <v>6</v>
      </c>
    </row>
    <row r="558" spans="1:6" x14ac:dyDescent="0.35">
      <c r="A558" s="6">
        <v>44791</v>
      </c>
      <c r="B558" s="3">
        <v>0.35416666666666669</v>
      </c>
      <c r="C558" t="s">
        <v>35</v>
      </c>
      <c r="D558" t="s">
        <v>35</v>
      </c>
      <c r="E558">
        <v>0.748</v>
      </c>
      <c r="F558" t="s">
        <v>6</v>
      </c>
    </row>
    <row r="559" spans="1:6" x14ac:dyDescent="0.35">
      <c r="A559" s="6">
        <v>44791</v>
      </c>
      <c r="B559" s="3">
        <v>0.35416666666666669</v>
      </c>
      <c r="C559" t="s">
        <v>13</v>
      </c>
      <c r="D559" t="s">
        <v>13</v>
      </c>
      <c r="E559">
        <v>0.77500000000000002</v>
      </c>
      <c r="F559" t="s">
        <v>6</v>
      </c>
    </row>
    <row r="560" spans="1:6" x14ac:dyDescent="0.35">
      <c r="A560" s="6">
        <v>44791</v>
      </c>
      <c r="B560" s="3">
        <v>0.35416666666666669</v>
      </c>
      <c r="C560" t="s">
        <v>8</v>
      </c>
      <c r="D560" t="s">
        <v>8</v>
      </c>
      <c r="E560">
        <v>0.65800000000000003</v>
      </c>
      <c r="F560" t="s">
        <v>6</v>
      </c>
    </row>
    <row r="561" spans="1:6" x14ac:dyDescent="0.35">
      <c r="A561" s="6">
        <v>44791</v>
      </c>
      <c r="B561" s="3">
        <v>0.35416666666666669</v>
      </c>
      <c r="C561" t="s">
        <v>16</v>
      </c>
      <c r="D561" t="s">
        <v>16</v>
      </c>
      <c r="E561">
        <v>1.0149999999999999</v>
      </c>
      <c r="F561" t="s">
        <v>6</v>
      </c>
    </row>
    <row r="562" spans="1:6" x14ac:dyDescent="0.35">
      <c r="A562" s="6">
        <v>44791</v>
      </c>
      <c r="B562" s="3">
        <v>0.35416666666666669</v>
      </c>
      <c r="C562" t="s">
        <v>17</v>
      </c>
      <c r="D562" t="s">
        <v>17</v>
      </c>
      <c r="E562">
        <v>0.66200000000000003</v>
      </c>
      <c r="F562" t="s">
        <v>6</v>
      </c>
    </row>
    <row r="563" spans="1:6" x14ac:dyDescent="0.35">
      <c r="A563" s="6">
        <v>44791</v>
      </c>
      <c r="B563" s="3">
        <v>0.35416666666666669</v>
      </c>
      <c r="C563" t="s">
        <v>11</v>
      </c>
      <c r="D563" t="s">
        <v>11</v>
      </c>
      <c r="E563">
        <v>0.66900000000000004</v>
      </c>
      <c r="F563" t="s">
        <v>6</v>
      </c>
    </row>
    <row r="564" spans="1:6" x14ac:dyDescent="0.35">
      <c r="A564" s="6">
        <v>44791</v>
      </c>
      <c r="B564" s="3">
        <v>0.35416666666666669</v>
      </c>
      <c r="C564" t="s">
        <v>34</v>
      </c>
      <c r="D564" t="s">
        <v>34</v>
      </c>
      <c r="E564">
        <v>0.85599999999999998</v>
      </c>
      <c r="F564" t="s">
        <v>6</v>
      </c>
    </row>
    <row r="565" spans="1:6" x14ac:dyDescent="0.35">
      <c r="A565" s="6">
        <v>44791</v>
      </c>
      <c r="B565" s="3">
        <v>0.375</v>
      </c>
      <c r="C565" t="s">
        <v>36</v>
      </c>
      <c r="D565" t="s">
        <v>35</v>
      </c>
      <c r="E565">
        <v>0.76200000000000001</v>
      </c>
      <c r="F565" t="s">
        <v>6</v>
      </c>
    </row>
    <row r="566" spans="1:6" x14ac:dyDescent="0.35">
      <c r="A566" s="6">
        <v>44791</v>
      </c>
      <c r="B566" s="3">
        <v>0.375</v>
      </c>
      <c r="C566" t="s">
        <v>35</v>
      </c>
      <c r="D566" t="s">
        <v>35</v>
      </c>
      <c r="E566">
        <v>0.754</v>
      </c>
      <c r="F566" t="s">
        <v>6</v>
      </c>
    </row>
    <row r="567" spans="1:6" x14ac:dyDescent="0.35">
      <c r="A567" s="6">
        <v>44791</v>
      </c>
      <c r="B567" s="3">
        <v>0.375</v>
      </c>
      <c r="C567" t="s">
        <v>13</v>
      </c>
      <c r="D567" t="s">
        <v>13</v>
      </c>
      <c r="E567">
        <v>0.73499999999999999</v>
      </c>
      <c r="F567" t="s">
        <v>6</v>
      </c>
    </row>
    <row r="568" spans="1:6" x14ac:dyDescent="0.35">
      <c r="A568" s="6">
        <v>44791</v>
      </c>
      <c r="B568" s="3">
        <v>0.375</v>
      </c>
      <c r="C568" t="s">
        <v>8</v>
      </c>
      <c r="D568" t="s">
        <v>8</v>
      </c>
      <c r="E568">
        <v>0.59199999999999997</v>
      </c>
      <c r="F568" t="s">
        <v>6</v>
      </c>
    </row>
    <row r="569" spans="1:6" x14ac:dyDescent="0.35">
      <c r="A569" s="6">
        <v>44791</v>
      </c>
      <c r="B569" s="3">
        <v>0.375</v>
      </c>
      <c r="C569" t="s">
        <v>16</v>
      </c>
      <c r="D569" t="s">
        <v>16</v>
      </c>
      <c r="E569">
        <v>1.012</v>
      </c>
      <c r="F569" t="s">
        <v>6</v>
      </c>
    </row>
    <row r="570" spans="1:6" x14ac:dyDescent="0.35">
      <c r="A570" s="6">
        <v>44791</v>
      </c>
      <c r="B570" s="3">
        <v>0.375</v>
      </c>
      <c r="C570" t="s">
        <v>17</v>
      </c>
      <c r="D570" t="s">
        <v>17</v>
      </c>
      <c r="E570">
        <v>0.66900000000000004</v>
      </c>
      <c r="F570" t="s">
        <v>6</v>
      </c>
    </row>
    <row r="571" spans="1:6" x14ac:dyDescent="0.35">
      <c r="A571" s="6">
        <v>44791</v>
      </c>
      <c r="B571" s="3">
        <v>0.375</v>
      </c>
      <c r="C571" t="s">
        <v>11</v>
      </c>
      <c r="D571" t="s">
        <v>11</v>
      </c>
      <c r="E571">
        <v>0.61099999999999999</v>
      </c>
      <c r="F571" t="s">
        <v>6</v>
      </c>
    </row>
    <row r="572" spans="1:6" x14ac:dyDescent="0.35">
      <c r="A572" s="6">
        <v>44791</v>
      </c>
      <c r="B572" s="3">
        <v>0.375</v>
      </c>
      <c r="C572" t="s">
        <v>34</v>
      </c>
      <c r="D572" t="s">
        <v>34</v>
      </c>
      <c r="E572">
        <v>0.85799999999999998</v>
      </c>
      <c r="F572" t="s">
        <v>6</v>
      </c>
    </row>
    <row r="573" spans="1:6" x14ac:dyDescent="0.35">
      <c r="A573" s="6">
        <v>44791</v>
      </c>
      <c r="B573" s="3">
        <v>0.39583333333333331</v>
      </c>
      <c r="C573" t="s">
        <v>36</v>
      </c>
      <c r="D573" t="s">
        <v>35</v>
      </c>
      <c r="E573">
        <v>0.76100000000000001</v>
      </c>
      <c r="F573" t="s">
        <v>6</v>
      </c>
    </row>
    <row r="574" spans="1:6" x14ac:dyDescent="0.35">
      <c r="A574" s="6">
        <v>44791</v>
      </c>
      <c r="B574" s="3">
        <v>0.39583333333333331</v>
      </c>
      <c r="C574" t="s">
        <v>35</v>
      </c>
      <c r="D574" t="s">
        <v>35</v>
      </c>
      <c r="E574">
        <v>0.755</v>
      </c>
      <c r="F574" t="s">
        <v>6</v>
      </c>
    </row>
    <row r="575" spans="1:6" x14ac:dyDescent="0.35">
      <c r="A575" s="6">
        <v>44791</v>
      </c>
      <c r="B575" s="3">
        <v>0.39583333333333331</v>
      </c>
      <c r="C575" t="s">
        <v>13</v>
      </c>
      <c r="D575" t="s">
        <v>13</v>
      </c>
      <c r="E575">
        <v>0.69</v>
      </c>
      <c r="F575" t="s">
        <v>6</v>
      </c>
    </row>
    <row r="576" spans="1:6" x14ac:dyDescent="0.35">
      <c r="A576" s="6">
        <v>44791</v>
      </c>
      <c r="B576" s="3">
        <v>0.39583333333333331</v>
      </c>
      <c r="C576" t="s">
        <v>8</v>
      </c>
      <c r="D576" t="s">
        <v>8</v>
      </c>
      <c r="E576">
        <v>0.56000000000000005</v>
      </c>
      <c r="F576" t="s">
        <v>6</v>
      </c>
    </row>
    <row r="577" spans="1:6" x14ac:dyDescent="0.35">
      <c r="A577" s="6">
        <v>44791</v>
      </c>
      <c r="B577" s="3">
        <v>0.39583333333333331</v>
      </c>
      <c r="C577" t="s">
        <v>16</v>
      </c>
      <c r="D577" t="s">
        <v>16</v>
      </c>
      <c r="E577">
        <v>0.997</v>
      </c>
      <c r="F577" t="s">
        <v>6</v>
      </c>
    </row>
    <row r="578" spans="1:6" x14ac:dyDescent="0.35">
      <c r="A578" s="6">
        <v>44791</v>
      </c>
      <c r="B578" s="3">
        <v>0.39583333333333331</v>
      </c>
      <c r="C578" t="s">
        <v>17</v>
      </c>
      <c r="D578" t="s">
        <v>17</v>
      </c>
      <c r="E578">
        <v>0.67800000000000005</v>
      </c>
      <c r="F578" t="s">
        <v>6</v>
      </c>
    </row>
    <row r="579" spans="1:6" x14ac:dyDescent="0.35">
      <c r="A579" s="6">
        <v>44791</v>
      </c>
      <c r="B579" s="3">
        <v>0.39583333333333331</v>
      </c>
      <c r="C579" t="s">
        <v>11</v>
      </c>
      <c r="D579" t="s">
        <v>11</v>
      </c>
      <c r="E579">
        <v>0.58299999999999996</v>
      </c>
      <c r="F579" t="s">
        <v>6</v>
      </c>
    </row>
    <row r="580" spans="1:6" x14ac:dyDescent="0.35">
      <c r="A580" s="6">
        <v>44791</v>
      </c>
      <c r="B580" s="3">
        <v>0.39583333333333331</v>
      </c>
      <c r="C580" t="s">
        <v>34</v>
      </c>
      <c r="D580" t="s">
        <v>34</v>
      </c>
      <c r="E580">
        <v>0.85099999999999998</v>
      </c>
      <c r="F580" t="s">
        <v>6</v>
      </c>
    </row>
    <row r="581" spans="1:6" x14ac:dyDescent="0.35">
      <c r="A581" s="6">
        <v>44791</v>
      </c>
      <c r="B581" s="3">
        <v>0.41666666666666669</v>
      </c>
      <c r="C581" t="s">
        <v>36</v>
      </c>
      <c r="D581" t="s">
        <v>35</v>
      </c>
      <c r="E581">
        <v>0.76100000000000001</v>
      </c>
      <c r="F581" t="s">
        <v>6</v>
      </c>
    </row>
    <row r="582" spans="1:6" x14ac:dyDescent="0.35">
      <c r="A582" s="6">
        <v>44791</v>
      </c>
      <c r="B582" s="3">
        <v>0.41666666666666669</v>
      </c>
      <c r="C582" t="s">
        <v>35</v>
      </c>
      <c r="D582" t="s">
        <v>35</v>
      </c>
      <c r="E582">
        <v>0.749</v>
      </c>
      <c r="F582" t="s">
        <v>6</v>
      </c>
    </row>
    <row r="583" spans="1:6" x14ac:dyDescent="0.35">
      <c r="A583" s="6">
        <v>44791</v>
      </c>
      <c r="B583" s="3">
        <v>0.41666666666666669</v>
      </c>
      <c r="C583" t="s">
        <v>13</v>
      </c>
      <c r="D583" t="s">
        <v>13</v>
      </c>
      <c r="E583">
        <v>0.64300000000000002</v>
      </c>
      <c r="F583" t="s">
        <v>6</v>
      </c>
    </row>
    <row r="584" spans="1:6" x14ac:dyDescent="0.35">
      <c r="A584" s="6">
        <v>44791</v>
      </c>
      <c r="B584" s="3">
        <v>0.41666666666666669</v>
      </c>
      <c r="C584" t="s">
        <v>8</v>
      </c>
      <c r="D584" t="s">
        <v>8</v>
      </c>
      <c r="E584">
        <v>0.53500000000000003</v>
      </c>
      <c r="F584" t="s">
        <v>6</v>
      </c>
    </row>
    <row r="585" spans="1:6" x14ac:dyDescent="0.35">
      <c r="A585" s="6">
        <v>44791</v>
      </c>
      <c r="B585" s="3">
        <v>0.41666666666666669</v>
      </c>
      <c r="C585" t="s">
        <v>16</v>
      </c>
      <c r="D585" t="s">
        <v>16</v>
      </c>
      <c r="E585">
        <v>0.96599999999999997</v>
      </c>
      <c r="F585" t="s">
        <v>6</v>
      </c>
    </row>
    <row r="586" spans="1:6" x14ac:dyDescent="0.35">
      <c r="A586" s="6">
        <v>44791</v>
      </c>
      <c r="B586" s="3">
        <v>0.41666666666666669</v>
      </c>
      <c r="C586" t="s">
        <v>17</v>
      </c>
      <c r="D586" t="s">
        <v>17</v>
      </c>
      <c r="E586">
        <v>0.68899999999999995</v>
      </c>
      <c r="F586" t="s">
        <v>6</v>
      </c>
    </row>
    <row r="587" spans="1:6" x14ac:dyDescent="0.35">
      <c r="A587" s="6">
        <v>44791</v>
      </c>
      <c r="B587" s="3">
        <v>0.41666666666666669</v>
      </c>
      <c r="C587" t="s">
        <v>11</v>
      </c>
      <c r="D587" t="s">
        <v>11</v>
      </c>
      <c r="E587">
        <v>0.56499999999999995</v>
      </c>
      <c r="F587" t="s">
        <v>6</v>
      </c>
    </row>
    <row r="588" spans="1:6" x14ac:dyDescent="0.35">
      <c r="A588" s="6">
        <v>44791</v>
      </c>
      <c r="B588" s="3">
        <v>0.41666666666666669</v>
      </c>
      <c r="C588" t="s">
        <v>34</v>
      </c>
      <c r="D588" t="s">
        <v>34</v>
      </c>
      <c r="E588">
        <v>0.83599999999999997</v>
      </c>
      <c r="F588" t="s">
        <v>6</v>
      </c>
    </row>
    <row r="589" spans="1:6" x14ac:dyDescent="0.35">
      <c r="A589" s="6">
        <v>44791</v>
      </c>
      <c r="B589" s="3">
        <v>0.4375</v>
      </c>
      <c r="C589" t="s">
        <v>36</v>
      </c>
      <c r="D589" t="s">
        <v>35</v>
      </c>
      <c r="E589">
        <v>0.75800000000000001</v>
      </c>
      <c r="F589" t="s">
        <v>6</v>
      </c>
    </row>
    <row r="590" spans="1:6" x14ac:dyDescent="0.35">
      <c r="A590" s="6">
        <v>44791</v>
      </c>
      <c r="B590" s="3">
        <v>0.4375</v>
      </c>
      <c r="C590" t="s">
        <v>35</v>
      </c>
      <c r="D590" t="s">
        <v>35</v>
      </c>
      <c r="E590">
        <v>0.74099999999999999</v>
      </c>
      <c r="F590" t="s">
        <v>6</v>
      </c>
    </row>
    <row r="591" spans="1:6" x14ac:dyDescent="0.35">
      <c r="A591" s="6">
        <v>44791</v>
      </c>
      <c r="B591" s="3">
        <v>0.4375</v>
      </c>
      <c r="C591" t="s">
        <v>13</v>
      </c>
      <c r="D591" t="s">
        <v>13</v>
      </c>
      <c r="E591">
        <v>0.63100000000000001</v>
      </c>
      <c r="F591" t="s">
        <v>6</v>
      </c>
    </row>
    <row r="592" spans="1:6" x14ac:dyDescent="0.35">
      <c r="A592" s="6">
        <v>44791</v>
      </c>
      <c r="B592" s="3">
        <v>0.4375</v>
      </c>
      <c r="C592" t="s">
        <v>8</v>
      </c>
      <c r="D592" t="s">
        <v>8</v>
      </c>
      <c r="E592">
        <v>0.53100000000000003</v>
      </c>
      <c r="F592" t="s">
        <v>6</v>
      </c>
    </row>
    <row r="593" spans="1:6" x14ac:dyDescent="0.35">
      <c r="A593" s="6">
        <v>44791</v>
      </c>
      <c r="B593" s="3">
        <v>0.4375</v>
      </c>
      <c r="C593" t="s">
        <v>16</v>
      </c>
      <c r="D593" t="s">
        <v>16</v>
      </c>
      <c r="E593">
        <v>0.94</v>
      </c>
      <c r="F593" t="s">
        <v>6</v>
      </c>
    </row>
    <row r="594" spans="1:6" x14ac:dyDescent="0.35">
      <c r="A594" s="6">
        <v>44791</v>
      </c>
      <c r="B594" s="3">
        <v>0.4375</v>
      </c>
      <c r="C594" t="s">
        <v>17</v>
      </c>
      <c r="D594" t="s">
        <v>17</v>
      </c>
      <c r="E594">
        <v>0.69799999999999995</v>
      </c>
      <c r="F594" t="s">
        <v>6</v>
      </c>
    </row>
    <row r="595" spans="1:6" x14ac:dyDescent="0.35">
      <c r="A595" s="6">
        <v>44791</v>
      </c>
      <c r="B595" s="3">
        <v>0.4375</v>
      </c>
      <c r="C595" t="s">
        <v>11</v>
      </c>
      <c r="D595" t="s">
        <v>11</v>
      </c>
      <c r="E595">
        <v>0.56200000000000006</v>
      </c>
      <c r="F595" t="s">
        <v>6</v>
      </c>
    </row>
    <row r="596" spans="1:6" x14ac:dyDescent="0.35">
      <c r="A596" s="6">
        <v>44791</v>
      </c>
      <c r="B596" s="3">
        <v>0.4375</v>
      </c>
      <c r="C596" t="s">
        <v>34</v>
      </c>
      <c r="D596" t="s">
        <v>34</v>
      </c>
      <c r="E596">
        <v>0.81200000000000006</v>
      </c>
      <c r="F596" t="s">
        <v>6</v>
      </c>
    </row>
    <row r="597" spans="1:6" x14ac:dyDescent="0.35">
      <c r="A597" s="6">
        <v>44791</v>
      </c>
      <c r="B597" s="3">
        <v>0.45833333333333331</v>
      </c>
      <c r="C597" t="s">
        <v>36</v>
      </c>
      <c r="D597" t="s">
        <v>35</v>
      </c>
      <c r="E597">
        <v>0.751</v>
      </c>
      <c r="F597" t="s">
        <v>6</v>
      </c>
    </row>
    <row r="598" spans="1:6" x14ac:dyDescent="0.35">
      <c r="A598" s="6">
        <v>44791</v>
      </c>
      <c r="B598" s="3">
        <v>0.45833333333333331</v>
      </c>
      <c r="C598" t="s">
        <v>35</v>
      </c>
      <c r="D598" t="s">
        <v>35</v>
      </c>
      <c r="E598">
        <v>0.72699999999999998</v>
      </c>
      <c r="F598" t="s">
        <v>6</v>
      </c>
    </row>
    <row r="599" spans="1:6" x14ac:dyDescent="0.35">
      <c r="A599" s="6">
        <v>44791</v>
      </c>
      <c r="B599" s="3">
        <v>0.45833333333333331</v>
      </c>
      <c r="C599" t="s">
        <v>13</v>
      </c>
      <c r="D599" t="s">
        <v>13</v>
      </c>
      <c r="E599">
        <v>0.61799999999999999</v>
      </c>
      <c r="F599" t="s">
        <v>6</v>
      </c>
    </row>
    <row r="600" spans="1:6" x14ac:dyDescent="0.35">
      <c r="A600" s="6">
        <v>44791</v>
      </c>
      <c r="B600" s="3">
        <v>0.45833333333333331</v>
      </c>
      <c r="C600" t="s">
        <v>8</v>
      </c>
      <c r="D600" t="s">
        <v>8</v>
      </c>
      <c r="E600">
        <v>0.52100000000000002</v>
      </c>
      <c r="F600" t="s">
        <v>6</v>
      </c>
    </row>
    <row r="601" spans="1:6" x14ac:dyDescent="0.35">
      <c r="A601" s="6">
        <v>44791</v>
      </c>
      <c r="B601" s="3">
        <v>0.45833333333333331</v>
      </c>
      <c r="C601" t="s">
        <v>16</v>
      </c>
      <c r="D601" t="s">
        <v>16</v>
      </c>
      <c r="E601">
        <v>0.92200000000000004</v>
      </c>
      <c r="F601" t="s">
        <v>6</v>
      </c>
    </row>
    <row r="602" spans="1:6" x14ac:dyDescent="0.35">
      <c r="A602" s="6">
        <v>44791</v>
      </c>
      <c r="B602" s="3">
        <v>0.45833333333333331</v>
      </c>
      <c r="C602" t="s">
        <v>17</v>
      </c>
      <c r="D602" t="s">
        <v>17</v>
      </c>
      <c r="E602">
        <v>0.70499999999999996</v>
      </c>
      <c r="F602" t="s">
        <v>6</v>
      </c>
    </row>
    <row r="603" spans="1:6" x14ac:dyDescent="0.35">
      <c r="A603" s="6">
        <v>44791</v>
      </c>
      <c r="B603" s="3">
        <v>0.45833333333333331</v>
      </c>
      <c r="C603" t="s">
        <v>11</v>
      </c>
      <c r="D603" t="s">
        <v>11</v>
      </c>
      <c r="E603">
        <v>0.56299999999999994</v>
      </c>
      <c r="F603" t="s">
        <v>6</v>
      </c>
    </row>
    <row r="604" spans="1:6" x14ac:dyDescent="0.35">
      <c r="A604" s="6">
        <v>44791</v>
      </c>
      <c r="B604" s="3">
        <v>0.45833333333333331</v>
      </c>
      <c r="C604" t="s">
        <v>34</v>
      </c>
      <c r="D604" t="s">
        <v>34</v>
      </c>
      <c r="E604">
        <v>0.78500000000000003</v>
      </c>
      <c r="F604" t="s">
        <v>6</v>
      </c>
    </row>
    <row r="605" spans="1:6" x14ac:dyDescent="0.35">
      <c r="A605" s="6">
        <v>44791</v>
      </c>
      <c r="B605" s="3">
        <v>0.47916666666666669</v>
      </c>
      <c r="C605" t="s">
        <v>36</v>
      </c>
      <c r="D605" t="s">
        <v>35</v>
      </c>
      <c r="E605">
        <v>0.74299999999999999</v>
      </c>
      <c r="F605" t="s">
        <v>6</v>
      </c>
    </row>
    <row r="606" spans="1:6" x14ac:dyDescent="0.35">
      <c r="A606" s="6">
        <v>44791</v>
      </c>
      <c r="B606" s="3">
        <v>0.47916666666666669</v>
      </c>
      <c r="C606" t="s">
        <v>35</v>
      </c>
      <c r="D606" t="s">
        <v>35</v>
      </c>
      <c r="E606">
        <v>0.71599999999999997</v>
      </c>
      <c r="F606" t="s">
        <v>6</v>
      </c>
    </row>
    <row r="607" spans="1:6" x14ac:dyDescent="0.35">
      <c r="A607" s="6">
        <v>44791</v>
      </c>
      <c r="B607" s="3">
        <v>0.47916666666666669</v>
      </c>
      <c r="C607" t="s">
        <v>13</v>
      </c>
      <c r="D607" t="s">
        <v>13</v>
      </c>
      <c r="E607">
        <v>0.60599999999999998</v>
      </c>
      <c r="F607" t="s">
        <v>6</v>
      </c>
    </row>
    <row r="608" spans="1:6" x14ac:dyDescent="0.35">
      <c r="A608" s="6">
        <v>44791</v>
      </c>
      <c r="B608" s="3">
        <v>0.47916666666666669</v>
      </c>
      <c r="C608" t="s">
        <v>8</v>
      </c>
      <c r="D608" t="s">
        <v>8</v>
      </c>
      <c r="E608">
        <v>0.52500000000000002</v>
      </c>
      <c r="F608" t="s">
        <v>6</v>
      </c>
    </row>
    <row r="609" spans="1:6" x14ac:dyDescent="0.35">
      <c r="A609" s="6">
        <v>44791</v>
      </c>
      <c r="B609" s="3">
        <v>0.47916666666666669</v>
      </c>
      <c r="C609" t="s">
        <v>16</v>
      </c>
      <c r="D609" t="s">
        <v>16</v>
      </c>
      <c r="E609">
        <v>0.90500000000000003</v>
      </c>
      <c r="F609" t="s">
        <v>6</v>
      </c>
    </row>
    <row r="610" spans="1:6" x14ac:dyDescent="0.35">
      <c r="A610" s="6">
        <v>44791</v>
      </c>
      <c r="B610" s="3">
        <v>0.47916666666666669</v>
      </c>
      <c r="C610" t="s">
        <v>17</v>
      </c>
      <c r="D610" t="s">
        <v>17</v>
      </c>
      <c r="E610">
        <v>0.71199999999999997</v>
      </c>
      <c r="F610" t="s">
        <v>6</v>
      </c>
    </row>
    <row r="611" spans="1:6" x14ac:dyDescent="0.35">
      <c r="A611" s="6">
        <v>44791</v>
      </c>
      <c r="B611" s="3">
        <v>0.47916666666666669</v>
      </c>
      <c r="C611" t="s">
        <v>11</v>
      </c>
      <c r="D611" t="s">
        <v>11</v>
      </c>
      <c r="E611">
        <v>0.56599999999999995</v>
      </c>
      <c r="F611" t="s">
        <v>6</v>
      </c>
    </row>
    <row r="612" spans="1:6" x14ac:dyDescent="0.35">
      <c r="A612" s="6">
        <v>44791</v>
      </c>
      <c r="B612" s="3">
        <v>0.47916666666666669</v>
      </c>
      <c r="C612" t="s">
        <v>34</v>
      </c>
      <c r="D612" t="s">
        <v>34</v>
      </c>
      <c r="E612">
        <v>0.75800000000000001</v>
      </c>
      <c r="F612" t="s">
        <v>6</v>
      </c>
    </row>
    <row r="613" spans="1:6" x14ac:dyDescent="0.35">
      <c r="A613" s="6">
        <v>44791</v>
      </c>
      <c r="B613" s="3">
        <v>0.5</v>
      </c>
      <c r="C613" t="s">
        <v>36</v>
      </c>
      <c r="D613" t="s">
        <v>35</v>
      </c>
      <c r="E613">
        <v>0.73099999999999998</v>
      </c>
      <c r="F613" t="s">
        <v>6</v>
      </c>
    </row>
    <row r="614" spans="1:6" x14ac:dyDescent="0.35">
      <c r="A614" s="6">
        <v>44791</v>
      </c>
      <c r="B614" s="3">
        <v>0.5</v>
      </c>
      <c r="C614" t="s">
        <v>35</v>
      </c>
      <c r="D614" t="s">
        <v>35</v>
      </c>
      <c r="E614">
        <v>0.71199999999999997</v>
      </c>
      <c r="F614" t="s">
        <v>6</v>
      </c>
    </row>
    <row r="615" spans="1:6" x14ac:dyDescent="0.35">
      <c r="A615" s="6">
        <v>44791</v>
      </c>
      <c r="B615" s="3">
        <v>0.5</v>
      </c>
      <c r="C615" t="s">
        <v>13</v>
      </c>
      <c r="D615" t="s">
        <v>13</v>
      </c>
      <c r="E615">
        <v>0.60499999999999998</v>
      </c>
      <c r="F615" t="s">
        <v>6</v>
      </c>
    </row>
    <row r="616" spans="1:6" x14ac:dyDescent="0.35">
      <c r="A616" s="6">
        <v>44791</v>
      </c>
      <c r="B616" s="3">
        <v>0.5</v>
      </c>
      <c r="C616" t="s">
        <v>8</v>
      </c>
      <c r="D616" t="s">
        <v>8</v>
      </c>
      <c r="E616">
        <v>0.54400000000000004</v>
      </c>
      <c r="F616" t="s">
        <v>6</v>
      </c>
    </row>
    <row r="617" spans="1:6" x14ac:dyDescent="0.35">
      <c r="A617" s="6">
        <v>44791</v>
      </c>
      <c r="B617" s="3">
        <v>0.5</v>
      </c>
      <c r="C617" t="s">
        <v>16</v>
      </c>
      <c r="D617" t="s">
        <v>16</v>
      </c>
      <c r="E617">
        <v>0.89900000000000002</v>
      </c>
      <c r="F617" t="s">
        <v>6</v>
      </c>
    </row>
    <row r="618" spans="1:6" x14ac:dyDescent="0.35">
      <c r="A618" s="6">
        <v>44791</v>
      </c>
      <c r="B618" s="3">
        <v>0.5</v>
      </c>
      <c r="C618" t="s">
        <v>17</v>
      </c>
      <c r="D618" t="s">
        <v>17</v>
      </c>
      <c r="E618">
        <v>0.71499999999999997</v>
      </c>
      <c r="F618" t="s">
        <v>6</v>
      </c>
    </row>
    <row r="619" spans="1:6" x14ac:dyDescent="0.35">
      <c r="A619" s="6">
        <v>44791</v>
      </c>
      <c r="B619" s="3">
        <v>0.5</v>
      </c>
      <c r="C619" t="s">
        <v>11</v>
      </c>
      <c r="D619" t="s">
        <v>11</v>
      </c>
      <c r="E619">
        <v>0.57799999999999996</v>
      </c>
      <c r="F619" t="s">
        <v>6</v>
      </c>
    </row>
    <row r="620" spans="1:6" x14ac:dyDescent="0.35">
      <c r="A620" s="6">
        <v>44791</v>
      </c>
      <c r="B620" s="3">
        <v>0.5</v>
      </c>
      <c r="C620" t="s">
        <v>34</v>
      </c>
      <c r="D620" t="s">
        <v>34</v>
      </c>
      <c r="E620">
        <v>0.73899999999999999</v>
      </c>
      <c r="F620" t="s">
        <v>6</v>
      </c>
    </row>
    <row r="621" spans="1:6" x14ac:dyDescent="0.35">
      <c r="A621" s="6">
        <v>44804</v>
      </c>
      <c r="B621" s="3">
        <v>0.95833333333333337</v>
      </c>
      <c r="C621" t="s">
        <v>28</v>
      </c>
      <c r="D621" t="s">
        <v>13</v>
      </c>
      <c r="E621">
        <v>1.0649999999999999</v>
      </c>
      <c r="F621" t="s">
        <v>6</v>
      </c>
    </row>
    <row r="622" spans="1:6" x14ac:dyDescent="0.35">
      <c r="A622" s="6">
        <v>44804</v>
      </c>
      <c r="B622" s="3">
        <v>0.95833333333333337</v>
      </c>
      <c r="C622" t="s">
        <v>30</v>
      </c>
      <c r="D622" t="s">
        <v>8</v>
      </c>
      <c r="E622">
        <v>0.78600000000000003</v>
      </c>
      <c r="F622" t="s">
        <v>6</v>
      </c>
    </row>
    <row r="623" spans="1:6" x14ac:dyDescent="0.35">
      <c r="A623" s="6">
        <v>44804</v>
      </c>
      <c r="B623" s="3">
        <v>0.95833333333333337</v>
      </c>
      <c r="C623" t="s">
        <v>26</v>
      </c>
      <c r="D623" t="s">
        <v>16</v>
      </c>
      <c r="E623">
        <v>0.98799999999999999</v>
      </c>
      <c r="F623" t="s">
        <v>6</v>
      </c>
    </row>
    <row r="624" spans="1:6" x14ac:dyDescent="0.35">
      <c r="A624" s="6">
        <v>44804</v>
      </c>
      <c r="B624" s="3">
        <v>0.95833333333333337</v>
      </c>
      <c r="C624" t="s">
        <v>27</v>
      </c>
      <c r="D624" t="s">
        <v>14</v>
      </c>
      <c r="E624">
        <v>0.70699999999999996</v>
      </c>
      <c r="F624" t="s">
        <v>6</v>
      </c>
    </row>
    <row r="625" spans="1:6" x14ac:dyDescent="0.35">
      <c r="A625" s="6">
        <v>44804</v>
      </c>
      <c r="B625" s="3">
        <v>0.95833333333333337</v>
      </c>
      <c r="C625" t="s">
        <v>31</v>
      </c>
      <c r="D625" t="s">
        <v>9</v>
      </c>
      <c r="E625">
        <v>0.80900000000000005</v>
      </c>
      <c r="F625" t="s">
        <v>6</v>
      </c>
    </row>
    <row r="626" spans="1:6" x14ac:dyDescent="0.35">
      <c r="A626" s="6">
        <v>44804</v>
      </c>
      <c r="B626" s="3">
        <v>0.95833333333333337</v>
      </c>
      <c r="C626" t="s">
        <v>33</v>
      </c>
      <c r="D626" t="s">
        <v>5</v>
      </c>
      <c r="E626">
        <v>0.90300000000000002</v>
      </c>
      <c r="F626" t="s">
        <v>6</v>
      </c>
    </row>
    <row r="627" spans="1:6" x14ac:dyDescent="0.35">
      <c r="A627" s="6">
        <v>44804</v>
      </c>
      <c r="B627" s="3">
        <v>0.95833333333333337</v>
      </c>
      <c r="C627" t="s">
        <v>29</v>
      </c>
      <c r="D627" t="s">
        <v>11</v>
      </c>
      <c r="E627">
        <v>0.71299999999999997</v>
      </c>
      <c r="F627" t="s">
        <v>6</v>
      </c>
    </row>
    <row r="628" spans="1:6" x14ac:dyDescent="0.35">
      <c r="A628" s="6">
        <v>44804</v>
      </c>
      <c r="B628" s="3">
        <v>0.95833333333333337</v>
      </c>
      <c r="C628" t="s">
        <v>32</v>
      </c>
      <c r="D628" t="s">
        <v>7</v>
      </c>
      <c r="E628">
        <v>0.71499999999999997</v>
      </c>
      <c r="F628" t="s">
        <v>6</v>
      </c>
    </row>
    <row r="629" spans="1:6" x14ac:dyDescent="0.35">
      <c r="A629" s="6">
        <v>44804</v>
      </c>
      <c r="B629" s="3">
        <v>0.97916666666666663</v>
      </c>
      <c r="C629" t="s">
        <v>28</v>
      </c>
      <c r="D629" t="s">
        <v>13</v>
      </c>
      <c r="E629">
        <v>1.081</v>
      </c>
      <c r="F629" t="s">
        <v>6</v>
      </c>
    </row>
    <row r="630" spans="1:6" x14ac:dyDescent="0.35">
      <c r="A630" s="6">
        <v>44804</v>
      </c>
      <c r="B630" s="3">
        <v>0.97916666666666663</v>
      </c>
      <c r="C630" t="s">
        <v>30</v>
      </c>
      <c r="D630" t="s">
        <v>8</v>
      </c>
      <c r="E630">
        <v>0.80700000000000005</v>
      </c>
      <c r="F630" t="s">
        <v>6</v>
      </c>
    </row>
    <row r="631" spans="1:6" x14ac:dyDescent="0.35">
      <c r="A631" s="6">
        <v>44804</v>
      </c>
      <c r="B631" s="3">
        <v>0.97916666666666663</v>
      </c>
      <c r="C631" t="s">
        <v>26</v>
      </c>
      <c r="D631" t="s">
        <v>16</v>
      </c>
      <c r="E631">
        <v>1.006</v>
      </c>
      <c r="F631" t="s">
        <v>6</v>
      </c>
    </row>
    <row r="632" spans="1:6" x14ac:dyDescent="0.35">
      <c r="A632" s="6">
        <v>44804</v>
      </c>
      <c r="B632" s="3">
        <v>0.97916666666666663</v>
      </c>
      <c r="C632" t="s">
        <v>27</v>
      </c>
      <c r="D632" t="s">
        <v>14</v>
      </c>
      <c r="E632">
        <v>0.72299999999999998</v>
      </c>
      <c r="F632" t="s">
        <v>6</v>
      </c>
    </row>
    <row r="633" spans="1:6" x14ac:dyDescent="0.35">
      <c r="A633" s="6">
        <v>44804</v>
      </c>
      <c r="B633" s="3">
        <v>0.97916666666666663</v>
      </c>
      <c r="C633" t="s">
        <v>31</v>
      </c>
      <c r="D633" t="s">
        <v>9</v>
      </c>
      <c r="E633">
        <v>0.82699999999999996</v>
      </c>
      <c r="F633" t="s">
        <v>6</v>
      </c>
    </row>
    <row r="634" spans="1:6" x14ac:dyDescent="0.35">
      <c r="A634" s="6">
        <v>44804</v>
      </c>
      <c r="B634" s="3">
        <v>0.97916666666666663</v>
      </c>
      <c r="C634" t="s">
        <v>33</v>
      </c>
      <c r="D634" t="s">
        <v>5</v>
      </c>
      <c r="E634">
        <v>0.92100000000000004</v>
      </c>
      <c r="F634" t="s">
        <v>6</v>
      </c>
    </row>
    <row r="635" spans="1:6" x14ac:dyDescent="0.35">
      <c r="A635" s="6">
        <v>44804</v>
      </c>
      <c r="B635" s="3">
        <v>0.97916666666666663</v>
      </c>
      <c r="C635" t="s">
        <v>29</v>
      </c>
      <c r="D635" t="s">
        <v>11</v>
      </c>
      <c r="E635">
        <v>0.73199999999999998</v>
      </c>
      <c r="F635" t="s">
        <v>6</v>
      </c>
    </row>
    <row r="636" spans="1:6" x14ac:dyDescent="0.35">
      <c r="A636" s="6">
        <v>44804</v>
      </c>
      <c r="B636" s="3">
        <v>0.97916666666666663</v>
      </c>
      <c r="C636" t="s">
        <v>32</v>
      </c>
      <c r="D636" t="s">
        <v>7</v>
      </c>
      <c r="E636">
        <v>0.73</v>
      </c>
      <c r="F636" t="s">
        <v>6</v>
      </c>
    </row>
    <row r="637" spans="1:6" x14ac:dyDescent="0.35">
      <c r="A637" s="6">
        <v>44805</v>
      </c>
      <c r="B637" s="3">
        <v>0</v>
      </c>
      <c r="C637" t="s">
        <v>28</v>
      </c>
      <c r="D637" t="s">
        <v>13</v>
      </c>
      <c r="E637">
        <v>1.091</v>
      </c>
      <c r="F637" t="s">
        <v>6</v>
      </c>
    </row>
    <row r="638" spans="1:6" x14ac:dyDescent="0.35">
      <c r="A638" s="6">
        <v>44805</v>
      </c>
      <c r="B638" s="3">
        <v>0</v>
      </c>
      <c r="C638" t="s">
        <v>30</v>
      </c>
      <c r="D638" t="s">
        <v>8</v>
      </c>
      <c r="E638">
        <v>0.82</v>
      </c>
      <c r="F638" t="s">
        <v>6</v>
      </c>
    </row>
    <row r="639" spans="1:6" x14ac:dyDescent="0.35">
      <c r="A639" s="6">
        <v>44805</v>
      </c>
      <c r="B639" s="3">
        <v>0</v>
      </c>
      <c r="C639" t="s">
        <v>26</v>
      </c>
      <c r="D639" t="s">
        <v>16</v>
      </c>
      <c r="E639">
        <v>1.0169999999999999</v>
      </c>
      <c r="F639" t="s">
        <v>6</v>
      </c>
    </row>
    <row r="640" spans="1:6" x14ac:dyDescent="0.35">
      <c r="A640" s="6">
        <v>44805</v>
      </c>
      <c r="B640" s="3">
        <v>0</v>
      </c>
      <c r="C640" t="s">
        <v>27</v>
      </c>
      <c r="D640" t="s">
        <v>14</v>
      </c>
      <c r="E640">
        <v>0.73199999999999998</v>
      </c>
      <c r="F640" t="s">
        <v>6</v>
      </c>
    </row>
    <row r="641" spans="1:6" x14ac:dyDescent="0.35">
      <c r="A641" s="6">
        <v>44805</v>
      </c>
      <c r="B641" s="3">
        <v>0</v>
      </c>
      <c r="C641" t="s">
        <v>31</v>
      </c>
      <c r="D641" t="s">
        <v>9</v>
      </c>
      <c r="E641">
        <v>0.83899999999999997</v>
      </c>
      <c r="F641" t="s">
        <v>6</v>
      </c>
    </row>
    <row r="642" spans="1:6" x14ac:dyDescent="0.35">
      <c r="A642" s="6">
        <v>44805</v>
      </c>
      <c r="B642" s="3">
        <v>0</v>
      </c>
      <c r="C642" t="s">
        <v>33</v>
      </c>
      <c r="D642" t="s">
        <v>5</v>
      </c>
      <c r="E642">
        <v>0.92900000000000005</v>
      </c>
      <c r="F642" t="s">
        <v>6</v>
      </c>
    </row>
    <row r="643" spans="1:6" x14ac:dyDescent="0.35">
      <c r="A643" s="6">
        <v>44805</v>
      </c>
      <c r="B643" s="3">
        <v>0</v>
      </c>
      <c r="C643" t="s">
        <v>29</v>
      </c>
      <c r="D643" t="s">
        <v>11</v>
      </c>
      <c r="E643">
        <v>0.74399999999999999</v>
      </c>
      <c r="F643" t="s">
        <v>6</v>
      </c>
    </row>
    <row r="644" spans="1:6" x14ac:dyDescent="0.35">
      <c r="A644" s="6">
        <v>44805</v>
      </c>
      <c r="B644" s="3">
        <v>0</v>
      </c>
      <c r="C644" t="s">
        <v>32</v>
      </c>
      <c r="D644" t="s">
        <v>7</v>
      </c>
      <c r="E644">
        <v>0.73799999999999999</v>
      </c>
      <c r="F644" t="s">
        <v>6</v>
      </c>
    </row>
    <row r="645" spans="1:6" x14ac:dyDescent="0.35">
      <c r="A645" s="6">
        <v>44805</v>
      </c>
      <c r="B645" s="3">
        <v>2.0833333333333332E-2</v>
      </c>
      <c r="C645" t="s">
        <v>28</v>
      </c>
      <c r="D645" t="s">
        <v>13</v>
      </c>
      <c r="E645">
        <v>1.097</v>
      </c>
      <c r="F645" t="s">
        <v>6</v>
      </c>
    </row>
    <row r="646" spans="1:6" x14ac:dyDescent="0.35">
      <c r="A646" s="6">
        <v>44805</v>
      </c>
      <c r="B646" s="3">
        <v>2.0833333333333332E-2</v>
      </c>
      <c r="C646" t="s">
        <v>30</v>
      </c>
      <c r="D646" t="s">
        <v>8</v>
      </c>
      <c r="E646">
        <v>0.82899999999999996</v>
      </c>
      <c r="F646" t="s">
        <v>6</v>
      </c>
    </row>
    <row r="647" spans="1:6" x14ac:dyDescent="0.35">
      <c r="A647" s="6">
        <v>44805</v>
      </c>
      <c r="B647" s="3">
        <v>2.0833333333333332E-2</v>
      </c>
      <c r="C647" t="s">
        <v>26</v>
      </c>
      <c r="D647" t="s">
        <v>16</v>
      </c>
      <c r="E647">
        <v>1.024</v>
      </c>
      <c r="F647" t="s">
        <v>6</v>
      </c>
    </row>
    <row r="648" spans="1:6" x14ac:dyDescent="0.35">
      <c r="A648" s="6">
        <v>44805</v>
      </c>
      <c r="B648" s="3">
        <v>2.0833333333333332E-2</v>
      </c>
      <c r="C648" t="s">
        <v>27</v>
      </c>
      <c r="D648" t="s">
        <v>14</v>
      </c>
      <c r="E648">
        <v>0.73599999999999999</v>
      </c>
      <c r="F648" t="s">
        <v>6</v>
      </c>
    </row>
    <row r="649" spans="1:6" x14ac:dyDescent="0.35">
      <c r="A649" s="6">
        <v>44805</v>
      </c>
      <c r="B649" s="3">
        <v>2.0833333333333332E-2</v>
      </c>
      <c r="C649" t="s">
        <v>31</v>
      </c>
      <c r="D649" t="s">
        <v>9</v>
      </c>
      <c r="E649">
        <v>0.84499999999999997</v>
      </c>
      <c r="F649" t="s">
        <v>6</v>
      </c>
    </row>
    <row r="650" spans="1:6" x14ac:dyDescent="0.35">
      <c r="A650" s="6">
        <v>44805</v>
      </c>
      <c r="B650" s="3">
        <v>2.0833333333333332E-2</v>
      </c>
      <c r="C650" t="s">
        <v>33</v>
      </c>
      <c r="D650" t="s">
        <v>5</v>
      </c>
      <c r="E650">
        <v>0.93500000000000005</v>
      </c>
      <c r="F650" t="s">
        <v>6</v>
      </c>
    </row>
    <row r="651" spans="1:6" x14ac:dyDescent="0.35">
      <c r="A651" s="6">
        <v>44805</v>
      </c>
      <c r="B651" s="3">
        <v>2.0833333333333332E-2</v>
      </c>
      <c r="C651" t="s">
        <v>29</v>
      </c>
      <c r="D651" t="s">
        <v>11</v>
      </c>
      <c r="E651">
        <v>0.751</v>
      </c>
      <c r="F651" t="s">
        <v>6</v>
      </c>
    </row>
    <row r="652" spans="1:6" x14ac:dyDescent="0.35">
      <c r="A652" s="6">
        <v>44805</v>
      </c>
      <c r="B652" s="3">
        <v>2.0833333333333332E-2</v>
      </c>
      <c r="C652" t="s">
        <v>32</v>
      </c>
      <c r="D652" t="s">
        <v>7</v>
      </c>
      <c r="E652">
        <v>0.74399999999999999</v>
      </c>
      <c r="F652" t="s">
        <v>6</v>
      </c>
    </row>
    <row r="653" spans="1:6" x14ac:dyDescent="0.35">
      <c r="A653" s="6">
        <v>44805</v>
      </c>
      <c r="B653" s="3">
        <v>4.1666666666666664E-2</v>
      </c>
      <c r="C653" t="s">
        <v>28</v>
      </c>
      <c r="D653" t="s">
        <v>13</v>
      </c>
      <c r="E653">
        <v>1.1020000000000001</v>
      </c>
      <c r="F653" t="s">
        <v>6</v>
      </c>
    </row>
    <row r="654" spans="1:6" x14ac:dyDescent="0.35">
      <c r="A654" s="6">
        <v>44805</v>
      </c>
      <c r="B654" s="3">
        <v>4.1666666666666664E-2</v>
      </c>
      <c r="C654" t="s">
        <v>30</v>
      </c>
      <c r="D654" t="s">
        <v>8</v>
      </c>
      <c r="E654">
        <v>0.83599999999999997</v>
      </c>
      <c r="F654" t="s">
        <v>6</v>
      </c>
    </row>
    <row r="655" spans="1:6" x14ac:dyDescent="0.35">
      <c r="A655" s="6">
        <v>44805</v>
      </c>
      <c r="B655" s="3">
        <v>4.1666666666666664E-2</v>
      </c>
      <c r="C655" t="s">
        <v>26</v>
      </c>
      <c r="D655" t="s">
        <v>16</v>
      </c>
      <c r="E655">
        <v>1.0289999999999999</v>
      </c>
      <c r="F655" t="s">
        <v>6</v>
      </c>
    </row>
    <row r="656" spans="1:6" x14ac:dyDescent="0.35">
      <c r="A656" s="6">
        <v>44805</v>
      </c>
      <c r="B656" s="3">
        <v>4.1666666666666664E-2</v>
      </c>
      <c r="C656" t="s">
        <v>27</v>
      </c>
      <c r="D656" t="s">
        <v>14</v>
      </c>
      <c r="E656">
        <v>0.749</v>
      </c>
      <c r="F656" t="s">
        <v>6</v>
      </c>
    </row>
    <row r="657" spans="1:6" x14ac:dyDescent="0.35">
      <c r="A657" s="6">
        <v>44805</v>
      </c>
      <c r="B657" s="3">
        <v>4.1666666666666664E-2</v>
      </c>
      <c r="C657" t="s">
        <v>31</v>
      </c>
      <c r="D657" t="s">
        <v>9</v>
      </c>
      <c r="E657">
        <v>0.85199999999999998</v>
      </c>
      <c r="F657" t="s">
        <v>6</v>
      </c>
    </row>
    <row r="658" spans="1:6" x14ac:dyDescent="0.35">
      <c r="A658" s="6">
        <v>44805</v>
      </c>
      <c r="B658" s="3">
        <v>4.1666666666666664E-2</v>
      </c>
      <c r="C658" t="s">
        <v>33</v>
      </c>
      <c r="D658" t="s">
        <v>5</v>
      </c>
      <c r="E658">
        <v>0.94099999999999995</v>
      </c>
      <c r="F658" t="s">
        <v>6</v>
      </c>
    </row>
    <row r="659" spans="1:6" x14ac:dyDescent="0.35">
      <c r="A659" s="6">
        <v>44805</v>
      </c>
      <c r="B659" s="3">
        <v>4.1666666666666664E-2</v>
      </c>
      <c r="C659" t="s">
        <v>29</v>
      </c>
      <c r="D659" t="s">
        <v>11</v>
      </c>
      <c r="E659">
        <v>0.75600000000000001</v>
      </c>
      <c r="F659" t="s">
        <v>6</v>
      </c>
    </row>
    <row r="660" spans="1:6" x14ac:dyDescent="0.35">
      <c r="A660" s="6">
        <v>44805</v>
      </c>
      <c r="B660" s="3">
        <v>4.1666666666666664E-2</v>
      </c>
      <c r="C660" t="s">
        <v>32</v>
      </c>
      <c r="D660" t="s">
        <v>7</v>
      </c>
      <c r="E660">
        <v>0.749</v>
      </c>
      <c r="F660" t="s">
        <v>6</v>
      </c>
    </row>
    <row r="661" spans="1:6" x14ac:dyDescent="0.35">
      <c r="A661" s="6">
        <v>44805</v>
      </c>
      <c r="B661" s="3">
        <v>6.25E-2</v>
      </c>
      <c r="C661" t="s">
        <v>28</v>
      </c>
      <c r="D661" t="s">
        <v>13</v>
      </c>
      <c r="E661">
        <v>1.105</v>
      </c>
      <c r="F661" t="s">
        <v>6</v>
      </c>
    </row>
    <row r="662" spans="1:6" x14ac:dyDescent="0.35">
      <c r="A662" s="6">
        <v>44805</v>
      </c>
      <c r="B662" s="3">
        <v>6.25E-2</v>
      </c>
      <c r="C662" t="s">
        <v>30</v>
      </c>
      <c r="D662" t="s">
        <v>8</v>
      </c>
      <c r="E662">
        <v>0.84199999999999997</v>
      </c>
      <c r="F662" t="s">
        <v>6</v>
      </c>
    </row>
    <row r="663" spans="1:6" x14ac:dyDescent="0.35">
      <c r="A663" s="6">
        <v>44805</v>
      </c>
      <c r="B663" s="3">
        <v>6.25E-2</v>
      </c>
      <c r="C663" t="s">
        <v>26</v>
      </c>
      <c r="D663" t="s">
        <v>16</v>
      </c>
      <c r="E663">
        <v>1.0329999999999999</v>
      </c>
      <c r="F663" t="s">
        <v>6</v>
      </c>
    </row>
    <row r="664" spans="1:6" x14ac:dyDescent="0.35">
      <c r="A664" s="6">
        <v>44805</v>
      </c>
      <c r="B664" s="3">
        <v>6.25E-2</v>
      </c>
      <c r="C664" t="s">
        <v>27</v>
      </c>
      <c r="D664" t="s">
        <v>14</v>
      </c>
      <c r="E664">
        <v>0.75700000000000001</v>
      </c>
      <c r="F664" t="s">
        <v>6</v>
      </c>
    </row>
    <row r="665" spans="1:6" x14ac:dyDescent="0.35">
      <c r="A665" s="6">
        <v>44805</v>
      </c>
      <c r="B665" s="3">
        <v>6.25E-2</v>
      </c>
      <c r="C665" t="s">
        <v>31</v>
      </c>
      <c r="D665" t="s">
        <v>9</v>
      </c>
      <c r="E665">
        <v>0.85499999999999998</v>
      </c>
      <c r="F665" t="s">
        <v>6</v>
      </c>
    </row>
    <row r="666" spans="1:6" x14ac:dyDescent="0.35">
      <c r="A666" s="6">
        <v>44805</v>
      </c>
      <c r="B666" s="3">
        <v>6.25E-2</v>
      </c>
      <c r="C666" t="s">
        <v>33</v>
      </c>
      <c r="D666" t="s">
        <v>5</v>
      </c>
      <c r="E666">
        <v>0.94399999999999995</v>
      </c>
      <c r="F666" t="s">
        <v>6</v>
      </c>
    </row>
    <row r="667" spans="1:6" x14ac:dyDescent="0.35">
      <c r="A667" s="6">
        <v>44805</v>
      </c>
      <c r="B667" s="3">
        <v>6.25E-2</v>
      </c>
      <c r="C667" t="s">
        <v>29</v>
      </c>
      <c r="D667" t="s">
        <v>11</v>
      </c>
      <c r="E667">
        <v>0.75900000000000001</v>
      </c>
      <c r="F667" t="s">
        <v>6</v>
      </c>
    </row>
    <row r="668" spans="1:6" x14ac:dyDescent="0.35">
      <c r="A668" s="6">
        <v>44805</v>
      </c>
      <c r="B668" s="3">
        <v>6.25E-2</v>
      </c>
      <c r="C668" t="s">
        <v>32</v>
      </c>
      <c r="D668" t="s">
        <v>7</v>
      </c>
      <c r="E668">
        <v>0.754</v>
      </c>
      <c r="F668" t="s">
        <v>6</v>
      </c>
    </row>
    <row r="669" spans="1:6" x14ac:dyDescent="0.35">
      <c r="A669" s="6">
        <v>44805</v>
      </c>
      <c r="B669" s="3">
        <v>8.3333333333333329E-2</v>
      </c>
      <c r="C669" t="s">
        <v>28</v>
      </c>
      <c r="D669" t="s">
        <v>13</v>
      </c>
      <c r="E669">
        <v>1.1080000000000001</v>
      </c>
      <c r="F669" t="s">
        <v>6</v>
      </c>
    </row>
    <row r="670" spans="1:6" x14ac:dyDescent="0.35">
      <c r="A670" s="6">
        <v>44805</v>
      </c>
      <c r="B670" s="3">
        <v>8.3333333333333329E-2</v>
      </c>
      <c r="C670" t="s">
        <v>30</v>
      </c>
      <c r="D670" t="s">
        <v>8</v>
      </c>
      <c r="E670">
        <v>0.84699999999999998</v>
      </c>
      <c r="F670" t="s">
        <v>6</v>
      </c>
    </row>
    <row r="671" spans="1:6" x14ac:dyDescent="0.35">
      <c r="A671" s="6">
        <v>44805</v>
      </c>
      <c r="B671" s="3">
        <v>8.3333333333333329E-2</v>
      </c>
      <c r="C671" t="s">
        <v>26</v>
      </c>
      <c r="D671" t="s">
        <v>16</v>
      </c>
      <c r="E671">
        <v>1.036</v>
      </c>
      <c r="F671" t="s">
        <v>6</v>
      </c>
    </row>
    <row r="672" spans="1:6" x14ac:dyDescent="0.35">
      <c r="A672" s="6">
        <v>44805</v>
      </c>
      <c r="B672" s="3">
        <v>8.3333333333333329E-2</v>
      </c>
      <c r="C672" t="s">
        <v>27</v>
      </c>
      <c r="D672" t="s">
        <v>14</v>
      </c>
      <c r="E672">
        <v>0.76100000000000001</v>
      </c>
      <c r="F672" t="s">
        <v>6</v>
      </c>
    </row>
    <row r="673" spans="1:6" x14ac:dyDescent="0.35">
      <c r="A673" s="6">
        <v>44805</v>
      </c>
      <c r="B673" s="3">
        <v>8.3333333333333329E-2</v>
      </c>
      <c r="C673" t="s">
        <v>31</v>
      </c>
      <c r="D673" t="s">
        <v>9</v>
      </c>
      <c r="E673">
        <v>0.85599999999999998</v>
      </c>
      <c r="F673" t="s">
        <v>6</v>
      </c>
    </row>
    <row r="674" spans="1:6" x14ac:dyDescent="0.35">
      <c r="A674" s="6">
        <v>44805</v>
      </c>
      <c r="B674" s="3">
        <v>8.3333333333333329E-2</v>
      </c>
      <c r="C674" t="s">
        <v>33</v>
      </c>
      <c r="D674" t="s">
        <v>5</v>
      </c>
      <c r="E674">
        <v>0.94799999999999995</v>
      </c>
      <c r="F674" t="s">
        <v>6</v>
      </c>
    </row>
    <row r="675" spans="1:6" x14ac:dyDescent="0.35">
      <c r="A675" s="6">
        <v>44805</v>
      </c>
      <c r="B675" s="3">
        <v>8.3333333333333329E-2</v>
      </c>
      <c r="C675" t="s">
        <v>29</v>
      </c>
      <c r="D675" t="s">
        <v>11</v>
      </c>
      <c r="E675">
        <v>0.76100000000000001</v>
      </c>
      <c r="F675" t="s">
        <v>6</v>
      </c>
    </row>
    <row r="676" spans="1:6" x14ac:dyDescent="0.35">
      <c r="A676" s="6">
        <v>44805</v>
      </c>
      <c r="B676" s="3">
        <v>8.3333333333333329E-2</v>
      </c>
      <c r="C676" t="s">
        <v>32</v>
      </c>
      <c r="D676" t="s">
        <v>7</v>
      </c>
      <c r="E676">
        <v>0.75800000000000001</v>
      </c>
      <c r="F676" t="s">
        <v>6</v>
      </c>
    </row>
    <row r="677" spans="1:6" x14ac:dyDescent="0.35">
      <c r="A677" s="6">
        <v>44805</v>
      </c>
      <c r="B677" s="3">
        <v>0.10416666666666667</v>
      </c>
      <c r="C677" t="s">
        <v>28</v>
      </c>
      <c r="D677" t="s">
        <v>13</v>
      </c>
      <c r="E677">
        <v>1.1100000000000001</v>
      </c>
      <c r="F677" t="s">
        <v>6</v>
      </c>
    </row>
    <row r="678" spans="1:6" x14ac:dyDescent="0.35">
      <c r="A678" s="6">
        <v>44805</v>
      </c>
      <c r="B678" s="3">
        <v>0.10416666666666667</v>
      </c>
      <c r="C678" t="s">
        <v>30</v>
      </c>
      <c r="D678" t="s">
        <v>8</v>
      </c>
      <c r="E678">
        <v>0.85099999999999998</v>
      </c>
      <c r="F678" t="s">
        <v>6</v>
      </c>
    </row>
    <row r="679" spans="1:6" x14ac:dyDescent="0.35">
      <c r="A679" s="6">
        <v>44805</v>
      </c>
      <c r="B679" s="3">
        <v>0.10416666666666667</v>
      </c>
      <c r="C679" t="s">
        <v>26</v>
      </c>
      <c r="D679" t="s">
        <v>16</v>
      </c>
      <c r="E679">
        <v>1.0369999999999999</v>
      </c>
      <c r="F679" t="s">
        <v>6</v>
      </c>
    </row>
    <row r="680" spans="1:6" x14ac:dyDescent="0.35">
      <c r="A680" s="6">
        <v>44805</v>
      </c>
      <c r="B680" s="3">
        <v>0.10416666666666667</v>
      </c>
      <c r="C680" t="s">
        <v>27</v>
      </c>
      <c r="D680" t="s">
        <v>14</v>
      </c>
      <c r="E680">
        <v>0.76300000000000001</v>
      </c>
      <c r="F680" t="s">
        <v>6</v>
      </c>
    </row>
    <row r="681" spans="1:6" x14ac:dyDescent="0.35">
      <c r="A681" s="6">
        <v>44805</v>
      </c>
      <c r="B681" s="3">
        <v>0.10416666666666667</v>
      </c>
      <c r="C681" t="s">
        <v>31</v>
      </c>
      <c r="D681" t="s">
        <v>9</v>
      </c>
      <c r="E681">
        <v>0.85599999999999998</v>
      </c>
      <c r="F681" t="s">
        <v>6</v>
      </c>
    </row>
    <row r="682" spans="1:6" x14ac:dyDescent="0.35">
      <c r="A682" s="6">
        <v>44805</v>
      </c>
      <c r="B682" s="3">
        <v>0.10416666666666667</v>
      </c>
      <c r="C682" t="s">
        <v>33</v>
      </c>
      <c r="D682" t="s">
        <v>5</v>
      </c>
      <c r="E682">
        <v>0.94299999999999995</v>
      </c>
      <c r="F682" t="s">
        <v>6</v>
      </c>
    </row>
    <row r="683" spans="1:6" x14ac:dyDescent="0.35">
      <c r="A683" s="6">
        <v>44805</v>
      </c>
      <c r="B683" s="3">
        <v>0.10416666666666667</v>
      </c>
      <c r="C683" t="s">
        <v>29</v>
      </c>
      <c r="D683" t="s">
        <v>11</v>
      </c>
      <c r="E683">
        <v>0.76300000000000001</v>
      </c>
      <c r="F683" t="s">
        <v>6</v>
      </c>
    </row>
    <row r="684" spans="1:6" x14ac:dyDescent="0.35">
      <c r="A684" s="6">
        <v>44805</v>
      </c>
      <c r="B684" s="3">
        <v>0.10416666666666667</v>
      </c>
      <c r="C684" t="s">
        <v>32</v>
      </c>
      <c r="D684" t="s">
        <v>7</v>
      </c>
      <c r="E684">
        <v>0.76100000000000001</v>
      </c>
      <c r="F684" t="s">
        <v>6</v>
      </c>
    </row>
    <row r="685" spans="1:6" x14ac:dyDescent="0.35">
      <c r="A685" s="6">
        <v>44805</v>
      </c>
      <c r="B685" s="3">
        <v>0.125</v>
      </c>
      <c r="C685" t="s">
        <v>28</v>
      </c>
      <c r="D685" t="s">
        <v>13</v>
      </c>
      <c r="E685">
        <v>1.111</v>
      </c>
      <c r="F685" t="s">
        <v>6</v>
      </c>
    </row>
    <row r="686" spans="1:6" x14ac:dyDescent="0.35">
      <c r="A686" s="6">
        <v>44805</v>
      </c>
      <c r="B686" s="3">
        <v>0.125</v>
      </c>
      <c r="C686" t="s">
        <v>30</v>
      </c>
      <c r="D686" t="s">
        <v>8</v>
      </c>
      <c r="E686">
        <v>0.85399999999999998</v>
      </c>
      <c r="F686" t="s">
        <v>6</v>
      </c>
    </row>
    <row r="687" spans="1:6" x14ac:dyDescent="0.35">
      <c r="A687" s="6">
        <v>44805</v>
      </c>
      <c r="B687" s="3">
        <v>0.125</v>
      </c>
      <c r="C687" t="s">
        <v>26</v>
      </c>
      <c r="D687" t="s">
        <v>16</v>
      </c>
      <c r="E687">
        <v>1.0389999999999999</v>
      </c>
      <c r="F687" t="s">
        <v>6</v>
      </c>
    </row>
    <row r="688" spans="1:6" x14ac:dyDescent="0.35">
      <c r="A688" s="6">
        <v>44805</v>
      </c>
      <c r="B688" s="3">
        <v>0.125</v>
      </c>
      <c r="C688" t="s">
        <v>27</v>
      </c>
      <c r="D688" t="s">
        <v>14</v>
      </c>
      <c r="E688">
        <v>0.76400000000000001</v>
      </c>
      <c r="F688" t="s">
        <v>6</v>
      </c>
    </row>
    <row r="689" spans="1:6" x14ac:dyDescent="0.35">
      <c r="A689" s="6">
        <v>44805</v>
      </c>
      <c r="B689" s="3">
        <v>0.125</v>
      </c>
      <c r="C689" t="s">
        <v>31</v>
      </c>
      <c r="D689" t="s">
        <v>9</v>
      </c>
      <c r="E689">
        <v>0.85699999999999998</v>
      </c>
      <c r="F689" t="s">
        <v>6</v>
      </c>
    </row>
    <row r="690" spans="1:6" x14ac:dyDescent="0.35">
      <c r="A690" s="6">
        <v>44805</v>
      </c>
      <c r="B690" s="3">
        <v>0.125</v>
      </c>
      <c r="C690" t="s">
        <v>33</v>
      </c>
      <c r="D690" t="s">
        <v>5</v>
      </c>
      <c r="E690">
        <v>0.94099999999999995</v>
      </c>
      <c r="F690" t="s">
        <v>6</v>
      </c>
    </row>
    <row r="691" spans="1:6" x14ac:dyDescent="0.35">
      <c r="A691" s="6">
        <v>44805</v>
      </c>
      <c r="B691" s="3">
        <v>0.125</v>
      </c>
      <c r="C691" t="s">
        <v>29</v>
      </c>
      <c r="D691" t="s">
        <v>11</v>
      </c>
      <c r="E691">
        <v>0.76400000000000001</v>
      </c>
      <c r="F691" t="s">
        <v>6</v>
      </c>
    </row>
    <row r="692" spans="1:6" x14ac:dyDescent="0.35">
      <c r="A692" s="6">
        <v>44805</v>
      </c>
      <c r="B692" s="3">
        <v>0.125</v>
      </c>
      <c r="C692" t="s">
        <v>32</v>
      </c>
      <c r="D692" t="s">
        <v>7</v>
      </c>
      <c r="E692">
        <v>0.76200000000000001</v>
      </c>
      <c r="F692" t="s">
        <v>6</v>
      </c>
    </row>
    <row r="693" spans="1:6" x14ac:dyDescent="0.35">
      <c r="A693" s="6">
        <v>44805</v>
      </c>
      <c r="B693" s="3">
        <v>0.14583333333333334</v>
      </c>
      <c r="C693" t="s">
        <v>28</v>
      </c>
      <c r="D693" t="s">
        <v>13</v>
      </c>
      <c r="E693">
        <v>1.113</v>
      </c>
      <c r="F693" t="s">
        <v>6</v>
      </c>
    </row>
    <row r="694" spans="1:6" x14ac:dyDescent="0.35">
      <c r="A694" s="6">
        <v>44805</v>
      </c>
      <c r="B694" s="3">
        <v>0.14583333333333334</v>
      </c>
      <c r="C694" t="s">
        <v>30</v>
      </c>
      <c r="D694" t="s">
        <v>8</v>
      </c>
      <c r="E694">
        <v>0.85699999999999998</v>
      </c>
      <c r="F694" t="s">
        <v>6</v>
      </c>
    </row>
    <row r="695" spans="1:6" x14ac:dyDescent="0.35">
      <c r="A695" s="6">
        <v>44805</v>
      </c>
      <c r="B695" s="3">
        <v>0.14583333333333334</v>
      </c>
      <c r="C695" t="s">
        <v>26</v>
      </c>
      <c r="D695" t="s">
        <v>16</v>
      </c>
      <c r="E695">
        <v>1.04</v>
      </c>
      <c r="F695" t="s">
        <v>6</v>
      </c>
    </row>
    <row r="696" spans="1:6" x14ac:dyDescent="0.35">
      <c r="A696" s="6">
        <v>44805</v>
      </c>
      <c r="B696" s="3">
        <v>0.14583333333333334</v>
      </c>
      <c r="C696" t="s">
        <v>27</v>
      </c>
      <c r="D696" t="s">
        <v>14</v>
      </c>
      <c r="E696">
        <v>0.76500000000000001</v>
      </c>
      <c r="F696" t="s">
        <v>6</v>
      </c>
    </row>
    <row r="697" spans="1:6" x14ac:dyDescent="0.35">
      <c r="A697" s="6">
        <v>44805</v>
      </c>
      <c r="B697" s="3">
        <v>0.14583333333333334</v>
      </c>
      <c r="C697" t="s">
        <v>31</v>
      </c>
      <c r="D697" t="s">
        <v>9</v>
      </c>
      <c r="E697">
        <v>0.86</v>
      </c>
      <c r="F697" t="s">
        <v>6</v>
      </c>
    </row>
    <row r="698" spans="1:6" x14ac:dyDescent="0.35">
      <c r="A698" s="6">
        <v>44805</v>
      </c>
      <c r="B698" s="3">
        <v>0.14583333333333334</v>
      </c>
      <c r="C698" t="s">
        <v>33</v>
      </c>
      <c r="D698" t="s">
        <v>5</v>
      </c>
      <c r="E698">
        <v>0.94799999999999995</v>
      </c>
      <c r="F698" t="s">
        <v>6</v>
      </c>
    </row>
    <row r="699" spans="1:6" x14ac:dyDescent="0.35">
      <c r="A699" s="6">
        <v>44805</v>
      </c>
      <c r="B699" s="3">
        <v>0.14583333333333334</v>
      </c>
      <c r="C699" t="s">
        <v>29</v>
      </c>
      <c r="D699" t="s">
        <v>11</v>
      </c>
      <c r="E699">
        <v>0.76400000000000001</v>
      </c>
      <c r="F699" t="s">
        <v>6</v>
      </c>
    </row>
    <row r="700" spans="1:6" x14ac:dyDescent="0.35">
      <c r="A700" s="6">
        <v>44805</v>
      </c>
      <c r="B700" s="3">
        <v>0.14583333333333334</v>
      </c>
      <c r="C700" t="s">
        <v>32</v>
      </c>
      <c r="D700" t="s">
        <v>7</v>
      </c>
      <c r="E700">
        <v>0.76300000000000001</v>
      </c>
      <c r="F700" t="s">
        <v>6</v>
      </c>
    </row>
    <row r="701" spans="1:6" x14ac:dyDescent="0.35">
      <c r="A701" s="6">
        <v>44805</v>
      </c>
      <c r="B701" s="3">
        <v>0.16666666666666666</v>
      </c>
      <c r="C701" t="s">
        <v>28</v>
      </c>
      <c r="D701" t="s">
        <v>13</v>
      </c>
      <c r="E701">
        <v>1.1140000000000001</v>
      </c>
      <c r="F701" t="s">
        <v>6</v>
      </c>
    </row>
    <row r="702" spans="1:6" x14ac:dyDescent="0.35">
      <c r="A702" s="6">
        <v>44805</v>
      </c>
      <c r="B702" s="3">
        <v>0.16666666666666666</v>
      </c>
      <c r="C702" t="s">
        <v>30</v>
      </c>
      <c r="D702" t="s">
        <v>8</v>
      </c>
      <c r="E702">
        <v>0.86</v>
      </c>
      <c r="F702" t="s">
        <v>6</v>
      </c>
    </row>
    <row r="703" spans="1:6" x14ac:dyDescent="0.35">
      <c r="A703" s="6">
        <v>44805</v>
      </c>
      <c r="B703" s="3">
        <v>0.16666666666666666</v>
      </c>
      <c r="C703" t="s">
        <v>26</v>
      </c>
      <c r="D703" t="s">
        <v>16</v>
      </c>
      <c r="E703">
        <v>1.0409999999999999</v>
      </c>
      <c r="F703" t="s">
        <v>6</v>
      </c>
    </row>
    <row r="704" spans="1:6" x14ac:dyDescent="0.35">
      <c r="A704" s="6">
        <v>44805</v>
      </c>
      <c r="B704" s="3">
        <v>0.16666666666666666</v>
      </c>
      <c r="C704" t="s">
        <v>27</v>
      </c>
      <c r="D704" t="s">
        <v>14</v>
      </c>
      <c r="E704">
        <v>0.76800000000000002</v>
      </c>
      <c r="F704" t="s">
        <v>6</v>
      </c>
    </row>
    <row r="705" spans="1:6" x14ac:dyDescent="0.35">
      <c r="A705" s="6">
        <v>44805</v>
      </c>
      <c r="B705" s="3">
        <v>0.16666666666666666</v>
      </c>
      <c r="C705" t="s">
        <v>31</v>
      </c>
      <c r="D705" t="s">
        <v>9</v>
      </c>
      <c r="E705">
        <v>0.86099999999999999</v>
      </c>
      <c r="F705" t="s">
        <v>6</v>
      </c>
    </row>
    <row r="706" spans="1:6" x14ac:dyDescent="0.35">
      <c r="A706" s="6">
        <v>44805</v>
      </c>
      <c r="B706" s="3">
        <v>0.16666666666666666</v>
      </c>
      <c r="C706" t="s">
        <v>33</v>
      </c>
      <c r="D706" t="s">
        <v>5</v>
      </c>
      <c r="E706">
        <v>0.94399999999999995</v>
      </c>
      <c r="F706" t="s">
        <v>6</v>
      </c>
    </row>
    <row r="707" spans="1:6" x14ac:dyDescent="0.35">
      <c r="A707" s="6">
        <v>44805</v>
      </c>
      <c r="B707" s="3">
        <v>0.16666666666666666</v>
      </c>
      <c r="C707" t="s">
        <v>29</v>
      </c>
      <c r="D707" t="s">
        <v>11</v>
      </c>
      <c r="E707">
        <v>0.76600000000000001</v>
      </c>
      <c r="F707" t="s">
        <v>6</v>
      </c>
    </row>
    <row r="708" spans="1:6" x14ac:dyDescent="0.35">
      <c r="A708" s="6">
        <v>44805</v>
      </c>
      <c r="B708" s="3">
        <v>0.16666666666666666</v>
      </c>
      <c r="C708" t="s">
        <v>32</v>
      </c>
      <c r="D708" t="s">
        <v>7</v>
      </c>
      <c r="E708">
        <v>0.76300000000000001</v>
      </c>
      <c r="F708" t="s">
        <v>6</v>
      </c>
    </row>
    <row r="709" spans="1:6" x14ac:dyDescent="0.35">
      <c r="A709" s="6">
        <v>44805</v>
      </c>
      <c r="B709" s="3">
        <v>0.1875</v>
      </c>
      <c r="C709" t="s">
        <v>28</v>
      </c>
      <c r="D709" t="s">
        <v>13</v>
      </c>
      <c r="E709">
        <v>1.113</v>
      </c>
      <c r="F709" t="s">
        <v>6</v>
      </c>
    </row>
    <row r="710" spans="1:6" x14ac:dyDescent="0.35">
      <c r="A710" s="6">
        <v>44805</v>
      </c>
      <c r="B710" s="3">
        <v>0.1875</v>
      </c>
      <c r="C710" t="s">
        <v>30</v>
      </c>
      <c r="D710" t="s">
        <v>8</v>
      </c>
      <c r="E710">
        <v>0.86299999999999999</v>
      </c>
      <c r="F710" t="s">
        <v>6</v>
      </c>
    </row>
    <row r="711" spans="1:6" x14ac:dyDescent="0.35">
      <c r="A711" s="6">
        <v>44805</v>
      </c>
      <c r="B711" s="3">
        <v>0.1875</v>
      </c>
      <c r="C711" t="s">
        <v>26</v>
      </c>
      <c r="D711" t="s">
        <v>16</v>
      </c>
      <c r="E711">
        <v>1.042</v>
      </c>
      <c r="F711" t="s">
        <v>6</v>
      </c>
    </row>
    <row r="712" spans="1:6" x14ac:dyDescent="0.35">
      <c r="A712" s="6">
        <v>44805</v>
      </c>
      <c r="B712" s="3">
        <v>0.1875</v>
      </c>
      <c r="C712" t="s">
        <v>27</v>
      </c>
      <c r="D712" t="s">
        <v>14</v>
      </c>
      <c r="E712">
        <v>0.76800000000000002</v>
      </c>
      <c r="F712" t="s">
        <v>6</v>
      </c>
    </row>
    <row r="713" spans="1:6" x14ac:dyDescent="0.35">
      <c r="A713" s="6">
        <v>44805</v>
      </c>
      <c r="B713" s="3">
        <v>0.1875</v>
      </c>
      <c r="C713" t="s">
        <v>31</v>
      </c>
      <c r="D713" t="s">
        <v>9</v>
      </c>
      <c r="E713">
        <v>0.86</v>
      </c>
      <c r="F713" t="s">
        <v>6</v>
      </c>
    </row>
    <row r="714" spans="1:6" x14ac:dyDescent="0.35">
      <c r="A714" s="6">
        <v>44805</v>
      </c>
      <c r="B714" s="3">
        <v>0.1875</v>
      </c>
      <c r="C714" t="s">
        <v>33</v>
      </c>
      <c r="D714" t="s">
        <v>5</v>
      </c>
      <c r="E714">
        <v>0.93799999999999994</v>
      </c>
      <c r="F714" t="s">
        <v>6</v>
      </c>
    </row>
    <row r="715" spans="1:6" x14ac:dyDescent="0.35">
      <c r="A715" s="6">
        <v>44805</v>
      </c>
      <c r="B715" s="3">
        <v>0.1875</v>
      </c>
      <c r="C715" t="s">
        <v>29</v>
      </c>
      <c r="D715" t="s">
        <v>11</v>
      </c>
      <c r="E715">
        <v>0.76800000000000002</v>
      </c>
      <c r="F715" t="s">
        <v>6</v>
      </c>
    </row>
    <row r="716" spans="1:6" x14ac:dyDescent="0.35">
      <c r="A716" s="6">
        <v>44805</v>
      </c>
      <c r="B716" s="3">
        <v>0.1875</v>
      </c>
      <c r="C716" t="s">
        <v>32</v>
      </c>
      <c r="D716" t="s">
        <v>7</v>
      </c>
      <c r="E716">
        <v>0.76400000000000001</v>
      </c>
      <c r="F716" t="s">
        <v>6</v>
      </c>
    </row>
    <row r="717" spans="1:6" x14ac:dyDescent="0.35">
      <c r="A717" s="6">
        <v>44805</v>
      </c>
      <c r="B717" s="3">
        <v>0.20833333333333334</v>
      </c>
      <c r="C717" t="s">
        <v>28</v>
      </c>
      <c r="D717" t="s">
        <v>13</v>
      </c>
      <c r="E717">
        <v>1.1120000000000001</v>
      </c>
      <c r="F717" t="s">
        <v>6</v>
      </c>
    </row>
    <row r="718" spans="1:6" x14ac:dyDescent="0.35">
      <c r="A718" s="6">
        <v>44805</v>
      </c>
      <c r="B718" s="3">
        <v>0.20833333333333334</v>
      </c>
      <c r="C718" t="s">
        <v>30</v>
      </c>
      <c r="D718" t="s">
        <v>8</v>
      </c>
      <c r="E718">
        <v>0.86399999999999999</v>
      </c>
      <c r="F718" t="s">
        <v>6</v>
      </c>
    </row>
    <row r="719" spans="1:6" x14ac:dyDescent="0.35">
      <c r="A719" s="6">
        <v>44805</v>
      </c>
      <c r="B719" s="3">
        <v>0.20833333333333334</v>
      </c>
      <c r="C719" t="s">
        <v>26</v>
      </c>
      <c r="D719" t="s">
        <v>16</v>
      </c>
      <c r="E719">
        <v>1.042</v>
      </c>
      <c r="F719" t="s">
        <v>6</v>
      </c>
    </row>
    <row r="720" spans="1:6" x14ac:dyDescent="0.35">
      <c r="A720" s="6">
        <v>44805</v>
      </c>
      <c r="B720" s="3">
        <v>0.20833333333333334</v>
      </c>
      <c r="C720" t="s">
        <v>27</v>
      </c>
      <c r="D720" t="s">
        <v>14</v>
      </c>
      <c r="E720">
        <v>0.76700000000000002</v>
      </c>
      <c r="F720" t="s">
        <v>6</v>
      </c>
    </row>
    <row r="721" spans="1:6" x14ac:dyDescent="0.35">
      <c r="A721" s="6">
        <v>44805</v>
      </c>
      <c r="B721" s="3">
        <v>0.20833333333333334</v>
      </c>
      <c r="C721" t="s">
        <v>31</v>
      </c>
      <c r="D721" t="s">
        <v>9</v>
      </c>
      <c r="E721">
        <v>0.85899999999999999</v>
      </c>
      <c r="F721" t="s">
        <v>6</v>
      </c>
    </row>
    <row r="722" spans="1:6" x14ac:dyDescent="0.35">
      <c r="A722" s="6">
        <v>44805</v>
      </c>
      <c r="B722" s="3">
        <v>0.20833333333333334</v>
      </c>
      <c r="C722" t="s">
        <v>33</v>
      </c>
      <c r="D722" t="s">
        <v>5</v>
      </c>
      <c r="E722">
        <v>0.93700000000000006</v>
      </c>
      <c r="F722" t="s">
        <v>6</v>
      </c>
    </row>
    <row r="723" spans="1:6" x14ac:dyDescent="0.35">
      <c r="A723" s="6">
        <v>44805</v>
      </c>
      <c r="B723" s="3">
        <v>0.20833333333333334</v>
      </c>
      <c r="C723" t="s">
        <v>29</v>
      </c>
      <c r="D723" t="s">
        <v>11</v>
      </c>
      <c r="E723">
        <v>0.76900000000000002</v>
      </c>
      <c r="F723" t="s">
        <v>6</v>
      </c>
    </row>
    <row r="724" spans="1:6" x14ac:dyDescent="0.35">
      <c r="A724" s="6">
        <v>44805</v>
      </c>
      <c r="B724" s="3">
        <v>0.20833333333333334</v>
      </c>
      <c r="C724" t="s">
        <v>32</v>
      </c>
      <c r="D724" t="s">
        <v>7</v>
      </c>
      <c r="E724">
        <v>0.76400000000000001</v>
      </c>
      <c r="F724" t="s">
        <v>6</v>
      </c>
    </row>
    <row r="725" spans="1:6" x14ac:dyDescent="0.35">
      <c r="A725" s="6">
        <v>44805</v>
      </c>
      <c r="B725" s="3">
        <v>0.22916666666666666</v>
      </c>
      <c r="C725" t="s">
        <v>28</v>
      </c>
      <c r="D725" t="s">
        <v>13</v>
      </c>
      <c r="E725">
        <v>1.1120000000000001</v>
      </c>
      <c r="F725" t="s">
        <v>6</v>
      </c>
    </row>
    <row r="726" spans="1:6" x14ac:dyDescent="0.35">
      <c r="A726" s="6">
        <v>44805</v>
      </c>
      <c r="B726" s="3">
        <v>0.22916666666666666</v>
      </c>
      <c r="C726" t="s">
        <v>30</v>
      </c>
      <c r="D726" t="s">
        <v>8</v>
      </c>
      <c r="E726">
        <v>0.86599999999999999</v>
      </c>
      <c r="F726" t="s">
        <v>6</v>
      </c>
    </row>
    <row r="727" spans="1:6" x14ac:dyDescent="0.35">
      <c r="A727" s="6">
        <v>44805</v>
      </c>
      <c r="B727" s="3">
        <v>0.22916666666666666</v>
      </c>
      <c r="C727" t="s">
        <v>26</v>
      </c>
      <c r="D727" t="s">
        <v>16</v>
      </c>
      <c r="E727">
        <v>1.0429999999999999</v>
      </c>
      <c r="F727" t="s">
        <v>6</v>
      </c>
    </row>
    <row r="728" spans="1:6" x14ac:dyDescent="0.35">
      <c r="A728" s="6">
        <v>44805</v>
      </c>
      <c r="B728" s="3">
        <v>0.22916666666666666</v>
      </c>
      <c r="C728" t="s">
        <v>27</v>
      </c>
      <c r="D728" t="s">
        <v>14</v>
      </c>
      <c r="E728">
        <v>0.76700000000000002</v>
      </c>
      <c r="F728" t="s">
        <v>6</v>
      </c>
    </row>
    <row r="729" spans="1:6" x14ac:dyDescent="0.35">
      <c r="A729" s="6">
        <v>44805</v>
      </c>
      <c r="B729" s="3">
        <v>0.22916666666666666</v>
      </c>
      <c r="C729" t="s">
        <v>31</v>
      </c>
      <c r="D729" t="s">
        <v>9</v>
      </c>
      <c r="E729">
        <v>0.86099999999999999</v>
      </c>
      <c r="F729" t="s">
        <v>6</v>
      </c>
    </row>
    <row r="730" spans="1:6" x14ac:dyDescent="0.35">
      <c r="A730" s="6">
        <v>44805</v>
      </c>
      <c r="B730" s="3">
        <v>0.22916666666666666</v>
      </c>
      <c r="C730" t="s">
        <v>33</v>
      </c>
      <c r="D730" t="s">
        <v>5</v>
      </c>
      <c r="E730">
        <v>0.94199999999999995</v>
      </c>
      <c r="F730" t="s">
        <v>6</v>
      </c>
    </row>
    <row r="731" spans="1:6" x14ac:dyDescent="0.35">
      <c r="A731" s="6">
        <v>44805</v>
      </c>
      <c r="B731" s="3">
        <v>0.22916666666666666</v>
      </c>
      <c r="C731" t="s">
        <v>29</v>
      </c>
      <c r="D731" t="s">
        <v>11</v>
      </c>
      <c r="E731">
        <v>0.76800000000000002</v>
      </c>
      <c r="F731" t="s">
        <v>6</v>
      </c>
    </row>
    <row r="732" spans="1:6" x14ac:dyDescent="0.35">
      <c r="A732" s="6">
        <v>44805</v>
      </c>
      <c r="B732" s="3">
        <v>0.22916666666666666</v>
      </c>
      <c r="C732" t="s">
        <v>32</v>
      </c>
      <c r="D732" t="s">
        <v>7</v>
      </c>
      <c r="E732">
        <v>0.76500000000000001</v>
      </c>
      <c r="F732" t="s">
        <v>6</v>
      </c>
    </row>
    <row r="733" spans="1:6" x14ac:dyDescent="0.35">
      <c r="A733" s="6">
        <v>44805</v>
      </c>
      <c r="B733" s="3">
        <v>0.35416666666666669</v>
      </c>
      <c r="C733" t="s">
        <v>28</v>
      </c>
      <c r="D733" t="s">
        <v>13</v>
      </c>
      <c r="E733">
        <v>1.1120000000000001</v>
      </c>
      <c r="F733" t="s">
        <v>6</v>
      </c>
    </row>
    <row r="734" spans="1:6" x14ac:dyDescent="0.35">
      <c r="A734" s="6">
        <v>44805</v>
      </c>
      <c r="B734" s="3">
        <v>0.35416666666666669</v>
      </c>
      <c r="C734" t="s">
        <v>30</v>
      </c>
      <c r="D734" t="s">
        <v>8</v>
      </c>
      <c r="E734">
        <v>0.87</v>
      </c>
      <c r="F734" t="s">
        <v>6</v>
      </c>
    </row>
    <row r="735" spans="1:6" x14ac:dyDescent="0.35">
      <c r="A735" s="6">
        <v>44805</v>
      </c>
      <c r="B735" s="3">
        <v>0.35416666666666669</v>
      </c>
      <c r="C735" t="s">
        <v>26</v>
      </c>
      <c r="D735" t="s">
        <v>16</v>
      </c>
      <c r="E735">
        <v>1.042</v>
      </c>
      <c r="F735" t="s">
        <v>6</v>
      </c>
    </row>
    <row r="736" spans="1:6" x14ac:dyDescent="0.35">
      <c r="A736" s="6">
        <v>44805</v>
      </c>
      <c r="B736" s="3">
        <v>0.35416666666666669</v>
      </c>
      <c r="C736" t="s">
        <v>27</v>
      </c>
      <c r="D736" t="s">
        <v>14</v>
      </c>
      <c r="E736">
        <v>0.74099999999999999</v>
      </c>
      <c r="F736" t="s">
        <v>6</v>
      </c>
    </row>
    <row r="737" spans="1:6" x14ac:dyDescent="0.35">
      <c r="A737" s="6">
        <v>44805</v>
      </c>
      <c r="B737" s="3">
        <v>0.35416666666666669</v>
      </c>
      <c r="C737" t="s">
        <v>31</v>
      </c>
      <c r="D737" t="s">
        <v>9</v>
      </c>
      <c r="E737">
        <v>0.85599999999999998</v>
      </c>
      <c r="F737" t="s">
        <v>6</v>
      </c>
    </row>
    <row r="738" spans="1:6" x14ac:dyDescent="0.35">
      <c r="A738" s="6">
        <v>44805</v>
      </c>
      <c r="B738" s="3">
        <v>0.35416666666666669</v>
      </c>
      <c r="C738" t="s">
        <v>33</v>
      </c>
      <c r="D738" t="s">
        <v>5</v>
      </c>
      <c r="E738">
        <v>0.93799999999999994</v>
      </c>
      <c r="F738" t="s">
        <v>6</v>
      </c>
    </row>
    <row r="739" spans="1:6" x14ac:dyDescent="0.35">
      <c r="A739" s="6">
        <v>44805</v>
      </c>
      <c r="B739" s="3">
        <v>0.35416666666666669</v>
      </c>
      <c r="C739" t="s">
        <v>29</v>
      </c>
      <c r="D739" t="s">
        <v>11</v>
      </c>
      <c r="E739">
        <v>0.755</v>
      </c>
      <c r="F739" t="s">
        <v>6</v>
      </c>
    </row>
    <row r="740" spans="1:6" x14ac:dyDescent="0.35">
      <c r="A740" s="6">
        <v>44805</v>
      </c>
      <c r="B740" s="3">
        <v>0.35416666666666669</v>
      </c>
      <c r="C740" t="s">
        <v>32</v>
      </c>
      <c r="D740" t="s">
        <v>7</v>
      </c>
      <c r="E740">
        <v>0.76</v>
      </c>
      <c r="F740" t="s">
        <v>6</v>
      </c>
    </row>
    <row r="741" spans="1:6" x14ac:dyDescent="0.35">
      <c r="A741" s="6">
        <v>44805</v>
      </c>
      <c r="B741" s="3">
        <v>0.375</v>
      </c>
      <c r="C741" t="s">
        <v>28</v>
      </c>
      <c r="D741" t="s">
        <v>13</v>
      </c>
      <c r="E741">
        <v>1.095</v>
      </c>
      <c r="F741" t="s">
        <v>6</v>
      </c>
    </row>
    <row r="742" spans="1:6" x14ac:dyDescent="0.35">
      <c r="A742" s="6">
        <v>44805</v>
      </c>
      <c r="B742" s="3">
        <v>0.375</v>
      </c>
      <c r="C742" t="s">
        <v>30</v>
      </c>
      <c r="D742" t="s">
        <v>8</v>
      </c>
      <c r="E742">
        <v>0.86099999999999999</v>
      </c>
      <c r="F742" t="s">
        <v>6</v>
      </c>
    </row>
    <row r="743" spans="1:6" x14ac:dyDescent="0.35">
      <c r="A743" s="6">
        <v>44805</v>
      </c>
      <c r="B743" s="3">
        <v>0.375</v>
      </c>
      <c r="C743" t="s">
        <v>26</v>
      </c>
      <c r="D743" t="s">
        <v>16</v>
      </c>
      <c r="E743">
        <v>1.028</v>
      </c>
      <c r="F743" t="s">
        <v>6</v>
      </c>
    </row>
    <row r="744" spans="1:6" x14ac:dyDescent="0.35">
      <c r="A744" s="6">
        <v>44805</v>
      </c>
      <c r="B744" s="3">
        <v>0.375</v>
      </c>
      <c r="C744" t="s">
        <v>27</v>
      </c>
      <c r="D744" t="s">
        <v>14</v>
      </c>
      <c r="E744">
        <v>0.72899999999999998</v>
      </c>
      <c r="F744" t="s">
        <v>6</v>
      </c>
    </row>
    <row r="745" spans="1:6" x14ac:dyDescent="0.35">
      <c r="A745" s="6">
        <v>44805</v>
      </c>
      <c r="B745" s="3">
        <v>0.375</v>
      </c>
      <c r="C745" t="s">
        <v>31</v>
      </c>
      <c r="D745" t="s">
        <v>9</v>
      </c>
      <c r="E745">
        <v>0.83799999999999997</v>
      </c>
      <c r="F745" t="s">
        <v>6</v>
      </c>
    </row>
    <row r="746" spans="1:6" x14ac:dyDescent="0.35">
      <c r="A746" s="6">
        <v>44805</v>
      </c>
      <c r="B746" s="3">
        <v>0.375</v>
      </c>
      <c r="C746" t="s">
        <v>33</v>
      </c>
      <c r="D746" t="s">
        <v>5</v>
      </c>
      <c r="E746">
        <v>0.92400000000000004</v>
      </c>
      <c r="F746" t="s">
        <v>6</v>
      </c>
    </row>
    <row r="747" spans="1:6" x14ac:dyDescent="0.35">
      <c r="A747" s="6">
        <v>44805</v>
      </c>
      <c r="B747" s="3">
        <v>0.375</v>
      </c>
      <c r="C747" t="s">
        <v>29</v>
      </c>
      <c r="D747" t="s">
        <v>11</v>
      </c>
      <c r="E747">
        <v>0.75</v>
      </c>
      <c r="F747" t="s">
        <v>6</v>
      </c>
    </row>
    <row r="748" spans="1:6" x14ac:dyDescent="0.35">
      <c r="A748" s="6">
        <v>44805</v>
      </c>
      <c r="B748" s="3">
        <v>0.375</v>
      </c>
      <c r="C748" t="s">
        <v>32</v>
      </c>
      <c r="D748" t="s">
        <v>7</v>
      </c>
      <c r="E748">
        <v>0.754</v>
      </c>
      <c r="F748" t="s">
        <v>6</v>
      </c>
    </row>
    <row r="749" spans="1:6" x14ac:dyDescent="0.35">
      <c r="A749" s="6">
        <v>44805</v>
      </c>
      <c r="B749" s="3">
        <v>0.39583333333333331</v>
      </c>
      <c r="C749" t="s">
        <v>28</v>
      </c>
      <c r="D749" t="s">
        <v>13</v>
      </c>
      <c r="E749">
        <v>1.0960000000000001</v>
      </c>
      <c r="F749" t="s">
        <v>6</v>
      </c>
    </row>
    <row r="750" spans="1:6" x14ac:dyDescent="0.35">
      <c r="A750" s="6">
        <v>44805</v>
      </c>
      <c r="B750" s="3">
        <v>0.39583333333333331</v>
      </c>
      <c r="C750" t="s">
        <v>30</v>
      </c>
      <c r="D750" t="s">
        <v>8</v>
      </c>
      <c r="E750">
        <v>0.86599999999999999</v>
      </c>
      <c r="F750" t="s">
        <v>6</v>
      </c>
    </row>
    <row r="751" spans="1:6" x14ac:dyDescent="0.35">
      <c r="A751" s="6">
        <v>44805</v>
      </c>
      <c r="B751" s="3">
        <v>0.39583333333333331</v>
      </c>
      <c r="C751" t="s">
        <v>26</v>
      </c>
      <c r="D751" t="s">
        <v>16</v>
      </c>
      <c r="E751">
        <v>1.0289999999999999</v>
      </c>
      <c r="F751" t="s">
        <v>6</v>
      </c>
    </row>
    <row r="752" spans="1:6" x14ac:dyDescent="0.35">
      <c r="A752" s="6">
        <v>44805</v>
      </c>
      <c r="B752" s="3">
        <v>0.39583333333333331</v>
      </c>
      <c r="C752" t="s">
        <v>27</v>
      </c>
      <c r="D752" t="s">
        <v>14</v>
      </c>
      <c r="E752">
        <v>0.71499999999999997</v>
      </c>
      <c r="F752" t="s">
        <v>6</v>
      </c>
    </row>
    <row r="753" spans="1:6" x14ac:dyDescent="0.35">
      <c r="A753" s="6">
        <v>44805</v>
      </c>
      <c r="B753" s="3">
        <v>0.39583333333333331</v>
      </c>
      <c r="C753" t="s">
        <v>31</v>
      </c>
      <c r="D753" t="s">
        <v>9</v>
      </c>
      <c r="E753">
        <v>0.81599999999999995</v>
      </c>
      <c r="F753" t="s">
        <v>6</v>
      </c>
    </row>
    <row r="754" spans="1:6" x14ac:dyDescent="0.35">
      <c r="A754" s="6">
        <v>44805</v>
      </c>
      <c r="B754" s="3">
        <v>0.39583333333333331</v>
      </c>
      <c r="C754" t="s">
        <v>33</v>
      </c>
      <c r="D754" t="s">
        <v>5</v>
      </c>
      <c r="E754">
        <v>0.92500000000000004</v>
      </c>
      <c r="F754" t="s">
        <v>6</v>
      </c>
    </row>
    <row r="755" spans="1:6" x14ac:dyDescent="0.35">
      <c r="A755" s="6">
        <v>44805</v>
      </c>
      <c r="B755" s="3">
        <v>0.39583333333333331</v>
      </c>
      <c r="C755" t="s">
        <v>29</v>
      </c>
      <c r="D755" t="s">
        <v>11</v>
      </c>
      <c r="E755">
        <v>0.752</v>
      </c>
      <c r="F755" t="s">
        <v>6</v>
      </c>
    </row>
    <row r="756" spans="1:6" x14ac:dyDescent="0.35">
      <c r="A756" s="6">
        <v>44805</v>
      </c>
      <c r="B756" s="3">
        <v>0.39583333333333331</v>
      </c>
      <c r="C756" t="s">
        <v>32</v>
      </c>
      <c r="D756" t="s">
        <v>7</v>
      </c>
      <c r="E756">
        <v>0.76</v>
      </c>
      <c r="F756" t="s">
        <v>6</v>
      </c>
    </row>
    <row r="757" spans="1:6" x14ac:dyDescent="0.35">
      <c r="A757" s="6">
        <v>44805</v>
      </c>
      <c r="B757" s="3">
        <v>0.41666666666666669</v>
      </c>
      <c r="C757" t="s">
        <v>28</v>
      </c>
      <c r="D757" t="s">
        <v>13</v>
      </c>
      <c r="E757">
        <v>1.0940000000000001</v>
      </c>
      <c r="F757" t="s">
        <v>6</v>
      </c>
    </row>
    <row r="758" spans="1:6" x14ac:dyDescent="0.35">
      <c r="A758" s="6">
        <v>44805</v>
      </c>
      <c r="B758" s="3">
        <v>0.41666666666666669</v>
      </c>
      <c r="C758" t="s">
        <v>30</v>
      </c>
      <c r="D758" t="s">
        <v>8</v>
      </c>
      <c r="E758">
        <v>0.86799999999999999</v>
      </c>
      <c r="F758" t="s">
        <v>6</v>
      </c>
    </row>
    <row r="759" spans="1:6" x14ac:dyDescent="0.35">
      <c r="A759" s="6">
        <v>44805</v>
      </c>
      <c r="B759" s="3">
        <v>0.41666666666666669</v>
      </c>
      <c r="C759" t="s">
        <v>26</v>
      </c>
      <c r="D759" t="s">
        <v>16</v>
      </c>
      <c r="E759">
        <v>1.0249999999999999</v>
      </c>
      <c r="F759" t="s">
        <v>6</v>
      </c>
    </row>
    <row r="760" spans="1:6" x14ac:dyDescent="0.35">
      <c r="A760" s="6">
        <v>44805</v>
      </c>
      <c r="B760" s="3">
        <v>0.41666666666666669</v>
      </c>
      <c r="C760" t="s">
        <v>27</v>
      </c>
      <c r="D760" t="s">
        <v>14</v>
      </c>
      <c r="E760">
        <v>0.68100000000000005</v>
      </c>
      <c r="F760" t="s">
        <v>6</v>
      </c>
    </row>
    <row r="761" spans="1:6" x14ac:dyDescent="0.35">
      <c r="A761" s="6">
        <v>44805</v>
      </c>
      <c r="B761" s="3">
        <v>0.41666666666666669</v>
      </c>
      <c r="C761" t="s">
        <v>31</v>
      </c>
      <c r="D761" t="s">
        <v>9</v>
      </c>
      <c r="E761">
        <v>0.76500000000000001</v>
      </c>
      <c r="F761" t="s">
        <v>6</v>
      </c>
    </row>
    <row r="762" spans="1:6" x14ac:dyDescent="0.35">
      <c r="A762" s="6">
        <v>44805</v>
      </c>
      <c r="B762" s="3">
        <v>0.41666666666666669</v>
      </c>
      <c r="C762" t="s">
        <v>33</v>
      </c>
      <c r="D762" t="s">
        <v>5</v>
      </c>
      <c r="E762">
        <v>0.91300000000000003</v>
      </c>
      <c r="F762" t="s">
        <v>6</v>
      </c>
    </row>
    <row r="763" spans="1:6" x14ac:dyDescent="0.35">
      <c r="A763" s="6">
        <v>44805</v>
      </c>
      <c r="B763" s="3">
        <v>0.41666666666666669</v>
      </c>
      <c r="C763" t="s">
        <v>29</v>
      </c>
      <c r="D763" t="s">
        <v>11</v>
      </c>
      <c r="E763">
        <v>0.747</v>
      </c>
      <c r="F763" t="s">
        <v>6</v>
      </c>
    </row>
    <row r="764" spans="1:6" x14ac:dyDescent="0.35">
      <c r="A764" s="6">
        <v>44805</v>
      </c>
      <c r="B764" s="3">
        <v>0.41666666666666669</v>
      </c>
      <c r="C764" t="s">
        <v>32</v>
      </c>
      <c r="D764" t="s">
        <v>7</v>
      </c>
      <c r="E764">
        <v>0.76600000000000001</v>
      </c>
      <c r="F764" t="s">
        <v>6</v>
      </c>
    </row>
    <row r="765" spans="1:6" x14ac:dyDescent="0.35">
      <c r="A765" s="6">
        <v>44805</v>
      </c>
      <c r="B765" s="3">
        <v>0.4375</v>
      </c>
      <c r="C765" t="s">
        <v>28</v>
      </c>
      <c r="D765" t="s">
        <v>13</v>
      </c>
      <c r="E765">
        <v>1.0880000000000001</v>
      </c>
      <c r="F765" t="s">
        <v>6</v>
      </c>
    </row>
    <row r="766" spans="1:6" x14ac:dyDescent="0.35">
      <c r="A766" s="6">
        <v>44805</v>
      </c>
      <c r="B766" s="3">
        <v>0.4375</v>
      </c>
      <c r="C766" t="s">
        <v>30</v>
      </c>
      <c r="D766" t="s">
        <v>8</v>
      </c>
      <c r="E766">
        <v>0.872</v>
      </c>
      <c r="F766" t="s">
        <v>6</v>
      </c>
    </row>
    <row r="767" spans="1:6" x14ac:dyDescent="0.35">
      <c r="A767" s="6">
        <v>44805</v>
      </c>
      <c r="B767" s="3">
        <v>0.4375</v>
      </c>
      <c r="C767" t="s">
        <v>26</v>
      </c>
      <c r="D767" t="s">
        <v>16</v>
      </c>
      <c r="E767">
        <v>1.016</v>
      </c>
      <c r="F767" t="s">
        <v>6</v>
      </c>
    </row>
    <row r="768" spans="1:6" x14ac:dyDescent="0.35">
      <c r="A768" s="6">
        <v>44805</v>
      </c>
      <c r="B768" s="3">
        <v>0.4375</v>
      </c>
      <c r="C768" t="s">
        <v>27</v>
      </c>
      <c r="D768" t="s">
        <v>14</v>
      </c>
      <c r="E768">
        <v>0.66500000000000004</v>
      </c>
      <c r="F768" t="s">
        <v>6</v>
      </c>
    </row>
    <row r="769" spans="1:6" x14ac:dyDescent="0.35">
      <c r="A769" s="6">
        <v>44805</v>
      </c>
      <c r="B769" s="3">
        <v>0.4375</v>
      </c>
      <c r="C769" t="s">
        <v>31</v>
      </c>
      <c r="D769" t="s">
        <v>9</v>
      </c>
      <c r="E769">
        <v>0.745</v>
      </c>
      <c r="F769" t="s">
        <v>6</v>
      </c>
    </row>
    <row r="770" spans="1:6" x14ac:dyDescent="0.35">
      <c r="A770" s="6">
        <v>44805</v>
      </c>
      <c r="B770" s="3">
        <v>0.4375</v>
      </c>
      <c r="C770" t="s">
        <v>33</v>
      </c>
      <c r="D770" t="s">
        <v>5</v>
      </c>
      <c r="E770">
        <v>0.90800000000000003</v>
      </c>
      <c r="F770" t="s">
        <v>6</v>
      </c>
    </row>
    <row r="771" spans="1:6" x14ac:dyDescent="0.35">
      <c r="A771" s="6">
        <v>44805</v>
      </c>
      <c r="B771" s="3">
        <v>0.4375</v>
      </c>
      <c r="C771" t="s">
        <v>29</v>
      </c>
      <c r="D771" t="s">
        <v>11</v>
      </c>
      <c r="E771">
        <v>0.74099999999999999</v>
      </c>
      <c r="F771" t="s">
        <v>6</v>
      </c>
    </row>
    <row r="772" spans="1:6" x14ac:dyDescent="0.35">
      <c r="A772" s="6">
        <v>44805</v>
      </c>
      <c r="B772" s="3">
        <v>0.4375</v>
      </c>
      <c r="C772" t="s">
        <v>32</v>
      </c>
      <c r="D772" t="s">
        <v>7</v>
      </c>
      <c r="E772">
        <v>0.76900000000000002</v>
      </c>
      <c r="F772" t="s">
        <v>6</v>
      </c>
    </row>
    <row r="773" spans="1:6" x14ac:dyDescent="0.35">
      <c r="A773" s="6">
        <v>44805</v>
      </c>
      <c r="B773" s="3">
        <v>0.45833333333333331</v>
      </c>
      <c r="C773" t="s">
        <v>28</v>
      </c>
      <c r="D773" t="s">
        <v>13</v>
      </c>
      <c r="E773">
        <v>1.08</v>
      </c>
      <c r="F773" t="s">
        <v>6</v>
      </c>
    </row>
    <row r="774" spans="1:6" x14ac:dyDescent="0.35">
      <c r="A774" s="6">
        <v>44805</v>
      </c>
      <c r="B774" s="3">
        <v>0.45833333333333331</v>
      </c>
      <c r="C774" t="s">
        <v>30</v>
      </c>
      <c r="D774" t="s">
        <v>8</v>
      </c>
      <c r="E774">
        <v>0.878</v>
      </c>
      <c r="F774" t="s">
        <v>6</v>
      </c>
    </row>
    <row r="775" spans="1:6" x14ac:dyDescent="0.35">
      <c r="A775" s="6">
        <v>44805</v>
      </c>
      <c r="B775" s="3">
        <v>0.45833333333333331</v>
      </c>
      <c r="C775" t="s">
        <v>26</v>
      </c>
      <c r="D775" t="s">
        <v>16</v>
      </c>
      <c r="E775">
        <v>1.0029999999999999</v>
      </c>
      <c r="F775" t="s">
        <v>6</v>
      </c>
    </row>
    <row r="776" spans="1:6" x14ac:dyDescent="0.35">
      <c r="A776" s="6">
        <v>44805</v>
      </c>
      <c r="B776" s="3">
        <v>0.45833333333333331</v>
      </c>
      <c r="C776" t="s">
        <v>27</v>
      </c>
      <c r="D776" t="s">
        <v>14</v>
      </c>
      <c r="E776">
        <v>0.64600000000000002</v>
      </c>
      <c r="F776" t="s">
        <v>6</v>
      </c>
    </row>
    <row r="777" spans="1:6" x14ac:dyDescent="0.35">
      <c r="A777" s="6">
        <v>44805</v>
      </c>
      <c r="B777" s="3">
        <v>0.45833333333333331</v>
      </c>
      <c r="C777" t="s">
        <v>31</v>
      </c>
      <c r="D777" t="s">
        <v>9</v>
      </c>
      <c r="E777">
        <v>0.73199999999999998</v>
      </c>
      <c r="F777" t="s">
        <v>6</v>
      </c>
    </row>
    <row r="778" spans="1:6" x14ac:dyDescent="0.35">
      <c r="A778" s="6">
        <v>44805</v>
      </c>
      <c r="B778" s="3">
        <v>0.45833333333333331</v>
      </c>
      <c r="C778" t="s">
        <v>33</v>
      </c>
      <c r="D778" t="s">
        <v>5</v>
      </c>
      <c r="E778">
        <v>0.89700000000000002</v>
      </c>
      <c r="F778" t="s">
        <v>6</v>
      </c>
    </row>
    <row r="779" spans="1:6" x14ac:dyDescent="0.35">
      <c r="A779" s="6">
        <v>44805</v>
      </c>
      <c r="B779" s="3">
        <v>0.45833333333333331</v>
      </c>
      <c r="C779" t="s">
        <v>29</v>
      </c>
      <c r="D779" t="s">
        <v>11</v>
      </c>
      <c r="E779">
        <v>0.73099999999999998</v>
      </c>
      <c r="F779" t="s">
        <v>6</v>
      </c>
    </row>
    <row r="780" spans="1:6" x14ac:dyDescent="0.35">
      <c r="A780" s="6">
        <v>44805</v>
      </c>
      <c r="B780" s="3">
        <v>0.45833333333333331</v>
      </c>
      <c r="C780" t="s">
        <v>32</v>
      </c>
      <c r="D780" t="s">
        <v>7</v>
      </c>
      <c r="E780">
        <v>0.77400000000000002</v>
      </c>
      <c r="F780" t="s">
        <v>6</v>
      </c>
    </row>
    <row r="781" spans="1:6" x14ac:dyDescent="0.35">
      <c r="A781" s="6">
        <v>44805</v>
      </c>
      <c r="B781" s="3">
        <v>0.47916666666666669</v>
      </c>
      <c r="C781" t="s">
        <v>28</v>
      </c>
      <c r="D781" t="s">
        <v>13</v>
      </c>
      <c r="E781">
        <v>1.07</v>
      </c>
      <c r="F781" t="s">
        <v>6</v>
      </c>
    </row>
    <row r="782" spans="1:6" x14ac:dyDescent="0.35">
      <c r="A782" s="6">
        <v>44805</v>
      </c>
      <c r="B782" s="3">
        <v>0.47916666666666669</v>
      </c>
      <c r="C782" t="s">
        <v>30</v>
      </c>
      <c r="D782" t="s">
        <v>8</v>
      </c>
      <c r="E782">
        <v>0.88500000000000001</v>
      </c>
      <c r="F782" t="s">
        <v>6</v>
      </c>
    </row>
    <row r="783" spans="1:6" x14ac:dyDescent="0.35">
      <c r="A783" s="6">
        <v>44805</v>
      </c>
      <c r="B783" s="3">
        <v>0.47916666666666669</v>
      </c>
      <c r="C783" t="s">
        <v>26</v>
      </c>
      <c r="D783" t="s">
        <v>16</v>
      </c>
      <c r="E783">
        <v>0.98699999999999999</v>
      </c>
      <c r="F783" t="s">
        <v>6</v>
      </c>
    </row>
    <row r="784" spans="1:6" x14ac:dyDescent="0.35">
      <c r="A784" s="6">
        <v>44805</v>
      </c>
      <c r="B784" s="3">
        <v>0.47916666666666669</v>
      </c>
      <c r="C784" t="s">
        <v>27</v>
      </c>
      <c r="D784" t="s">
        <v>14</v>
      </c>
      <c r="E784">
        <v>0.63600000000000001</v>
      </c>
      <c r="F784" t="s">
        <v>6</v>
      </c>
    </row>
    <row r="785" spans="1:6" x14ac:dyDescent="0.35">
      <c r="A785" s="6">
        <v>44805</v>
      </c>
      <c r="B785" s="3">
        <v>0.47916666666666669</v>
      </c>
      <c r="C785" t="s">
        <v>31</v>
      </c>
      <c r="D785" t="s">
        <v>9</v>
      </c>
      <c r="E785">
        <v>0.73599999999999999</v>
      </c>
      <c r="F785" t="s">
        <v>6</v>
      </c>
    </row>
    <row r="786" spans="1:6" x14ac:dyDescent="0.35">
      <c r="A786" s="6">
        <v>44805</v>
      </c>
      <c r="B786" s="3">
        <v>0.47916666666666669</v>
      </c>
      <c r="C786" t="s">
        <v>33</v>
      </c>
      <c r="D786" t="s">
        <v>5</v>
      </c>
      <c r="E786">
        <v>0.89200000000000002</v>
      </c>
      <c r="F786" t="s">
        <v>6</v>
      </c>
    </row>
    <row r="787" spans="1:6" x14ac:dyDescent="0.35">
      <c r="A787" s="6">
        <v>44805</v>
      </c>
      <c r="B787" s="3">
        <v>0.47916666666666669</v>
      </c>
      <c r="C787" t="s">
        <v>29</v>
      </c>
      <c r="D787" t="s">
        <v>11</v>
      </c>
      <c r="E787">
        <v>0.72</v>
      </c>
      <c r="F787" t="s">
        <v>6</v>
      </c>
    </row>
    <row r="788" spans="1:6" x14ac:dyDescent="0.35">
      <c r="A788" s="6">
        <v>44805</v>
      </c>
      <c r="B788" s="3">
        <v>0.47916666666666669</v>
      </c>
      <c r="C788" t="s">
        <v>32</v>
      </c>
      <c r="D788" t="s">
        <v>7</v>
      </c>
      <c r="E788">
        <v>0.77600000000000002</v>
      </c>
      <c r="F788" t="s">
        <v>6</v>
      </c>
    </row>
    <row r="789" spans="1:6" x14ac:dyDescent="0.35">
      <c r="A789" s="6">
        <v>44805</v>
      </c>
      <c r="B789" s="3">
        <v>0.5</v>
      </c>
      <c r="C789" t="s">
        <v>28</v>
      </c>
      <c r="D789" t="s">
        <v>13</v>
      </c>
      <c r="E789">
        <v>1.0609999999999999</v>
      </c>
      <c r="F789" t="s">
        <v>6</v>
      </c>
    </row>
    <row r="790" spans="1:6" x14ac:dyDescent="0.35">
      <c r="A790" s="6">
        <v>44805</v>
      </c>
      <c r="B790" s="3">
        <v>0.5</v>
      </c>
      <c r="C790" t="s">
        <v>30</v>
      </c>
      <c r="D790" t="s">
        <v>8</v>
      </c>
      <c r="E790">
        <v>0.88900000000000001</v>
      </c>
      <c r="F790" t="s">
        <v>6</v>
      </c>
    </row>
    <row r="791" spans="1:6" x14ac:dyDescent="0.35">
      <c r="A791" s="6">
        <v>44805</v>
      </c>
      <c r="B791" s="3">
        <v>0.5</v>
      </c>
      <c r="C791" t="s">
        <v>26</v>
      </c>
      <c r="D791" t="s">
        <v>16</v>
      </c>
      <c r="E791">
        <v>0.97199999999999998</v>
      </c>
      <c r="F791" t="s">
        <v>6</v>
      </c>
    </row>
    <row r="792" spans="1:6" x14ac:dyDescent="0.35">
      <c r="A792" s="6">
        <v>44805</v>
      </c>
      <c r="B792" s="3">
        <v>0.5</v>
      </c>
      <c r="C792" t="s">
        <v>27</v>
      </c>
      <c r="D792" t="s">
        <v>14</v>
      </c>
      <c r="E792">
        <v>0.624</v>
      </c>
      <c r="F792" t="s">
        <v>6</v>
      </c>
    </row>
    <row r="793" spans="1:6" x14ac:dyDescent="0.35">
      <c r="A793" s="6">
        <v>44805</v>
      </c>
      <c r="B793" s="3">
        <v>0.5</v>
      </c>
      <c r="C793" t="s">
        <v>31</v>
      </c>
      <c r="D793" t="s">
        <v>9</v>
      </c>
      <c r="E793">
        <v>0.73599999999999999</v>
      </c>
      <c r="F793" t="s">
        <v>6</v>
      </c>
    </row>
    <row r="794" spans="1:6" x14ac:dyDescent="0.35">
      <c r="A794" s="6">
        <v>44805</v>
      </c>
      <c r="B794" s="3">
        <v>0.5</v>
      </c>
      <c r="C794" t="s">
        <v>33</v>
      </c>
      <c r="D794" t="s">
        <v>5</v>
      </c>
      <c r="E794">
        <v>0.88500000000000001</v>
      </c>
      <c r="F794" t="s">
        <v>6</v>
      </c>
    </row>
    <row r="795" spans="1:6" x14ac:dyDescent="0.35">
      <c r="A795" s="6">
        <v>44805</v>
      </c>
      <c r="B795" s="3">
        <v>0.5</v>
      </c>
      <c r="C795" t="s">
        <v>29</v>
      </c>
      <c r="D795" t="s">
        <v>11</v>
      </c>
      <c r="E795">
        <v>0.70899999999999996</v>
      </c>
      <c r="F795" t="s">
        <v>6</v>
      </c>
    </row>
    <row r="796" spans="1:6" x14ac:dyDescent="0.35">
      <c r="A796" s="6">
        <v>44805</v>
      </c>
      <c r="B796" s="3">
        <v>0.5</v>
      </c>
      <c r="C796" t="s">
        <v>32</v>
      </c>
      <c r="D796" t="s">
        <v>7</v>
      </c>
      <c r="E796">
        <v>0.78100000000000003</v>
      </c>
      <c r="F796" t="s">
        <v>6</v>
      </c>
    </row>
    <row r="797" spans="1:6" x14ac:dyDescent="0.35">
      <c r="A797" s="6">
        <v>44805</v>
      </c>
      <c r="B797" s="3">
        <v>0.58333333333333337</v>
      </c>
      <c r="C797" t="s">
        <v>28</v>
      </c>
      <c r="D797" t="s">
        <v>13</v>
      </c>
      <c r="E797">
        <v>1.012</v>
      </c>
      <c r="F797" t="s">
        <v>6</v>
      </c>
    </row>
    <row r="798" spans="1:6" x14ac:dyDescent="0.35">
      <c r="A798" s="6">
        <v>44805</v>
      </c>
      <c r="B798" s="3">
        <v>0.58333333333333337</v>
      </c>
      <c r="C798" t="s">
        <v>30</v>
      </c>
      <c r="D798" t="s">
        <v>8</v>
      </c>
      <c r="E798">
        <v>0.86099999999999999</v>
      </c>
      <c r="F798" t="s">
        <v>6</v>
      </c>
    </row>
    <row r="799" spans="1:6" x14ac:dyDescent="0.35">
      <c r="A799" s="6">
        <v>44805</v>
      </c>
      <c r="B799" s="3">
        <v>0.58333333333333337</v>
      </c>
      <c r="C799" t="s">
        <v>26</v>
      </c>
      <c r="D799" t="s">
        <v>16</v>
      </c>
      <c r="E799">
        <v>0.92700000000000005</v>
      </c>
      <c r="F799" t="s">
        <v>6</v>
      </c>
    </row>
    <row r="800" spans="1:6" x14ac:dyDescent="0.35">
      <c r="A800" s="6">
        <v>44805</v>
      </c>
      <c r="B800" s="3">
        <v>0.58333333333333337</v>
      </c>
      <c r="C800" t="s">
        <v>27</v>
      </c>
      <c r="D800" t="s">
        <v>14</v>
      </c>
      <c r="E800">
        <v>0.63200000000000001</v>
      </c>
      <c r="F800" t="s">
        <v>6</v>
      </c>
    </row>
    <row r="801" spans="1:6" x14ac:dyDescent="0.35">
      <c r="A801" s="6">
        <v>44805</v>
      </c>
      <c r="B801" s="3">
        <v>0.58333333333333337</v>
      </c>
      <c r="C801" t="s">
        <v>31</v>
      </c>
      <c r="D801" t="s">
        <v>9</v>
      </c>
      <c r="E801">
        <v>0.72599999999999998</v>
      </c>
      <c r="F801" t="s">
        <v>6</v>
      </c>
    </row>
    <row r="802" spans="1:6" x14ac:dyDescent="0.35">
      <c r="A802" s="6">
        <v>44805</v>
      </c>
      <c r="B802" s="3">
        <v>0.58333333333333337</v>
      </c>
      <c r="C802" t="s">
        <v>33</v>
      </c>
      <c r="D802" t="s">
        <v>5</v>
      </c>
      <c r="E802">
        <v>0.86499999999999999</v>
      </c>
      <c r="F802" t="s">
        <v>6</v>
      </c>
    </row>
    <row r="803" spans="1:6" x14ac:dyDescent="0.35">
      <c r="A803" s="6">
        <v>44805</v>
      </c>
      <c r="B803" s="3">
        <v>0.58333333333333337</v>
      </c>
      <c r="C803" t="s">
        <v>29</v>
      </c>
      <c r="D803" t="s">
        <v>11</v>
      </c>
      <c r="E803">
        <v>0.67300000000000004</v>
      </c>
      <c r="F803" t="s">
        <v>6</v>
      </c>
    </row>
    <row r="804" spans="1:6" x14ac:dyDescent="0.35">
      <c r="A804" s="6">
        <v>44805</v>
      </c>
      <c r="B804" s="3">
        <v>0.58333333333333337</v>
      </c>
      <c r="C804" t="s">
        <v>32</v>
      </c>
      <c r="D804" t="s">
        <v>7</v>
      </c>
      <c r="E804">
        <v>0.75700000000000001</v>
      </c>
      <c r="F804" t="s">
        <v>6</v>
      </c>
    </row>
    <row r="805" spans="1:6" x14ac:dyDescent="0.35">
      <c r="A805" s="6">
        <v>44805</v>
      </c>
      <c r="B805" s="3">
        <v>0.60416666666666663</v>
      </c>
      <c r="C805" t="s">
        <v>28</v>
      </c>
      <c r="D805" t="s">
        <v>13</v>
      </c>
      <c r="E805">
        <v>1.0249999999999999</v>
      </c>
      <c r="F805" t="s">
        <v>6</v>
      </c>
    </row>
    <row r="806" spans="1:6" x14ac:dyDescent="0.35">
      <c r="A806" s="6">
        <v>44805</v>
      </c>
      <c r="B806" s="3">
        <v>0.60416666666666663</v>
      </c>
      <c r="C806" t="s">
        <v>30</v>
      </c>
      <c r="D806" t="s">
        <v>8</v>
      </c>
      <c r="E806">
        <v>0.879</v>
      </c>
      <c r="F806" t="s">
        <v>6</v>
      </c>
    </row>
    <row r="807" spans="1:6" x14ac:dyDescent="0.35">
      <c r="A807" s="6">
        <v>44805</v>
      </c>
      <c r="B807" s="3">
        <v>0.60416666666666663</v>
      </c>
      <c r="C807" t="s">
        <v>26</v>
      </c>
      <c r="D807" t="s">
        <v>16</v>
      </c>
      <c r="E807">
        <v>0.94199999999999995</v>
      </c>
      <c r="F807" t="s">
        <v>6</v>
      </c>
    </row>
    <row r="808" spans="1:6" x14ac:dyDescent="0.35">
      <c r="A808" s="6">
        <v>44805</v>
      </c>
      <c r="B808" s="3">
        <v>0.60416666666666663</v>
      </c>
      <c r="C808" t="s">
        <v>27</v>
      </c>
      <c r="D808" t="s">
        <v>14</v>
      </c>
      <c r="E808">
        <v>0.63700000000000001</v>
      </c>
      <c r="F808" t="s">
        <v>6</v>
      </c>
    </row>
    <row r="809" spans="1:6" x14ac:dyDescent="0.35">
      <c r="A809" s="6">
        <v>44805</v>
      </c>
      <c r="B809" s="3">
        <v>0.60416666666666663</v>
      </c>
      <c r="C809" t="s">
        <v>31</v>
      </c>
      <c r="D809" t="s">
        <v>9</v>
      </c>
      <c r="E809">
        <v>0.73</v>
      </c>
      <c r="F809" t="s">
        <v>6</v>
      </c>
    </row>
    <row r="810" spans="1:6" x14ac:dyDescent="0.35">
      <c r="A810" s="6">
        <v>44805</v>
      </c>
      <c r="B810" s="3">
        <v>0.60416666666666663</v>
      </c>
      <c r="C810" t="s">
        <v>33</v>
      </c>
      <c r="D810" t="s">
        <v>5</v>
      </c>
      <c r="E810">
        <v>0.875</v>
      </c>
      <c r="F810" t="s">
        <v>6</v>
      </c>
    </row>
    <row r="811" spans="1:6" x14ac:dyDescent="0.35">
      <c r="A811" s="6">
        <v>44805</v>
      </c>
      <c r="B811" s="3">
        <v>0.60416666666666663</v>
      </c>
      <c r="C811" t="s">
        <v>29</v>
      </c>
      <c r="D811" t="s">
        <v>11</v>
      </c>
      <c r="E811">
        <v>0.68600000000000005</v>
      </c>
      <c r="F811" t="s">
        <v>6</v>
      </c>
    </row>
    <row r="812" spans="1:6" x14ac:dyDescent="0.35">
      <c r="A812" s="6">
        <v>44805</v>
      </c>
      <c r="B812" s="3">
        <v>0.60416666666666663</v>
      </c>
      <c r="C812" t="s">
        <v>32</v>
      </c>
      <c r="D812" t="s">
        <v>7</v>
      </c>
      <c r="E812">
        <v>0.76500000000000001</v>
      </c>
      <c r="F812" t="s">
        <v>6</v>
      </c>
    </row>
    <row r="813" spans="1:6" x14ac:dyDescent="0.35">
      <c r="A813" s="6">
        <v>44805</v>
      </c>
      <c r="B813" s="3">
        <v>0.625</v>
      </c>
      <c r="C813" t="s">
        <v>28</v>
      </c>
      <c r="D813" t="s">
        <v>13</v>
      </c>
      <c r="E813">
        <v>1.03</v>
      </c>
      <c r="F813" t="s">
        <v>6</v>
      </c>
    </row>
    <row r="814" spans="1:6" x14ac:dyDescent="0.35">
      <c r="A814" s="6">
        <v>44805</v>
      </c>
      <c r="B814" s="3">
        <v>0.625</v>
      </c>
      <c r="C814" t="s">
        <v>30</v>
      </c>
      <c r="D814" t="s">
        <v>8</v>
      </c>
      <c r="E814">
        <v>0.88800000000000001</v>
      </c>
      <c r="F814" t="s">
        <v>6</v>
      </c>
    </row>
    <row r="815" spans="1:6" x14ac:dyDescent="0.35">
      <c r="A815" s="6">
        <v>44805</v>
      </c>
      <c r="B815" s="3">
        <v>0.625</v>
      </c>
      <c r="C815" t="s">
        <v>26</v>
      </c>
      <c r="D815" t="s">
        <v>16</v>
      </c>
      <c r="E815">
        <v>0.94799999999999995</v>
      </c>
      <c r="F815" t="s">
        <v>6</v>
      </c>
    </row>
    <row r="816" spans="1:6" x14ac:dyDescent="0.35">
      <c r="A816" s="6">
        <v>44805</v>
      </c>
      <c r="B816" s="3">
        <v>0.625</v>
      </c>
      <c r="C816" t="s">
        <v>27</v>
      </c>
      <c r="D816" t="s">
        <v>14</v>
      </c>
      <c r="E816">
        <v>0.64200000000000002</v>
      </c>
      <c r="F816" t="s">
        <v>6</v>
      </c>
    </row>
    <row r="817" spans="1:6" x14ac:dyDescent="0.35">
      <c r="A817" s="6">
        <v>44805</v>
      </c>
      <c r="B817" s="3">
        <v>0.625</v>
      </c>
      <c r="C817" t="s">
        <v>31</v>
      </c>
      <c r="D817" t="s">
        <v>9</v>
      </c>
      <c r="E817">
        <v>0.74099999999999999</v>
      </c>
      <c r="F817" t="s">
        <v>6</v>
      </c>
    </row>
    <row r="818" spans="1:6" x14ac:dyDescent="0.35">
      <c r="A818" s="6">
        <v>44805</v>
      </c>
      <c r="B818" s="3">
        <v>0.625</v>
      </c>
      <c r="C818" t="s">
        <v>33</v>
      </c>
      <c r="D818" t="s">
        <v>5</v>
      </c>
      <c r="E818">
        <v>0.877</v>
      </c>
      <c r="F818" t="s">
        <v>6</v>
      </c>
    </row>
    <row r="819" spans="1:6" x14ac:dyDescent="0.35">
      <c r="A819" s="6">
        <v>44805</v>
      </c>
      <c r="B819" s="3">
        <v>0.625</v>
      </c>
      <c r="C819" t="s">
        <v>29</v>
      </c>
      <c r="D819" t="s">
        <v>11</v>
      </c>
      <c r="E819">
        <v>0.69</v>
      </c>
      <c r="F819" t="s">
        <v>6</v>
      </c>
    </row>
    <row r="820" spans="1:6" x14ac:dyDescent="0.35">
      <c r="A820" s="6">
        <v>44805</v>
      </c>
      <c r="B820" s="3">
        <v>0.625</v>
      </c>
      <c r="C820" t="s">
        <v>32</v>
      </c>
      <c r="D820" t="s">
        <v>7</v>
      </c>
      <c r="E820">
        <v>0.77700000000000002</v>
      </c>
      <c r="F820" t="s">
        <v>6</v>
      </c>
    </row>
    <row r="821" spans="1:6" x14ac:dyDescent="0.35">
      <c r="A821" s="6">
        <v>44805</v>
      </c>
      <c r="B821" s="3">
        <v>0.64583333333333337</v>
      </c>
      <c r="C821" t="s">
        <v>28</v>
      </c>
      <c r="D821" t="s">
        <v>13</v>
      </c>
      <c r="E821">
        <v>1.036</v>
      </c>
      <c r="F821" t="s">
        <v>6</v>
      </c>
    </row>
    <row r="822" spans="1:6" x14ac:dyDescent="0.35">
      <c r="A822" s="6">
        <v>44805</v>
      </c>
      <c r="B822" s="3">
        <v>0.64583333333333337</v>
      </c>
      <c r="C822" t="s">
        <v>30</v>
      </c>
      <c r="D822" t="s">
        <v>8</v>
      </c>
      <c r="E822">
        <v>0.89200000000000002</v>
      </c>
      <c r="F822" t="s">
        <v>6</v>
      </c>
    </row>
    <row r="823" spans="1:6" x14ac:dyDescent="0.35">
      <c r="A823" s="6">
        <v>44805</v>
      </c>
      <c r="B823" s="3">
        <v>0.64583333333333337</v>
      </c>
      <c r="C823" t="s">
        <v>26</v>
      </c>
      <c r="D823" t="s">
        <v>16</v>
      </c>
      <c r="E823">
        <v>0.95199999999999996</v>
      </c>
      <c r="F823" t="s">
        <v>6</v>
      </c>
    </row>
    <row r="824" spans="1:6" x14ac:dyDescent="0.35">
      <c r="A824" s="6">
        <v>44805</v>
      </c>
      <c r="B824" s="3">
        <v>0.64583333333333337</v>
      </c>
      <c r="C824" t="s">
        <v>27</v>
      </c>
      <c r="D824" t="s">
        <v>14</v>
      </c>
      <c r="E824">
        <v>0.65</v>
      </c>
      <c r="F824" t="s">
        <v>6</v>
      </c>
    </row>
    <row r="825" spans="1:6" x14ac:dyDescent="0.35">
      <c r="A825" s="6">
        <v>44805</v>
      </c>
      <c r="B825" s="3">
        <v>0.64583333333333337</v>
      </c>
      <c r="C825" t="s">
        <v>31</v>
      </c>
      <c r="D825" t="s">
        <v>9</v>
      </c>
      <c r="E825">
        <v>0.751</v>
      </c>
      <c r="F825" t="s">
        <v>6</v>
      </c>
    </row>
    <row r="826" spans="1:6" x14ac:dyDescent="0.35">
      <c r="A826" s="6">
        <v>44805</v>
      </c>
      <c r="B826" s="3">
        <v>0.64583333333333337</v>
      </c>
      <c r="C826" t="s">
        <v>33</v>
      </c>
      <c r="D826" t="s">
        <v>5</v>
      </c>
      <c r="E826">
        <v>0.87</v>
      </c>
      <c r="F826" t="s">
        <v>6</v>
      </c>
    </row>
    <row r="827" spans="1:6" x14ac:dyDescent="0.35">
      <c r="A827" s="6">
        <v>44805</v>
      </c>
      <c r="B827" s="3">
        <v>0.64583333333333337</v>
      </c>
      <c r="C827" t="s">
        <v>29</v>
      </c>
      <c r="D827" t="s">
        <v>11</v>
      </c>
      <c r="E827">
        <v>0.69599999999999995</v>
      </c>
      <c r="F827" t="s">
        <v>6</v>
      </c>
    </row>
    <row r="828" spans="1:6" x14ac:dyDescent="0.35">
      <c r="A828" s="6">
        <v>44805</v>
      </c>
      <c r="B828" s="3">
        <v>0.64583333333333337</v>
      </c>
      <c r="C828" t="s">
        <v>32</v>
      </c>
      <c r="D828" t="s">
        <v>7</v>
      </c>
      <c r="E828">
        <v>0.78800000000000003</v>
      </c>
      <c r="F828" t="s">
        <v>6</v>
      </c>
    </row>
    <row r="829" spans="1:6" x14ac:dyDescent="0.35">
      <c r="A829" s="6">
        <v>44805</v>
      </c>
      <c r="B829" s="3">
        <v>0.66666666666666663</v>
      </c>
      <c r="C829" t="s">
        <v>28</v>
      </c>
      <c r="D829" t="s">
        <v>13</v>
      </c>
      <c r="E829">
        <v>1.0429999999999999</v>
      </c>
      <c r="F829" t="s">
        <v>6</v>
      </c>
    </row>
    <row r="830" spans="1:6" x14ac:dyDescent="0.35">
      <c r="A830" s="6">
        <v>44805</v>
      </c>
      <c r="B830" s="3">
        <v>0.66666666666666663</v>
      </c>
      <c r="C830" t="s">
        <v>30</v>
      </c>
      <c r="D830" t="s">
        <v>8</v>
      </c>
      <c r="E830">
        <v>0.89500000000000002</v>
      </c>
      <c r="F830" t="s">
        <v>6</v>
      </c>
    </row>
    <row r="831" spans="1:6" x14ac:dyDescent="0.35">
      <c r="A831" s="6">
        <v>44805</v>
      </c>
      <c r="B831" s="3">
        <v>0.66666666666666663</v>
      </c>
      <c r="C831" t="s">
        <v>26</v>
      </c>
      <c r="D831" t="s">
        <v>16</v>
      </c>
      <c r="E831">
        <v>0.95599999999999996</v>
      </c>
      <c r="F831" t="s">
        <v>6</v>
      </c>
    </row>
    <row r="832" spans="1:6" x14ac:dyDescent="0.35">
      <c r="A832" s="6">
        <v>44805</v>
      </c>
      <c r="B832" s="3">
        <v>0.66666666666666663</v>
      </c>
      <c r="C832" t="s">
        <v>27</v>
      </c>
      <c r="D832" t="s">
        <v>14</v>
      </c>
      <c r="E832">
        <v>0.65400000000000003</v>
      </c>
      <c r="F832" t="s">
        <v>6</v>
      </c>
    </row>
    <row r="833" spans="1:6" x14ac:dyDescent="0.35">
      <c r="A833" s="6">
        <v>44805</v>
      </c>
      <c r="B833" s="3">
        <v>0.66666666666666663</v>
      </c>
      <c r="C833" t="s">
        <v>31</v>
      </c>
      <c r="D833" t="s">
        <v>9</v>
      </c>
      <c r="E833">
        <v>0.76300000000000001</v>
      </c>
      <c r="F833" t="s">
        <v>6</v>
      </c>
    </row>
    <row r="834" spans="1:6" x14ac:dyDescent="0.35">
      <c r="A834" s="6">
        <v>44805</v>
      </c>
      <c r="B834" s="3">
        <v>0.66666666666666663</v>
      </c>
      <c r="C834" t="s">
        <v>33</v>
      </c>
      <c r="D834" t="s">
        <v>5</v>
      </c>
      <c r="E834">
        <v>0.86699999999999999</v>
      </c>
      <c r="F834" t="s">
        <v>6</v>
      </c>
    </row>
    <row r="835" spans="1:6" x14ac:dyDescent="0.35">
      <c r="A835" s="6">
        <v>44805</v>
      </c>
      <c r="B835" s="3">
        <v>0.66666666666666663</v>
      </c>
      <c r="C835" t="s">
        <v>29</v>
      </c>
      <c r="D835" t="s">
        <v>11</v>
      </c>
      <c r="E835">
        <v>0.7</v>
      </c>
      <c r="F835" t="s">
        <v>6</v>
      </c>
    </row>
    <row r="836" spans="1:6" x14ac:dyDescent="0.35">
      <c r="A836" s="6">
        <v>44805</v>
      </c>
      <c r="B836" s="3">
        <v>0.66666666666666663</v>
      </c>
      <c r="C836" t="s">
        <v>32</v>
      </c>
      <c r="D836" t="s">
        <v>7</v>
      </c>
      <c r="E836">
        <v>0.79200000000000004</v>
      </c>
      <c r="F836" t="s">
        <v>6</v>
      </c>
    </row>
    <row r="837" spans="1:6" x14ac:dyDescent="0.35">
      <c r="A837" s="6">
        <v>44805</v>
      </c>
      <c r="B837" s="3">
        <v>0.6875</v>
      </c>
      <c r="C837" t="s">
        <v>28</v>
      </c>
      <c r="D837" t="s">
        <v>13</v>
      </c>
      <c r="E837">
        <v>1.05</v>
      </c>
      <c r="F837" t="s">
        <v>6</v>
      </c>
    </row>
    <row r="838" spans="1:6" x14ac:dyDescent="0.35">
      <c r="A838" s="6">
        <v>44805</v>
      </c>
      <c r="B838" s="3">
        <v>0.6875</v>
      </c>
      <c r="C838" t="s">
        <v>30</v>
      </c>
      <c r="D838" t="s">
        <v>8</v>
      </c>
      <c r="E838">
        <v>0.89600000000000002</v>
      </c>
      <c r="F838" t="s">
        <v>6</v>
      </c>
    </row>
    <row r="839" spans="1:6" x14ac:dyDescent="0.35">
      <c r="A839" s="6">
        <v>44805</v>
      </c>
      <c r="B839" s="3">
        <v>0.6875</v>
      </c>
      <c r="C839" t="s">
        <v>26</v>
      </c>
      <c r="D839" t="s">
        <v>16</v>
      </c>
      <c r="E839">
        <v>0.96299999999999997</v>
      </c>
      <c r="F839" t="s">
        <v>6</v>
      </c>
    </row>
    <row r="840" spans="1:6" x14ac:dyDescent="0.35">
      <c r="A840" s="6">
        <v>44805</v>
      </c>
      <c r="B840" s="3">
        <v>0.6875</v>
      </c>
      <c r="C840" t="s">
        <v>27</v>
      </c>
      <c r="D840" t="s">
        <v>14</v>
      </c>
      <c r="E840">
        <v>0.65700000000000003</v>
      </c>
      <c r="F840" t="s">
        <v>6</v>
      </c>
    </row>
    <row r="841" spans="1:6" x14ac:dyDescent="0.35">
      <c r="A841" s="6">
        <v>44805</v>
      </c>
      <c r="B841" s="3">
        <v>0.6875</v>
      </c>
      <c r="C841" t="s">
        <v>31</v>
      </c>
      <c r="D841" t="s">
        <v>9</v>
      </c>
      <c r="E841">
        <v>0.77600000000000002</v>
      </c>
      <c r="F841" t="s">
        <v>6</v>
      </c>
    </row>
    <row r="842" spans="1:6" x14ac:dyDescent="0.35">
      <c r="A842" s="6">
        <v>44805</v>
      </c>
      <c r="B842" s="3">
        <v>0.6875</v>
      </c>
      <c r="C842" t="s">
        <v>33</v>
      </c>
      <c r="D842" t="s">
        <v>5</v>
      </c>
      <c r="E842">
        <v>0.872</v>
      </c>
      <c r="F842" t="s">
        <v>6</v>
      </c>
    </row>
    <row r="843" spans="1:6" x14ac:dyDescent="0.35">
      <c r="A843" s="6">
        <v>44805</v>
      </c>
      <c r="B843" s="3">
        <v>0.6875</v>
      </c>
      <c r="C843" t="s">
        <v>29</v>
      </c>
      <c r="D843" t="s">
        <v>11</v>
      </c>
      <c r="E843">
        <v>0.70599999999999996</v>
      </c>
      <c r="F843" t="s">
        <v>6</v>
      </c>
    </row>
    <row r="844" spans="1:6" x14ac:dyDescent="0.35">
      <c r="A844" s="6">
        <v>44805</v>
      </c>
      <c r="B844" s="3">
        <v>0.6875</v>
      </c>
      <c r="C844" t="s">
        <v>32</v>
      </c>
      <c r="D844" t="s">
        <v>7</v>
      </c>
      <c r="E844">
        <v>0.79400000000000004</v>
      </c>
      <c r="F844" t="s">
        <v>6</v>
      </c>
    </row>
    <row r="845" spans="1:6" x14ac:dyDescent="0.35">
      <c r="A845" s="6">
        <v>44805</v>
      </c>
      <c r="B845" s="3">
        <v>0.70833333333333337</v>
      </c>
      <c r="C845" t="s">
        <v>30</v>
      </c>
      <c r="D845" t="s">
        <v>8</v>
      </c>
      <c r="E845">
        <v>0.89700000000000002</v>
      </c>
      <c r="F845" t="s">
        <v>6</v>
      </c>
    </row>
    <row r="846" spans="1:6" x14ac:dyDescent="0.35">
      <c r="A846" s="6">
        <v>44805</v>
      </c>
      <c r="B846" s="3">
        <v>0.70833333333333337</v>
      </c>
      <c r="C846" t="s">
        <v>26</v>
      </c>
      <c r="D846" t="s">
        <v>16</v>
      </c>
      <c r="E846">
        <v>0.97099999999999997</v>
      </c>
      <c r="F846" t="s">
        <v>6</v>
      </c>
    </row>
    <row r="847" spans="1:6" x14ac:dyDescent="0.35">
      <c r="A847" s="6">
        <v>44805</v>
      </c>
      <c r="B847" s="3">
        <v>0.70833333333333337</v>
      </c>
      <c r="C847" t="s">
        <v>27</v>
      </c>
      <c r="D847" t="s">
        <v>14</v>
      </c>
      <c r="E847">
        <v>0.66600000000000004</v>
      </c>
      <c r="F847" t="s">
        <v>6</v>
      </c>
    </row>
    <row r="848" spans="1:6" x14ac:dyDescent="0.35">
      <c r="A848" s="6">
        <v>44805</v>
      </c>
      <c r="B848" s="3">
        <v>0.70833333333333337</v>
      </c>
      <c r="C848" t="s">
        <v>31</v>
      </c>
      <c r="D848" t="s">
        <v>9</v>
      </c>
      <c r="E848">
        <v>0.79200000000000004</v>
      </c>
      <c r="F848" t="s">
        <v>6</v>
      </c>
    </row>
    <row r="849" spans="1:6" x14ac:dyDescent="0.35">
      <c r="A849" s="6">
        <v>44805</v>
      </c>
      <c r="B849" s="3">
        <v>0.70833333333333337</v>
      </c>
      <c r="C849" t="s">
        <v>33</v>
      </c>
      <c r="D849" t="s">
        <v>5</v>
      </c>
      <c r="E849">
        <v>0.88</v>
      </c>
      <c r="F849" t="s">
        <v>6</v>
      </c>
    </row>
    <row r="850" spans="1:6" x14ac:dyDescent="0.35">
      <c r="A850" s="6">
        <v>44805</v>
      </c>
      <c r="B850" s="3">
        <v>0.70833333333333337</v>
      </c>
      <c r="C850" t="s">
        <v>29</v>
      </c>
      <c r="D850" t="s">
        <v>11</v>
      </c>
      <c r="E850">
        <v>0.71199999999999997</v>
      </c>
      <c r="F850" t="s">
        <v>6</v>
      </c>
    </row>
    <row r="851" spans="1:6" x14ac:dyDescent="0.35">
      <c r="A851" s="6">
        <v>44805</v>
      </c>
      <c r="B851" s="3">
        <v>0.70833333333333337</v>
      </c>
      <c r="C851" t="s">
        <v>32</v>
      </c>
      <c r="D851" t="s">
        <v>7</v>
      </c>
      <c r="E851">
        <v>0.79400000000000004</v>
      </c>
      <c r="F851" t="s">
        <v>6</v>
      </c>
    </row>
    <row r="852" spans="1:6" x14ac:dyDescent="0.35">
      <c r="A852" s="6">
        <v>44805</v>
      </c>
      <c r="B852" s="3">
        <v>0.91666666666666663</v>
      </c>
      <c r="C852" t="s">
        <v>23</v>
      </c>
      <c r="D852" t="s">
        <v>35</v>
      </c>
      <c r="E852">
        <v>0.55200000000000005</v>
      </c>
      <c r="F852" t="s">
        <v>6</v>
      </c>
    </row>
    <row r="853" spans="1:6" x14ac:dyDescent="0.35">
      <c r="A853" s="6">
        <v>44805</v>
      </c>
      <c r="B853" s="3">
        <v>0.91666666666666663</v>
      </c>
      <c r="C853" t="s">
        <v>25</v>
      </c>
      <c r="D853" t="s">
        <v>16</v>
      </c>
      <c r="E853">
        <v>0.67200000000000004</v>
      </c>
      <c r="F853" t="s">
        <v>6</v>
      </c>
    </row>
    <row r="854" spans="1:6" x14ac:dyDescent="0.35">
      <c r="A854" s="6">
        <v>44805</v>
      </c>
      <c r="B854" s="3">
        <v>0.91666666666666663</v>
      </c>
      <c r="C854" t="s">
        <v>20</v>
      </c>
      <c r="D854" t="s">
        <v>16</v>
      </c>
      <c r="E854">
        <v>0.51200000000000001</v>
      </c>
      <c r="F854" t="s">
        <v>6</v>
      </c>
    </row>
    <row r="855" spans="1:6" x14ac:dyDescent="0.35">
      <c r="A855" s="6">
        <v>44805</v>
      </c>
      <c r="B855" s="3">
        <v>0.91666666666666663</v>
      </c>
      <c r="C855" t="s">
        <v>24</v>
      </c>
      <c r="D855" t="s">
        <v>17</v>
      </c>
      <c r="E855">
        <v>0.70399999999999996</v>
      </c>
      <c r="F855" t="s">
        <v>6</v>
      </c>
    </row>
    <row r="856" spans="1:6" x14ac:dyDescent="0.35">
      <c r="A856" s="6">
        <v>44805</v>
      </c>
      <c r="B856" s="3">
        <v>0.91666666666666663</v>
      </c>
      <c r="C856" t="s">
        <v>21</v>
      </c>
      <c r="D856" t="s">
        <v>11</v>
      </c>
      <c r="E856">
        <v>0.624</v>
      </c>
      <c r="F856" t="s">
        <v>6</v>
      </c>
    </row>
    <row r="857" spans="1:6" x14ac:dyDescent="0.35">
      <c r="A857" s="6">
        <v>44805</v>
      </c>
      <c r="B857" s="3">
        <v>0.91666666666666663</v>
      </c>
      <c r="C857" t="s">
        <v>18</v>
      </c>
      <c r="D857" t="s">
        <v>34</v>
      </c>
      <c r="E857">
        <v>0.68300000000000005</v>
      </c>
      <c r="F857" t="s">
        <v>6</v>
      </c>
    </row>
    <row r="858" spans="1:6" x14ac:dyDescent="0.35">
      <c r="A858" s="6">
        <v>44805</v>
      </c>
      <c r="B858" s="3">
        <v>0.91666666666666663</v>
      </c>
      <c r="C858" t="s">
        <v>22</v>
      </c>
      <c r="D858" t="s">
        <v>7</v>
      </c>
      <c r="E858">
        <v>0.52700000000000002</v>
      </c>
      <c r="F858" t="s">
        <v>6</v>
      </c>
    </row>
    <row r="859" spans="1:6" x14ac:dyDescent="0.35">
      <c r="A859" s="6">
        <v>44805</v>
      </c>
      <c r="B859" s="3">
        <v>0.91666666666666663</v>
      </c>
      <c r="C859" t="s">
        <v>19</v>
      </c>
      <c r="D859" t="s">
        <v>15</v>
      </c>
      <c r="E859">
        <v>0.49</v>
      </c>
      <c r="F859" t="s">
        <v>6</v>
      </c>
    </row>
    <row r="860" spans="1:6" x14ac:dyDescent="0.35">
      <c r="A860" s="6">
        <v>44805</v>
      </c>
      <c r="B860" s="3">
        <v>0.9375</v>
      </c>
      <c r="C860" t="s">
        <v>23</v>
      </c>
      <c r="D860" t="s">
        <v>35</v>
      </c>
      <c r="E860">
        <v>0.629</v>
      </c>
      <c r="F860" t="s">
        <v>6</v>
      </c>
    </row>
    <row r="861" spans="1:6" x14ac:dyDescent="0.35">
      <c r="A861" s="6">
        <v>44805</v>
      </c>
      <c r="B861" s="3">
        <v>0.9375</v>
      </c>
      <c r="C861" t="s">
        <v>25</v>
      </c>
      <c r="D861" t="s">
        <v>16</v>
      </c>
      <c r="E861">
        <v>0.76800000000000002</v>
      </c>
      <c r="F861" t="s">
        <v>6</v>
      </c>
    </row>
    <row r="862" spans="1:6" x14ac:dyDescent="0.35">
      <c r="A862" s="6">
        <v>44805</v>
      </c>
      <c r="B862" s="3">
        <v>0.9375</v>
      </c>
      <c r="C862" t="s">
        <v>20</v>
      </c>
      <c r="D862" t="s">
        <v>16</v>
      </c>
      <c r="E862">
        <v>0.57199999999999995</v>
      </c>
      <c r="F862" t="s">
        <v>6</v>
      </c>
    </row>
    <row r="863" spans="1:6" x14ac:dyDescent="0.35">
      <c r="A863" s="6">
        <v>44805</v>
      </c>
      <c r="B863" s="3">
        <v>0.9375</v>
      </c>
      <c r="C863" t="s">
        <v>24</v>
      </c>
      <c r="D863" t="s">
        <v>17</v>
      </c>
      <c r="E863">
        <v>0.81499999999999995</v>
      </c>
      <c r="F863" t="s">
        <v>6</v>
      </c>
    </row>
    <row r="864" spans="1:6" x14ac:dyDescent="0.35">
      <c r="A864" s="6">
        <v>44805</v>
      </c>
      <c r="B864" s="3">
        <v>0.9375</v>
      </c>
      <c r="C864" t="s">
        <v>21</v>
      </c>
      <c r="D864" t="s">
        <v>11</v>
      </c>
      <c r="E864">
        <v>0.69399999999999995</v>
      </c>
      <c r="F864" t="s">
        <v>6</v>
      </c>
    </row>
    <row r="865" spans="1:6" x14ac:dyDescent="0.35">
      <c r="A865" s="6">
        <v>44805</v>
      </c>
      <c r="B865" s="3">
        <v>0.9375</v>
      </c>
      <c r="C865" t="s">
        <v>18</v>
      </c>
      <c r="D865" t="s">
        <v>34</v>
      </c>
      <c r="E865">
        <v>0.79900000000000004</v>
      </c>
      <c r="F865" t="s">
        <v>6</v>
      </c>
    </row>
    <row r="866" spans="1:6" x14ac:dyDescent="0.35">
      <c r="A866" s="6">
        <v>44805</v>
      </c>
      <c r="B866" s="3">
        <v>0.9375</v>
      </c>
      <c r="C866" t="s">
        <v>22</v>
      </c>
      <c r="D866" t="s">
        <v>7</v>
      </c>
      <c r="E866">
        <v>0.61799999999999999</v>
      </c>
      <c r="F866" t="s">
        <v>6</v>
      </c>
    </row>
    <row r="867" spans="1:6" x14ac:dyDescent="0.35">
      <c r="A867" s="6">
        <v>44805</v>
      </c>
      <c r="B867" s="3">
        <v>0.9375</v>
      </c>
      <c r="C867" t="s">
        <v>19</v>
      </c>
      <c r="D867" t="s">
        <v>15</v>
      </c>
      <c r="E867">
        <v>0.56100000000000005</v>
      </c>
      <c r="F867" t="s">
        <v>6</v>
      </c>
    </row>
    <row r="868" spans="1:6" x14ac:dyDescent="0.35">
      <c r="A868" s="6">
        <v>44805</v>
      </c>
      <c r="B868" s="3">
        <v>0.95833333333333337</v>
      </c>
      <c r="C868" t="s">
        <v>23</v>
      </c>
      <c r="D868" t="s">
        <v>35</v>
      </c>
      <c r="E868">
        <v>0.66800000000000004</v>
      </c>
      <c r="F868" t="s">
        <v>6</v>
      </c>
    </row>
    <row r="869" spans="1:6" x14ac:dyDescent="0.35">
      <c r="A869" s="6">
        <v>44805</v>
      </c>
      <c r="B869" s="3">
        <v>0.95833333333333337</v>
      </c>
      <c r="C869" t="s">
        <v>25</v>
      </c>
      <c r="D869" t="s">
        <v>16</v>
      </c>
      <c r="E869">
        <v>0.80400000000000005</v>
      </c>
      <c r="F869" t="s">
        <v>6</v>
      </c>
    </row>
    <row r="870" spans="1:6" x14ac:dyDescent="0.35">
      <c r="A870" s="6">
        <v>44805</v>
      </c>
      <c r="B870" s="3">
        <v>0.95833333333333337</v>
      </c>
      <c r="C870" t="s">
        <v>20</v>
      </c>
      <c r="D870" t="s">
        <v>16</v>
      </c>
      <c r="E870">
        <v>0.59099999999999997</v>
      </c>
      <c r="F870" t="s">
        <v>6</v>
      </c>
    </row>
    <row r="871" spans="1:6" x14ac:dyDescent="0.35">
      <c r="A871" s="6">
        <v>44805</v>
      </c>
      <c r="B871" s="3">
        <v>0.95833333333333337</v>
      </c>
      <c r="C871" t="s">
        <v>24</v>
      </c>
      <c r="D871" t="s">
        <v>17</v>
      </c>
      <c r="E871">
        <v>0.85899999999999999</v>
      </c>
      <c r="F871" t="s">
        <v>6</v>
      </c>
    </row>
    <row r="872" spans="1:6" x14ac:dyDescent="0.35">
      <c r="A872" s="6">
        <v>44805</v>
      </c>
      <c r="B872" s="3">
        <v>0.95833333333333337</v>
      </c>
      <c r="C872" t="s">
        <v>21</v>
      </c>
      <c r="D872" t="s">
        <v>11</v>
      </c>
      <c r="E872">
        <v>0.71099999999999997</v>
      </c>
      <c r="F872" t="s">
        <v>6</v>
      </c>
    </row>
    <row r="873" spans="1:6" x14ac:dyDescent="0.35">
      <c r="A873" s="6">
        <v>44805</v>
      </c>
      <c r="B873" s="3">
        <v>0.95833333333333337</v>
      </c>
      <c r="C873" t="s">
        <v>18</v>
      </c>
      <c r="D873" t="s">
        <v>34</v>
      </c>
      <c r="E873">
        <v>0.85699999999999998</v>
      </c>
      <c r="F873" t="s">
        <v>6</v>
      </c>
    </row>
    <row r="874" spans="1:6" x14ac:dyDescent="0.35">
      <c r="A874" s="6">
        <v>44805</v>
      </c>
      <c r="B874" s="3">
        <v>0.95833333333333337</v>
      </c>
      <c r="C874" t="s">
        <v>22</v>
      </c>
      <c r="D874" t="s">
        <v>7</v>
      </c>
      <c r="E874">
        <v>0.66100000000000003</v>
      </c>
      <c r="F874" t="s">
        <v>6</v>
      </c>
    </row>
    <row r="875" spans="1:6" x14ac:dyDescent="0.35">
      <c r="A875" s="6">
        <v>44805</v>
      </c>
      <c r="B875" s="3">
        <v>0.95833333333333337</v>
      </c>
      <c r="C875" t="s">
        <v>19</v>
      </c>
      <c r="D875" t="s">
        <v>15</v>
      </c>
      <c r="E875">
        <v>0.59799999999999998</v>
      </c>
      <c r="F875" t="s">
        <v>6</v>
      </c>
    </row>
    <row r="876" spans="1:6" x14ac:dyDescent="0.35">
      <c r="A876" s="6">
        <v>44805</v>
      </c>
      <c r="B876" s="3">
        <v>0.97916666666666663</v>
      </c>
      <c r="C876" t="s">
        <v>23</v>
      </c>
      <c r="D876" t="s">
        <v>35</v>
      </c>
      <c r="E876">
        <v>0.68500000000000005</v>
      </c>
      <c r="F876" t="s">
        <v>6</v>
      </c>
    </row>
    <row r="877" spans="1:6" x14ac:dyDescent="0.35">
      <c r="A877" s="6">
        <v>44805</v>
      </c>
      <c r="B877" s="3">
        <v>0.97916666666666663</v>
      </c>
      <c r="C877" t="s">
        <v>25</v>
      </c>
      <c r="D877" t="s">
        <v>16</v>
      </c>
      <c r="E877">
        <v>0.81599999999999995</v>
      </c>
      <c r="F877" t="s">
        <v>6</v>
      </c>
    </row>
    <row r="878" spans="1:6" x14ac:dyDescent="0.35">
      <c r="A878" s="6">
        <v>44805</v>
      </c>
      <c r="B878" s="3">
        <v>0.97916666666666663</v>
      </c>
      <c r="C878" t="s">
        <v>20</v>
      </c>
      <c r="D878" t="s">
        <v>16</v>
      </c>
      <c r="E878">
        <v>0.59699999999999998</v>
      </c>
      <c r="F878" t="s">
        <v>6</v>
      </c>
    </row>
    <row r="879" spans="1:6" x14ac:dyDescent="0.35">
      <c r="A879" s="6">
        <v>44805</v>
      </c>
      <c r="B879" s="3">
        <v>0.97916666666666663</v>
      </c>
      <c r="C879" t="s">
        <v>24</v>
      </c>
      <c r="D879" t="s">
        <v>17</v>
      </c>
      <c r="E879">
        <v>0.875</v>
      </c>
      <c r="F879" t="s">
        <v>6</v>
      </c>
    </row>
    <row r="880" spans="1:6" x14ac:dyDescent="0.35">
      <c r="A880" s="6">
        <v>44805</v>
      </c>
      <c r="B880" s="3">
        <v>0.97916666666666663</v>
      </c>
      <c r="C880" t="s">
        <v>21</v>
      </c>
      <c r="D880" t="s">
        <v>11</v>
      </c>
      <c r="E880">
        <v>0.71499999999999997</v>
      </c>
      <c r="F880" t="s">
        <v>6</v>
      </c>
    </row>
    <row r="881" spans="1:6" x14ac:dyDescent="0.35">
      <c r="A881" s="6">
        <v>44805</v>
      </c>
      <c r="B881" s="3">
        <v>0.97916666666666663</v>
      </c>
      <c r="C881" t="s">
        <v>18</v>
      </c>
      <c r="D881" t="s">
        <v>34</v>
      </c>
      <c r="E881">
        <v>0.88300000000000001</v>
      </c>
      <c r="F881" t="s">
        <v>6</v>
      </c>
    </row>
    <row r="882" spans="1:6" x14ac:dyDescent="0.35">
      <c r="A882" s="6">
        <v>44805</v>
      </c>
      <c r="B882" s="3">
        <v>0.97916666666666663</v>
      </c>
      <c r="C882" t="s">
        <v>22</v>
      </c>
      <c r="D882" t="s">
        <v>7</v>
      </c>
      <c r="E882">
        <v>0.68100000000000005</v>
      </c>
      <c r="F882" t="s">
        <v>6</v>
      </c>
    </row>
    <row r="883" spans="1:6" x14ac:dyDescent="0.35">
      <c r="A883" s="6">
        <v>44805</v>
      </c>
      <c r="B883" s="3">
        <v>0.97916666666666663</v>
      </c>
      <c r="C883" t="s">
        <v>19</v>
      </c>
      <c r="D883" t="s">
        <v>15</v>
      </c>
      <c r="E883">
        <v>0.61699999999999999</v>
      </c>
      <c r="F883" t="s">
        <v>6</v>
      </c>
    </row>
    <row r="884" spans="1:6" x14ac:dyDescent="0.35">
      <c r="A884" s="6">
        <v>44806</v>
      </c>
      <c r="B884" s="3">
        <v>0</v>
      </c>
      <c r="C884" t="s">
        <v>23</v>
      </c>
      <c r="D884" t="s">
        <v>35</v>
      </c>
      <c r="E884">
        <v>0.69599999999999995</v>
      </c>
      <c r="F884" t="s">
        <v>6</v>
      </c>
    </row>
    <row r="885" spans="1:6" x14ac:dyDescent="0.35">
      <c r="A885" s="6">
        <v>44806</v>
      </c>
      <c r="B885" s="3">
        <v>0</v>
      </c>
      <c r="C885" t="s">
        <v>25</v>
      </c>
      <c r="D885" t="s">
        <v>16</v>
      </c>
      <c r="E885">
        <v>0.82399999999999995</v>
      </c>
      <c r="F885" t="s">
        <v>6</v>
      </c>
    </row>
    <row r="886" spans="1:6" x14ac:dyDescent="0.35">
      <c r="A886" s="6">
        <v>44806</v>
      </c>
      <c r="B886" s="3">
        <v>0</v>
      </c>
      <c r="C886" t="s">
        <v>20</v>
      </c>
      <c r="D886" t="s">
        <v>16</v>
      </c>
      <c r="E886">
        <v>0.6</v>
      </c>
      <c r="F886" t="s">
        <v>6</v>
      </c>
    </row>
    <row r="887" spans="1:6" x14ac:dyDescent="0.35">
      <c r="A887" s="6">
        <v>44806</v>
      </c>
      <c r="B887" s="3">
        <v>0</v>
      </c>
      <c r="C887" t="s">
        <v>24</v>
      </c>
      <c r="D887" t="s">
        <v>17</v>
      </c>
      <c r="E887">
        <v>0.88800000000000001</v>
      </c>
      <c r="F887" t="s">
        <v>6</v>
      </c>
    </row>
    <row r="888" spans="1:6" x14ac:dyDescent="0.35">
      <c r="A888" s="6">
        <v>44806</v>
      </c>
      <c r="B888" s="3">
        <v>0</v>
      </c>
      <c r="C888" t="s">
        <v>21</v>
      </c>
      <c r="D888" t="s">
        <v>11</v>
      </c>
      <c r="E888">
        <v>0.72299999999999998</v>
      </c>
      <c r="F888" t="s">
        <v>6</v>
      </c>
    </row>
    <row r="889" spans="1:6" x14ac:dyDescent="0.35">
      <c r="A889" s="6">
        <v>44806</v>
      </c>
      <c r="B889" s="3">
        <v>0</v>
      </c>
      <c r="C889" t="s">
        <v>18</v>
      </c>
      <c r="D889" t="s">
        <v>34</v>
      </c>
      <c r="E889">
        <v>0.89700000000000002</v>
      </c>
      <c r="F889" t="s">
        <v>6</v>
      </c>
    </row>
    <row r="890" spans="1:6" x14ac:dyDescent="0.35">
      <c r="A890" s="6">
        <v>44806</v>
      </c>
      <c r="B890" s="3">
        <v>0</v>
      </c>
      <c r="C890" t="s">
        <v>22</v>
      </c>
      <c r="D890" t="s">
        <v>7</v>
      </c>
      <c r="E890">
        <v>0.69399999999999995</v>
      </c>
      <c r="F890" t="s">
        <v>6</v>
      </c>
    </row>
    <row r="891" spans="1:6" x14ac:dyDescent="0.35">
      <c r="A891" s="6">
        <v>44806</v>
      </c>
      <c r="B891" s="3">
        <v>0</v>
      </c>
      <c r="C891" t="s">
        <v>19</v>
      </c>
      <c r="D891" t="s">
        <v>15</v>
      </c>
      <c r="E891">
        <v>0.625</v>
      </c>
      <c r="F891" t="s">
        <v>6</v>
      </c>
    </row>
    <row r="892" spans="1:6" x14ac:dyDescent="0.35">
      <c r="A892" s="6">
        <v>44806</v>
      </c>
      <c r="B892" s="3">
        <v>2.0833333333333332E-2</v>
      </c>
      <c r="C892" t="s">
        <v>23</v>
      </c>
      <c r="D892" t="s">
        <v>35</v>
      </c>
      <c r="E892">
        <v>0.70399999999999996</v>
      </c>
      <c r="F892" t="s">
        <v>6</v>
      </c>
    </row>
    <row r="893" spans="1:6" x14ac:dyDescent="0.35">
      <c r="A893" s="6">
        <v>44806</v>
      </c>
      <c r="B893" s="3">
        <v>2.0833333333333332E-2</v>
      </c>
      <c r="C893" t="s">
        <v>25</v>
      </c>
      <c r="D893" t="s">
        <v>16</v>
      </c>
      <c r="E893">
        <v>0.82899999999999996</v>
      </c>
      <c r="F893" t="s">
        <v>6</v>
      </c>
    </row>
    <row r="894" spans="1:6" x14ac:dyDescent="0.35">
      <c r="A894" s="6">
        <v>44806</v>
      </c>
      <c r="B894" s="3">
        <v>2.0833333333333332E-2</v>
      </c>
      <c r="C894" t="s">
        <v>20</v>
      </c>
      <c r="D894" t="s">
        <v>16</v>
      </c>
      <c r="E894">
        <v>0.60099999999999998</v>
      </c>
      <c r="F894" t="s">
        <v>6</v>
      </c>
    </row>
    <row r="895" spans="1:6" x14ac:dyDescent="0.35">
      <c r="A895" s="6">
        <v>44806</v>
      </c>
      <c r="B895" s="3">
        <v>2.0833333333333332E-2</v>
      </c>
      <c r="C895" t="s">
        <v>24</v>
      </c>
      <c r="D895" t="s">
        <v>17</v>
      </c>
      <c r="E895">
        <v>0.89900000000000002</v>
      </c>
      <c r="F895" t="s">
        <v>6</v>
      </c>
    </row>
    <row r="896" spans="1:6" x14ac:dyDescent="0.35">
      <c r="A896" s="6">
        <v>44806</v>
      </c>
      <c r="B896" s="3">
        <v>2.0833333333333332E-2</v>
      </c>
      <c r="C896" t="s">
        <v>21</v>
      </c>
      <c r="D896" t="s">
        <v>11</v>
      </c>
      <c r="E896">
        <v>0.72499999999999998</v>
      </c>
      <c r="F896" t="s">
        <v>6</v>
      </c>
    </row>
    <row r="897" spans="1:6" x14ac:dyDescent="0.35">
      <c r="A897" s="6">
        <v>44806</v>
      </c>
      <c r="B897" s="3">
        <v>2.0833333333333332E-2</v>
      </c>
      <c r="C897" t="s">
        <v>18</v>
      </c>
      <c r="D897" t="s">
        <v>34</v>
      </c>
      <c r="E897">
        <v>0.90500000000000003</v>
      </c>
      <c r="F897" t="s">
        <v>6</v>
      </c>
    </row>
    <row r="898" spans="1:6" x14ac:dyDescent="0.35">
      <c r="A898" s="6">
        <v>44806</v>
      </c>
      <c r="B898" s="3">
        <v>2.0833333333333332E-2</v>
      </c>
      <c r="C898" t="s">
        <v>22</v>
      </c>
      <c r="D898" t="s">
        <v>7</v>
      </c>
      <c r="E898">
        <v>0.70299999999999996</v>
      </c>
      <c r="F898" t="s">
        <v>6</v>
      </c>
    </row>
    <row r="899" spans="1:6" x14ac:dyDescent="0.35">
      <c r="A899" s="6">
        <v>44806</v>
      </c>
      <c r="B899" s="3">
        <v>2.0833333333333332E-2</v>
      </c>
      <c r="C899" t="s">
        <v>19</v>
      </c>
      <c r="D899" t="s">
        <v>15</v>
      </c>
      <c r="E899">
        <v>0.628</v>
      </c>
      <c r="F899" t="s">
        <v>6</v>
      </c>
    </row>
    <row r="900" spans="1:6" x14ac:dyDescent="0.35">
      <c r="A900" s="6">
        <v>44806</v>
      </c>
      <c r="B900" s="3">
        <v>4.1666666666666664E-2</v>
      </c>
      <c r="C900" t="s">
        <v>23</v>
      </c>
      <c r="D900" t="s">
        <v>35</v>
      </c>
      <c r="E900">
        <v>0.71099999999999997</v>
      </c>
      <c r="F900" t="s">
        <v>6</v>
      </c>
    </row>
    <row r="901" spans="1:6" x14ac:dyDescent="0.35">
      <c r="A901" s="6">
        <v>44806</v>
      </c>
      <c r="B901" s="3">
        <v>4.1666666666666664E-2</v>
      </c>
      <c r="C901" t="s">
        <v>25</v>
      </c>
      <c r="D901" t="s">
        <v>16</v>
      </c>
      <c r="E901">
        <v>0.83199999999999996</v>
      </c>
      <c r="F901" t="s">
        <v>6</v>
      </c>
    </row>
    <row r="902" spans="1:6" x14ac:dyDescent="0.35">
      <c r="A902" s="6">
        <v>44806</v>
      </c>
      <c r="B902" s="3">
        <v>4.1666666666666664E-2</v>
      </c>
      <c r="C902" t="s">
        <v>20</v>
      </c>
      <c r="D902" t="s">
        <v>16</v>
      </c>
      <c r="E902">
        <v>0.60399999999999998</v>
      </c>
      <c r="F902" t="s">
        <v>6</v>
      </c>
    </row>
    <row r="903" spans="1:6" x14ac:dyDescent="0.35">
      <c r="A903" s="6">
        <v>44806</v>
      </c>
      <c r="B903" s="3">
        <v>4.1666666666666664E-2</v>
      </c>
      <c r="C903" t="s">
        <v>24</v>
      </c>
      <c r="D903" t="s">
        <v>17</v>
      </c>
      <c r="E903">
        <v>0.91</v>
      </c>
      <c r="F903" t="s">
        <v>6</v>
      </c>
    </row>
    <row r="904" spans="1:6" x14ac:dyDescent="0.35">
      <c r="A904" s="6">
        <v>44806</v>
      </c>
      <c r="B904" s="3">
        <v>4.1666666666666664E-2</v>
      </c>
      <c r="C904" t="s">
        <v>21</v>
      </c>
      <c r="D904" t="s">
        <v>11</v>
      </c>
      <c r="E904">
        <v>0.72899999999999998</v>
      </c>
      <c r="F904" t="s">
        <v>6</v>
      </c>
    </row>
    <row r="905" spans="1:6" x14ac:dyDescent="0.35">
      <c r="A905" s="6">
        <v>44806</v>
      </c>
      <c r="B905" s="3">
        <v>4.1666666666666664E-2</v>
      </c>
      <c r="C905" t="s">
        <v>18</v>
      </c>
      <c r="D905" t="s">
        <v>34</v>
      </c>
      <c r="E905">
        <v>0.91</v>
      </c>
      <c r="F905" t="s">
        <v>6</v>
      </c>
    </row>
    <row r="906" spans="1:6" x14ac:dyDescent="0.35">
      <c r="A906" s="6">
        <v>44806</v>
      </c>
      <c r="B906" s="3">
        <v>4.1666666666666664E-2</v>
      </c>
      <c r="C906" t="s">
        <v>22</v>
      </c>
      <c r="D906" t="s">
        <v>7</v>
      </c>
      <c r="E906">
        <v>0.70899999999999996</v>
      </c>
      <c r="F906" t="s">
        <v>6</v>
      </c>
    </row>
    <row r="907" spans="1:6" x14ac:dyDescent="0.35">
      <c r="A907" s="6">
        <v>44806</v>
      </c>
      <c r="B907" s="3">
        <v>4.1666666666666664E-2</v>
      </c>
      <c r="C907" t="s">
        <v>19</v>
      </c>
      <c r="D907" t="s">
        <v>15</v>
      </c>
      <c r="E907">
        <v>0.63</v>
      </c>
      <c r="F907" t="s">
        <v>6</v>
      </c>
    </row>
    <row r="908" spans="1:6" x14ac:dyDescent="0.35">
      <c r="A908" s="6">
        <v>44806</v>
      </c>
      <c r="B908" s="3">
        <v>6.25E-2</v>
      </c>
      <c r="C908" t="s">
        <v>23</v>
      </c>
      <c r="D908" t="s">
        <v>35</v>
      </c>
      <c r="E908">
        <v>0.71599999999999997</v>
      </c>
      <c r="F908" t="s">
        <v>6</v>
      </c>
    </row>
    <row r="909" spans="1:6" x14ac:dyDescent="0.35">
      <c r="A909" s="6">
        <v>44806</v>
      </c>
      <c r="B909" s="3">
        <v>6.25E-2</v>
      </c>
      <c r="C909" t="s">
        <v>25</v>
      </c>
      <c r="D909" t="s">
        <v>16</v>
      </c>
      <c r="E909">
        <v>0.83399999999999996</v>
      </c>
      <c r="F909" t="s">
        <v>6</v>
      </c>
    </row>
    <row r="910" spans="1:6" x14ac:dyDescent="0.35">
      <c r="A910" s="6">
        <v>44806</v>
      </c>
      <c r="B910" s="3">
        <v>6.25E-2</v>
      </c>
      <c r="C910" t="s">
        <v>20</v>
      </c>
      <c r="D910" t="s">
        <v>16</v>
      </c>
      <c r="E910">
        <v>0.60699999999999998</v>
      </c>
      <c r="F910" t="s">
        <v>6</v>
      </c>
    </row>
    <row r="911" spans="1:6" x14ac:dyDescent="0.35">
      <c r="A911" s="6">
        <v>44806</v>
      </c>
      <c r="B911" s="3">
        <v>6.25E-2</v>
      </c>
      <c r="C911" t="s">
        <v>24</v>
      </c>
      <c r="D911" t="s">
        <v>17</v>
      </c>
      <c r="E911">
        <v>0.91900000000000004</v>
      </c>
      <c r="F911" t="s">
        <v>6</v>
      </c>
    </row>
    <row r="912" spans="1:6" x14ac:dyDescent="0.35">
      <c r="A912" s="6">
        <v>44806</v>
      </c>
      <c r="B912" s="3">
        <v>6.25E-2</v>
      </c>
      <c r="C912" t="s">
        <v>21</v>
      </c>
      <c r="D912" t="s">
        <v>11</v>
      </c>
      <c r="E912">
        <v>0.73099999999999998</v>
      </c>
      <c r="F912" t="s">
        <v>6</v>
      </c>
    </row>
    <row r="913" spans="1:6" x14ac:dyDescent="0.35">
      <c r="A913" s="6">
        <v>44806</v>
      </c>
      <c r="B913" s="3">
        <v>6.25E-2</v>
      </c>
      <c r="C913" t="s">
        <v>18</v>
      </c>
      <c r="D913" t="s">
        <v>34</v>
      </c>
      <c r="E913">
        <v>0.91400000000000003</v>
      </c>
      <c r="F913" t="s">
        <v>6</v>
      </c>
    </row>
    <row r="914" spans="1:6" x14ac:dyDescent="0.35">
      <c r="A914" s="6">
        <v>44806</v>
      </c>
      <c r="B914" s="3">
        <v>6.25E-2</v>
      </c>
      <c r="C914" t="s">
        <v>22</v>
      </c>
      <c r="D914" t="s">
        <v>7</v>
      </c>
      <c r="E914">
        <v>0.71399999999999997</v>
      </c>
      <c r="F914" t="s">
        <v>6</v>
      </c>
    </row>
    <row r="915" spans="1:6" x14ac:dyDescent="0.35">
      <c r="A915" s="6">
        <v>44806</v>
      </c>
      <c r="B915" s="3">
        <v>6.25E-2</v>
      </c>
      <c r="C915" t="s">
        <v>19</v>
      </c>
      <c r="D915" t="s">
        <v>15</v>
      </c>
      <c r="E915">
        <v>0.63</v>
      </c>
      <c r="F915" t="s">
        <v>6</v>
      </c>
    </row>
    <row r="916" spans="1:6" x14ac:dyDescent="0.35">
      <c r="A916" s="6">
        <v>44806</v>
      </c>
      <c r="B916" s="3">
        <v>8.3333333333333329E-2</v>
      </c>
      <c r="C916" t="s">
        <v>23</v>
      </c>
      <c r="D916" t="s">
        <v>35</v>
      </c>
      <c r="E916">
        <v>0.72</v>
      </c>
      <c r="F916" t="s">
        <v>6</v>
      </c>
    </row>
    <row r="917" spans="1:6" x14ac:dyDescent="0.35">
      <c r="A917" s="6">
        <v>44806</v>
      </c>
      <c r="B917" s="3">
        <v>8.3333333333333329E-2</v>
      </c>
      <c r="C917" t="s">
        <v>25</v>
      </c>
      <c r="D917" t="s">
        <v>16</v>
      </c>
      <c r="E917">
        <v>0.83499999999999996</v>
      </c>
      <c r="F917" t="s">
        <v>6</v>
      </c>
    </row>
    <row r="918" spans="1:6" x14ac:dyDescent="0.35">
      <c r="A918" s="6">
        <v>44806</v>
      </c>
      <c r="B918" s="3">
        <v>8.3333333333333329E-2</v>
      </c>
      <c r="C918" t="s">
        <v>20</v>
      </c>
      <c r="D918" t="s">
        <v>16</v>
      </c>
      <c r="E918">
        <v>0.60899999999999999</v>
      </c>
      <c r="F918" t="s">
        <v>6</v>
      </c>
    </row>
    <row r="919" spans="1:6" x14ac:dyDescent="0.35">
      <c r="A919" s="6">
        <v>44806</v>
      </c>
      <c r="B919" s="3">
        <v>8.3333333333333329E-2</v>
      </c>
      <c r="C919" t="s">
        <v>24</v>
      </c>
      <c r="D919" t="s">
        <v>17</v>
      </c>
      <c r="E919">
        <v>0.92800000000000005</v>
      </c>
      <c r="F919" t="s">
        <v>6</v>
      </c>
    </row>
    <row r="920" spans="1:6" x14ac:dyDescent="0.35">
      <c r="A920" s="6">
        <v>44806</v>
      </c>
      <c r="B920" s="3">
        <v>8.3333333333333329E-2</v>
      </c>
      <c r="C920" t="s">
        <v>21</v>
      </c>
      <c r="D920" t="s">
        <v>11</v>
      </c>
      <c r="E920">
        <v>0.73299999999999998</v>
      </c>
      <c r="F920" t="s">
        <v>6</v>
      </c>
    </row>
    <row r="921" spans="1:6" x14ac:dyDescent="0.35">
      <c r="A921" s="6">
        <v>44806</v>
      </c>
      <c r="B921" s="3">
        <v>8.3333333333333329E-2</v>
      </c>
      <c r="C921" t="s">
        <v>18</v>
      </c>
      <c r="D921" t="s">
        <v>34</v>
      </c>
      <c r="E921">
        <v>0.91700000000000004</v>
      </c>
      <c r="F921" t="s">
        <v>6</v>
      </c>
    </row>
    <row r="922" spans="1:6" x14ac:dyDescent="0.35">
      <c r="A922" s="6">
        <v>44806</v>
      </c>
      <c r="B922" s="3">
        <v>8.3333333333333329E-2</v>
      </c>
      <c r="C922" t="s">
        <v>22</v>
      </c>
      <c r="D922" t="s">
        <v>7</v>
      </c>
      <c r="E922">
        <v>0.71799999999999997</v>
      </c>
      <c r="F922" t="s">
        <v>6</v>
      </c>
    </row>
    <row r="923" spans="1:6" x14ac:dyDescent="0.35">
      <c r="A923" s="6">
        <v>44806</v>
      </c>
      <c r="B923" s="3">
        <v>8.3333333333333329E-2</v>
      </c>
      <c r="C923" t="s">
        <v>19</v>
      </c>
      <c r="D923" t="s">
        <v>15</v>
      </c>
      <c r="E923">
        <v>0.63100000000000001</v>
      </c>
      <c r="F923" t="s">
        <v>6</v>
      </c>
    </row>
    <row r="924" spans="1:6" x14ac:dyDescent="0.35">
      <c r="A924" s="6">
        <v>44806</v>
      </c>
      <c r="B924" s="3">
        <v>0.10416666666666667</v>
      </c>
      <c r="C924" t="s">
        <v>23</v>
      </c>
      <c r="D924" t="s">
        <v>35</v>
      </c>
      <c r="E924">
        <v>0.72299999999999998</v>
      </c>
      <c r="F924" t="s">
        <v>6</v>
      </c>
    </row>
    <row r="925" spans="1:6" x14ac:dyDescent="0.35">
      <c r="A925" s="6">
        <v>44806</v>
      </c>
      <c r="B925" s="3">
        <v>0.10416666666666667</v>
      </c>
      <c r="C925" t="s">
        <v>25</v>
      </c>
      <c r="D925" t="s">
        <v>16</v>
      </c>
      <c r="E925">
        <v>0.83699999999999997</v>
      </c>
      <c r="F925" t="s">
        <v>6</v>
      </c>
    </row>
    <row r="926" spans="1:6" x14ac:dyDescent="0.35">
      <c r="A926" s="6">
        <v>44806</v>
      </c>
      <c r="B926" s="3">
        <v>0.10416666666666667</v>
      </c>
      <c r="C926" t="s">
        <v>20</v>
      </c>
      <c r="D926" t="s">
        <v>16</v>
      </c>
      <c r="E926">
        <v>0.61199999999999999</v>
      </c>
      <c r="F926" t="s">
        <v>6</v>
      </c>
    </row>
    <row r="927" spans="1:6" x14ac:dyDescent="0.35">
      <c r="A927" s="6">
        <v>44806</v>
      </c>
      <c r="B927" s="3">
        <v>0.10416666666666667</v>
      </c>
      <c r="C927" t="s">
        <v>24</v>
      </c>
      <c r="D927" t="s">
        <v>17</v>
      </c>
      <c r="E927">
        <v>0.93300000000000005</v>
      </c>
      <c r="F927" t="s">
        <v>6</v>
      </c>
    </row>
    <row r="928" spans="1:6" x14ac:dyDescent="0.35">
      <c r="A928" s="6">
        <v>44806</v>
      </c>
      <c r="B928" s="3">
        <v>0.10416666666666667</v>
      </c>
      <c r="C928" t="s">
        <v>21</v>
      </c>
      <c r="D928" t="s">
        <v>11</v>
      </c>
      <c r="E928">
        <v>0.73499999999999999</v>
      </c>
      <c r="F928" t="s">
        <v>6</v>
      </c>
    </row>
    <row r="929" spans="1:6" x14ac:dyDescent="0.35">
      <c r="A929" s="6">
        <v>44806</v>
      </c>
      <c r="B929" s="3">
        <v>0.10416666666666667</v>
      </c>
      <c r="C929" t="s">
        <v>18</v>
      </c>
      <c r="D929" t="s">
        <v>34</v>
      </c>
      <c r="E929">
        <v>0.92</v>
      </c>
      <c r="F929" t="s">
        <v>6</v>
      </c>
    </row>
    <row r="930" spans="1:6" x14ac:dyDescent="0.35">
      <c r="A930" s="6">
        <v>44806</v>
      </c>
      <c r="B930" s="3">
        <v>0.10416666666666667</v>
      </c>
      <c r="C930" t="s">
        <v>22</v>
      </c>
      <c r="D930" t="s">
        <v>7</v>
      </c>
      <c r="E930">
        <v>0.72099999999999997</v>
      </c>
      <c r="F930" t="s">
        <v>6</v>
      </c>
    </row>
    <row r="931" spans="1:6" x14ac:dyDescent="0.35">
      <c r="A931" s="6">
        <v>44806</v>
      </c>
      <c r="B931" s="3">
        <v>0.10416666666666667</v>
      </c>
      <c r="C931" t="s">
        <v>19</v>
      </c>
      <c r="D931" t="s">
        <v>15</v>
      </c>
      <c r="E931">
        <v>0.63</v>
      </c>
      <c r="F931" t="s">
        <v>6</v>
      </c>
    </row>
    <row r="932" spans="1:6" x14ac:dyDescent="0.35">
      <c r="A932" s="6">
        <v>44806</v>
      </c>
      <c r="B932" s="3">
        <v>0.125</v>
      </c>
      <c r="C932" t="s">
        <v>23</v>
      </c>
      <c r="D932" t="s">
        <v>35</v>
      </c>
      <c r="E932">
        <v>0.72499999999999998</v>
      </c>
      <c r="F932" t="s">
        <v>6</v>
      </c>
    </row>
    <row r="933" spans="1:6" x14ac:dyDescent="0.35">
      <c r="A933" s="6">
        <v>44806</v>
      </c>
      <c r="B933" s="3">
        <v>0.125</v>
      </c>
      <c r="C933" t="s">
        <v>25</v>
      </c>
      <c r="D933" t="s">
        <v>16</v>
      </c>
      <c r="E933">
        <v>0.83699999999999997</v>
      </c>
      <c r="F933" t="s">
        <v>6</v>
      </c>
    </row>
    <row r="934" spans="1:6" x14ac:dyDescent="0.35">
      <c r="A934" s="6">
        <v>44806</v>
      </c>
      <c r="B934" s="3">
        <v>0.125</v>
      </c>
      <c r="C934" t="s">
        <v>20</v>
      </c>
      <c r="D934" t="s">
        <v>16</v>
      </c>
      <c r="E934">
        <v>0.61199999999999999</v>
      </c>
      <c r="F934" t="s">
        <v>6</v>
      </c>
    </row>
    <row r="935" spans="1:6" x14ac:dyDescent="0.35">
      <c r="A935" s="6">
        <v>44806</v>
      </c>
      <c r="B935" s="3">
        <v>0.125</v>
      </c>
      <c r="C935" t="s">
        <v>24</v>
      </c>
      <c r="D935" t="s">
        <v>17</v>
      </c>
      <c r="E935">
        <v>0.93600000000000005</v>
      </c>
      <c r="F935" t="s">
        <v>6</v>
      </c>
    </row>
    <row r="936" spans="1:6" x14ac:dyDescent="0.35">
      <c r="A936" s="6">
        <v>44806</v>
      </c>
      <c r="B936" s="3">
        <v>0.125</v>
      </c>
      <c r="C936" t="s">
        <v>21</v>
      </c>
      <c r="D936" t="s">
        <v>11</v>
      </c>
      <c r="E936">
        <v>0.73499999999999999</v>
      </c>
      <c r="F936" t="s">
        <v>6</v>
      </c>
    </row>
    <row r="937" spans="1:6" x14ac:dyDescent="0.35">
      <c r="A937" s="6">
        <v>44806</v>
      </c>
      <c r="B937" s="3">
        <v>0.125</v>
      </c>
      <c r="C937" t="s">
        <v>18</v>
      </c>
      <c r="D937" t="s">
        <v>34</v>
      </c>
      <c r="E937">
        <v>0.92100000000000004</v>
      </c>
      <c r="F937" t="s">
        <v>6</v>
      </c>
    </row>
    <row r="938" spans="1:6" x14ac:dyDescent="0.35">
      <c r="A938" s="6">
        <v>44806</v>
      </c>
      <c r="B938" s="3">
        <v>0.125</v>
      </c>
      <c r="C938" t="s">
        <v>22</v>
      </c>
      <c r="D938" t="s">
        <v>7</v>
      </c>
      <c r="E938">
        <v>0.72299999999999998</v>
      </c>
      <c r="F938" t="s">
        <v>6</v>
      </c>
    </row>
    <row r="939" spans="1:6" x14ac:dyDescent="0.35">
      <c r="A939" s="6">
        <v>44806</v>
      </c>
      <c r="B939" s="3">
        <v>0.125</v>
      </c>
      <c r="C939" t="s">
        <v>19</v>
      </c>
      <c r="D939" t="s">
        <v>15</v>
      </c>
      <c r="E939">
        <v>0.629</v>
      </c>
      <c r="F939" t="s">
        <v>6</v>
      </c>
    </row>
    <row r="940" spans="1:6" x14ac:dyDescent="0.35">
      <c r="A940" s="6">
        <v>44806</v>
      </c>
      <c r="B940" s="3">
        <v>0.14583333333333334</v>
      </c>
      <c r="C940" t="s">
        <v>23</v>
      </c>
      <c r="D940" t="s">
        <v>35</v>
      </c>
      <c r="E940">
        <v>0.72599999999999998</v>
      </c>
      <c r="F940" t="s">
        <v>6</v>
      </c>
    </row>
    <row r="941" spans="1:6" x14ac:dyDescent="0.35">
      <c r="A941" s="6">
        <v>44806</v>
      </c>
      <c r="B941" s="3">
        <v>0.14583333333333334</v>
      </c>
      <c r="C941" t="s">
        <v>25</v>
      </c>
      <c r="D941" t="s">
        <v>16</v>
      </c>
      <c r="E941">
        <v>0.83699999999999997</v>
      </c>
      <c r="F941" t="s">
        <v>6</v>
      </c>
    </row>
    <row r="942" spans="1:6" x14ac:dyDescent="0.35">
      <c r="A942" s="6">
        <v>44806</v>
      </c>
      <c r="B942" s="3">
        <v>0.14583333333333334</v>
      </c>
      <c r="C942" t="s">
        <v>20</v>
      </c>
      <c r="D942" t="s">
        <v>16</v>
      </c>
      <c r="E942">
        <v>0.61399999999999999</v>
      </c>
      <c r="F942" t="s">
        <v>6</v>
      </c>
    </row>
    <row r="943" spans="1:6" x14ac:dyDescent="0.35">
      <c r="A943" s="6">
        <v>44806</v>
      </c>
      <c r="B943" s="3">
        <v>0.14583333333333334</v>
      </c>
      <c r="C943" t="s">
        <v>24</v>
      </c>
      <c r="D943" t="s">
        <v>17</v>
      </c>
      <c r="E943">
        <v>0.93700000000000006</v>
      </c>
      <c r="F943" t="s">
        <v>6</v>
      </c>
    </row>
    <row r="944" spans="1:6" x14ac:dyDescent="0.35">
      <c r="A944" s="6">
        <v>44806</v>
      </c>
      <c r="B944" s="3">
        <v>0.14583333333333334</v>
      </c>
      <c r="C944" t="s">
        <v>21</v>
      </c>
      <c r="D944" t="s">
        <v>11</v>
      </c>
      <c r="E944">
        <v>0.73599999999999999</v>
      </c>
      <c r="F944" t="s">
        <v>6</v>
      </c>
    </row>
    <row r="945" spans="1:6" x14ac:dyDescent="0.35">
      <c r="A945" s="6">
        <v>44806</v>
      </c>
      <c r="B945" s="3">
        <v>0.14583333333333334</v>
      </c>
      <c r="C945" t="s">
        <v>18</v>
      </c>
      <c r="D945" t="s">
        <v>34</v>
      </c>
      <c r="E945">
        <v>0.92400000000000004</v>
      </c>
      <c r="F945" t="s">
        <v>6</v>
      </c>
    </row>
    <row r="946" spans="1:6" x14ac:dyDescent="0.35">
      <c r="A946" s="6">
        <v>44806</v>
      </c>
      <c r="B946" s="3">
        <v>0.14583333333333334</v>
      </c>
      <c r="C946" t="s">
        <v>22</v>
      </c>
      <c r="D946" t="s">
        <v>7</v>
      </c>
      <c r="E946">
        <v>0.72499999999999998</v>
      </c>
      <c r="F946" t="s">
        <v>6</v>
      </c>
    </row>
    <row r="947" spans="1:6" x14ac:dyDescent="0.35">
      <c r="A947" s="6">
        <v>44806</v>
      </c>
      <c r="B947" s="3">
        <v>0.14583333333333334</v>
      </c>
      <c r="C947" t="s">
        <v>19</v>
      </c>
      <c r="D947" t="s">
        <v>15</v>
      </c>
      <c r="E947">
        <v>0.628</v>
      </c>
      <c r="F947" t="s">
        <v>6</v>
      </c>
    </row>
    <row r="948" spans="1:6" x14ac:dyDescent="0.35">
      <c r="A948" s="6">
        <v>44806</v>
      </c>
      <c r="B948" s="3">
        <v>0.16666666666666666</v>
      </c>
      <c r="C948" t="s">
        <v>23</v>
      </c>
      <c r="D948" t="s">
        <v>35</v>
      </c>
      <c r="E948">
        <v>0.72799999999999998</v>
      </c>
      <c r="F948" t="s">
        <v>6</v>
      </c>
    </row>
    <row r="949" spans="1:6" x14ac:dyDescent="0.35">
      <c r="A949" s="6">
        <v>44806</v>
      </c>
      <c r="B949" s="3">
        <v>0.16666666666666666</v>
      </c>
      <c r="C949" t="s">
        <v>25</v>
      </c>
      <c r="D949" t="s">
        <v>16</v>
      </c>
      <c r="E949">
        <v>0.83699999999999997</v>
      </c>
      <c r="F949" t="s">
        <v>6</v>
      </c>
    </row>
    <row r="950" spans="1:6" x14ac:dyDescent="0.35">
      <c r="A950" s="6">
        <v>44806</v>
      </c>
      <c r="B950" s="3">
        <v>0.16666666666666666</v>
      </c>
      <c r="C950" t="s">
        <v>20</v>
      </c>
      <c r="D950" t="s">
        <v>16</v>
      </c>
      <c r="E950">
        <v>0.61499999999999999</v>
      </c>
      <c r="F950" t="s">
        <v>6</v>
      </c>
    </row>
    <row r="951" spans="1:6" x14ac:dyDescent="0.35">
      <c r="A951" s="6">
        <v>44806</v>
      </c>
      <c r="B951" s="3">
        <v>0.16666666666666666</v>
      </c>
      <c r="C951" t="s">
        <v>24</v>
      </c>
      <c r="D951" t="s">
        <v>17</v>
      </c>
      <c r="E951">
        <v>0.93799999999999994</v>
      </c>
      <c r="F951" t="s">
        <v>6</v>
      </c>
    </row>
    <row r="952" spans="1:6" x14ac:dyDescent="0.35">
      <c r="A952" s="6">
        <v>44806</v>
      </c>
      <c r="B952" s="3">
        <v>0.16666666666666666</v>
      </c>
      <c r="C952" t="s">
        <v>21</v>
      </c>
      <c r="D952" t="s">
        <v>11</v>
      </c>
      <c r="E952">
        <v>0.73699999999999999</v>
      </c>
      <c r="F952" t="s">
        <v>6</v>
      </c>
    </row>
    <row r="953" spans="1:6" x14ac:dyDescent="0.35">
      <c r="A953" s="6">
        <v>44806</v>
      </c>
      <c r="B953" s="3">
        <v>0.16666666666666666</v>
      </c>
      <c r="C953" t="s">
        <v>18</v>
      </c>
      <c r="D953" t="s">
        <v>34</v>
      </c>
      <c r="E953">
        <v>0.92500000000000004</v>
      </c>
      <c r="F953" t="s">
        <v>6</v>
      </c>
    </row>
    <row r="954" spans="1:6" x14ac:dyDescent="0.35">
      <c r="A954" s="6">
        <v>44806</v>
      </c>
      <c r="B954" s="3">
        <v>0.16666666666666666</v>
      </c>
      <c r="C954" t="s">
        <v>22</v>
      </c>
      <c r="D954" t="s">
        <v>7</v>
      </c>
      <c r="E954">
        <v>0.72599999999999998</v>
      </c>
      <c r="F954" t="s">
        <v>6</v>
      </c>
    </row>
    <row r="955" spans="1:6" x14ac:dyDescent="0.35">
      <c r="A955" s="6">
        <v>44806</v>
      </c>
      <c r="B955" s="3">
        <v>0.16666666666666666</v>
      </c>
      <c r="C955" t="s">
        <v>19</v>
      </c>
      <c r="D955" t="s">
        <v>15</v>
      </c>
      <c r="E955">
        <v>0.623</v>
      </c>
      <c r="F955" t="s">
        <v>6</v>
      </c>
    </row>
    <row r="956" spans="1:6" x14ac:dyDescent="0.35">
      <c r="A956" s="6">
        <v>44806</v>
      </c>
      <c r="B956" s="3">
        <v>0.1875</v>
      </c>
      <c r="C956" t="s">
        <v>23</v>
      </c>
      <c r="D956" t="s">
        <v>35</v>
      </c>
      <c r="E956">
        <v>0.72799999999999998</v>
      </c>
      <c r="F956" t="s">
        <v>6</v>
      </c>
    </row>
    <row r="957" spans="1:6" x14ac:dyDescent="0.35">
      <c r="A957" s="6">
        <v>44806</v>
      </c>
      <c r="B957" s="3">
        <v>0.1875</v>
      </c>
      <c r="C957" t="s">
        <v>25</v>
      </c>
      <c r="D957" t="s">
        <v>16</v>
      </c>
      <c r="E957">
        <v>0.83699999999999997</v>
      </c>
      <c r="F957" t="s">
        <v>6</v>
      </c>
    </row>
    <row r="958" spans="1:6" x14ac:dyDescent="0.35">
      <c r="A958" s="6">
        <v>44806</v>
      </c>
      <c r="B958" s="3">
        <v>0.1875</v>
      </c>
      <c r="C958" t="s">
        <v>20</v>
      </c>
      <c r="D958" t="s">
        <v>16</v>
      </c>
      <c r="E958">
        <v>0.61599999999999999</v>
      </c>
      <c r="F958" t="s">
        <v>6</v>
      </c>
    </row>
    <row r="959" spans="1:6" x14ac:dyDescent="0.35">
      <c r="A959" s="6">
        <v>44806</v>
      </c>
      <c r="B959" s="3">
        <v>0.1875</v>
      </c>
      <c r="C959" t="s">
        <v>24</v>
      </c>
      <c r="D959" t="s">
        <v>17</v>
      </c>
      <c r="E959">
        <v>0.93899999999999995</v>
      </c>
      <c r="F959" t="s">
        <v>6</v>
      </c>
    </row>
    <row r="960" spans="1:6" x14ac:dyDescent="0.35">
      <c r="A960" s="6">
        <v>44806</v>
      </c>
      <c r="B960" s="3">
        <v>0.1875</v>
      </c>
      <c r="C960" t="s">
        <v>21</v>
      </c>
      <c r="D960" t="s">
        <v>11</v>
      </c>
      <c r="E960">
        <v>0.74</v>
      </c>
      <c r="F960" t="s">
        <v>6</v>
      </c>
    </row>
    <row r="961" spans="1:6" x14ac:dyDescent="0.35">
      <c r="A961" s="6">
        <v>44806</v>
      </c>
      <c r="B961" s="3">
        <v>0.1875</v>
      </c>
      <c r="C961" t="s">
        <v>18</v>
      </c>
      <c r="D961" t="s">
        <v>34</v>
      </c>
      <c r="E961">
        <v>0.92500000000000004</v>
      </c>
      <c r="F961" t="s">
        <v>6</v>
      </c>
    </row>
    <row r="962" spans="1:6" x14ac:dyDescent="0.35">
      <c r="A962" s="6">
        <v>44806</v>
      </c>
      <c r="B962" s="3">
        <v>0.1875</v>
      </c>
      <c r="C962" t="s">
        <v>22</v>
      </c>
      <c r="D962" t="s">
        <v>7</v>
      </c>
      <c r="E962">
        <v>0.72799999999999998</v>
      </c>
      <c r="F962" t="s">
        <v>6</v>
      </c>
    </row>
    <row r="963" spans="1:6" x14ac:dyDescent="0.35">
      <c r="A963" s="6">
        <v>44806</v>
      </c>
      <c r="B963" s="3">
        <v>0.1875</v>
      </c>
      <c r="C963" t="s">
        <v>19</v>
      </c>
      <c r="D963" t="s">
        <v>15</v>
      </c>
      <c r="E963">
        <v>0.61899999999999999</v>
      </c>
      <c r="F963" t="s">
        <v>6</v>
      </c>
    </row>
    <row r="964" spans="1:6" x14ac:dyDescent="0.35">
      <c r="A964" s="6">
        <v>44806</v>
      </c>
      <c r="B964" s="3">
        <v>0.20833333333333334</v>
      </c>
      <c r="C964" t="s">
        <v>23</v>
      </c>
      <c r="D964" t="s">
        <v>35</v>
      </c>
      <c r="E964">
        <v>0.72799999999999998</v>
      </c>
      <c r="F964" t="s">
        <v>6</v>
      </c>
    </row>
    <row r="965" spans="1:6" x14ac:dyDescent="0.35">
      <c r="A965" s="6">
        <v>44806</v>
      </c>
      <c r="B965" s="3">
        <v>0.20833333333333334</v>
      </c>
      <c r="C965" t="s">
        <v>25</v>
      </c>
      <c r="D965" t="s">
        <v>16</v>
      </c>
      <c r="E965">
        <v>0.83699999999999997</v>
      </c>
      <c r="F965" t="s">
        <v>6</v>
      </c>
    </row>
    <row r="966" spans="1:6" x14ac:dyDescent="0.35">
      <c r="A966" s="6">
        <v>44806</v>
      </c>
      <c r="B966" s="3">
        <v>0.20833333333333334</v>
      </c>
      <c r="C966" t="s">
        <v>20</v>
      </c>
      <c r="D966" t="s">
        <v>16</v>
      </c>
      <c r="E966">
        <v>0.61599999999999999</v>
      </c>
      <c r="F966" t="s">
        <v>6</v>
      </c>
    </row>
    <row r="967" spans="1:6" x14ac:dyDescent="0.35">
      <c r="A967" s="6">
        <v>44806</v>
      </c>
      <c r="B967" s="3">
        <v>0.20833333333333334</v>
      </c>
      <c r="C967" t="s">
        <v>24</v>
      </c>
      <c r="D967" t="s">
        <v>17</v>
      </c>
      <c r="E967">
        <v>0.93899999999999995</v>
      </c>
      <c r="F967" t="s">
        <v>6</v>
      </c>
    </row>
    <row r="968" spans="1:6" x14ac:dyDescent="0.35">
      <c r="A968" s="6">
        <v>44806</v>
      </c>
      <c r="B968" s="3">
        <v>0.20833333333333334</v>
      </c>
      <c r="C968" t="s">
        <v>21</v>
      </c>
      <c r="D968" t="s">
        <v>11</v>
      </c>
      <c r="E968">
        <v>0.74</v>
      </c>
      <c r="F968" t="s">
        <v>6</v>
      </c>
    </row>
    <row r="969" spans="1:6" x14ac:dyDescent="0.35">
      <c r="A969" s="6">
        <v>44806</v>
      </c>
      <c r="B969" s="3">
        <v>0.20833333333333334</v>
      </c>
      <c r="C969" t="s">
        <v>18</v>
      </c>
      <c r="D969" t="s">
        <v>34</v>
      </c>
      <c r="E969">
        <v>0.92600000000000005</v>
      </c>
      <c r="F969" t="s">
        <v>6</v>
      </c>
    </row>
    <row r="970" spans="1:6" x14ac:dyDescent="0.35">
      <c r="A970" s="6">
        <v>44806</v>
      </c>
      <c r="B970" s="3">
        <v>0.20833333333333334</v>
      </c>
      <c r="C970" t="s">
        <v>22</v>
      </c>
      <c r="D970" t="s">
        <v>7</v>
      </c>
      <c r="E970">
        <v>0.72899999999999998</v>
      </c>
      <c r="F970" t="s">
        <v>6</v>
      </c>
    </row>
    <row r="971" spans="1:6" x14ac:dyDescent="0.35">
      <c r="A971" s="6">
        <v>44806</v>
      </c>
      <c r="B971" s="3">
        <v>0.20833333333333334</v>
      </c>
      <c r="C971" t="s">
        <v>19</v>
      </c>
      <c r="D971" t="s">
        <v>15</v>
      </c>
      <c r="E971">
        <v>0.61699999999999999</v>
      </c>
      <c r="F971" t="s">
        <v>6</v>
      </c>
    </row>
    <row r="972" spans="1:6" x14ac:dyDescent="0.35">
      <c r="A972" s="6">
        <v>44806</v>
      </c>
      <c r="B972" s="3">
        <v>0.22916666666666666</v>
      </c>
      <c r="C972" t="s">
        <v>23</v>
      </c>
      <c r="D972" t="s">
        <v>35</v>
      </c>
      <c r="E972">
        <v>0.72699999999999998</v>
      </c>
      <c r="F972" t="s">
        <v>6</v>
      </c>
    </row>
    <row r="973" spans="1:6" x14ac:dyDescent="0.35">
      <c r="A973" s="6">
        <v>44806</v>
      </c>
      <c r="B973" s="3">
        <v>0.22916666666666666</v>
      </c>
      <c r="C973" t="s">
        <v>25</v>
      </c>
      <c r="D973" t="s">
        <v>16</v>
      </c>
      <c r="E973">
        <v>0.83699999999999997</v>
      </c>
      <c r="F973" t="s">
        <v>6</v>
      </c>
    </row>
    <row r="974" spans="1:6" x14ac:dyDescent="0.35">
      <c r="A974" s="6">
        <v>44806</v>
      </c>
      <c r="B974" s="3">
        <v>0.22916666666666666</v>
      </c>
      <c r="C974" t="s">
        <v>20</v>
      </c>
      <c r="D974" t="s">
        <v>16</v>
      </c>
      <c r="E974">
        <v>0.61499999999999999</v>
      </c>
      <c r="F974" t="s">
        <v>6</v>
      </c>
    </row>
    <row r="975" spans="1:6" x14ac:dyDescent="0.35">
      <c r="A975" s="6">
        <v>44806</v>
      </c>
      <c r="B975" s="3">
        <v>0.22916666666666666</v>
      </c>
      <c r="C975" t="s">
        <v>24</v>
      </c>
      <c r="D975" t="s">
        <v>17</v>
      </c>
      <c r="E975">
        <v>0.93799999999999994</v>
      </c>
      <c r="F975" t="s">
        <v>6</v>
      </c>
    </row>
    <row r="976" spans="1:6" x14ac:dyDescent="0.35">
      <c r="A976" s="6">
        <v>44806</v>
      </c>
      <c r="B976" s="3">
        <v>0.22916666666666666</v>
      </c>
      <c r="C976" t="s">
        <v>21</v>
      </c>
      <c r="D976" t="s">
        <v>11</v>
      </c>
      <c r="E976">
        <v>0.74</v>
      </c>
      <c r="F976" t="s">
        <v>6</v>
      </c>
    </row>
    <row r="977" spans="1:6" x14ac:dyDescent="0.35">
      <c r="A977" s="6">
        <v>44806</v>
      </c>
      <c r="B977" s="3">
        <v>0.22916666666666666</v>
      </c>
      <c r="C977" t="s">
        <v>18</v>
      </c>
      <c r="D977" t="s">
        <v>34</v>
      </c>
      <c r="E977">
        <v>0.92600000000000005</v>
      </c>
      <c r="F977" t="s">
        <v>6</v>
      </c>
    </row>
    <row r="978" spans="1:6" x14ac:dyDescent="0.35">
      <c r="A978" s="6">
        <v>44806</v>
      </c>
      <c r="B978" s="3">
        <v>0.22916666666666666</v>
      </c>
      <c r="C978" t="s">
        <v>22</v>
      </c>
      <c r="D978" t="s">
        <v>7</v>
      </c>
      <c r="E978">
        <v>0.73</v>
      </c>
      <c r="F978" t="s">
        <v>6</v>
      </c>
    </row>
    <row r="979" spans="1:6" x14ac:dyDescent="0.35">
      <c r="A979" s="6">
        <v>44806</v>
      </c>
      <c r="B979" s="3">
        <v>0.22916666666666666</v>
      </c>
      <c r="C979" t="s">
        <v>19</v>
      </c>
      <c r="D979" t="s">
        <v>15</v>
      </c>
      <c r="E979">
        <v>0.61299999999999999</v>
      </c>
      <c r="F979" t="s">
        <v>6</v>
      </c>
    </row>
    <row r="980" spans="1:6" x14ac:dyDescent="0.35">
      <c r="A980" s="6">
        <v>44806</v>
      </c>
      <c r="B980" s="3">
        <v>0.33333333333333331</v>
      </c>
      <c r="C980" t="s">
        <v>23</v>
      </c>
      <c r="D980" t="s">
        <v>35</v>
      </c>
      <c r="E980">
        <v>0.73</v>
      </c>
      <c r="F980" t="s">
        <v>6</v>
      </c>
    </row>
    <row r="981" spans="1:6" x14ac:dyDescent="0.35">
      <c r="A981" s="6">
        <v>44806</v>
      </c>
      <c r="B981" s="3">
        <v>0.33333333333333331</v>
      </c>
      <c r="C981" t="s">
        <v>25</v>
      </c>
      <c r="D981" t="s">
        <v>16</v>
      </c>
      <c r="E981">
        <v>0.82299999999999995</v>
      </c>
      <c r="F981" t="s">
        <v>6</v>
      </c>
    </row>
    <row r="982" spans="1:6" x14ac:dyDescent="0.35">
      <c r="A982" s="6">
        <v>44806</v>
      </c>
      <c r="B982" s="3">
        <v>0.33333333333333331</v>
      </c>
      <c r="C982" t="s">
        <v>20</v>
      </c>
      <c r="D982" t="s">
        <v>16</v>
      </c>
      <c r="E982">
        <v>0.57599999999999996</v>
      </c>
      <c r="F982" t="s">
        <v>6</v>
      </c>
    </row>
    <row r="983" spans="1:6" x14ac:dyDescent="0.35">
      <c r="A983" s="6">
        <v>44806</v>
      </c>
      <c r="B983" s="3">
        <v>0.33333333333333331</v>
      </c>
      <c r="C983" t="s">
        <v>24</v>
      </c>
      <c r="D983" t="s">
        <v>17</v>
      </c>
      <c r="E983">
        <v>0.92</v>
      </c>
      <c r="F983" t="s">
        <v>6</v>
      </c>
    </row>
    <row r="984" spans="1:6" x14ac:dyDescent="0.35">
      <c r="A984" s="6">
        <v>44806</v>
      </c>
      <c r="B984" s="3">
        <v>0.33333333333333331</v>
      </c>
      <c r="C984" t="s">
        <v>21</v>
      </c>
      <c r="D984" t="s">
        <v>11</v>
      </c>
      <c r="E984">
        <v>0.68400000000000005</v>
      </c>
      <c r="F984" t="s">
        <v>6</v>
      </c>
    </row>
    <row r="985" spans="1:6" x14ac:dyDescent="0.35">
      <c r="A985" s="6">
        <v>44806</v>
      </c>
      <c r="B985" s="3">
        <v>0.33333333333333331</v>
      </c>
      <c r="C985" t="s">
        <v>18</v>
      </c>
      <c r="D985" t="s">
        <v>34</v>
      </c>
      <c r="E985">
        <v>0.93700000000000006</v>
      </c>
      <c r="F985" t="s">
        <v>6</v>
      </c>
    </row>
    <row r="986" spans="1:6" x14ac:dyDescent="0.35">
      <c r="A986" s="6">
        <v>44806</v>
      </c>
      <c r="B986" s="3">
        <v>0.33333333333333331</v>
      </c>
      <c r="C986" t="s">
        <v>22</v>
      </c>
      <c r="D986" t="s">
        <v>7</v>
      </c>
      <c r="E986">
        <v>0.73899999999999999</v>
      </c>
      <c r="F986" t="s">
        <v>6</v>
      </c>
    </row>
    <row r="987" spans="1:6" x14ac:dyDescent="0.35">
      <c r="A987" s="6">
        <v>44806</v>
      </c>
      <c r="B987" s="3">
        <v>0.33333333333333331</v>
      </c>
      <c r="C987" t="s">
        <v>19</v>
      </c>
      <c r="D987" t="s">
        <v>15</v>
      </c>
      <c r="E987">
        <v>0.56799999999999995</v>
      </c>
      <c r="F987" t="s">
        <v>6</v>
      </c>
    </row>
    <row r="988" spans="1:6" x14ac:dyDescent="0.35">
      <c r="A988" s="6">
        <v>44806</v>
      </c>
      <c r="B988" s="3">
        <v>0.35416666666666669</v>
      </c>
      <c r="C988" t="s">
        <v>23</v>
      </c>
      <c r="D988" t="s">
        <v>35</v>
      </c>
      <c r="E988">
        <v>0.71</v>
      </c>
      <c r="F988" t="s">
        <v>6</v>
      </c>
    </row>
    <row r="989" spans="1:6" x14ac:dyDescent="0.35">
      <c r="A989" s="6">
        <v>44806</v>
      </c>
      <c r="B989" s="3">
        <v>0.35416666666666669</v>
      </c>
      <c r="C989" t="s">
        <v>25</v>
      </c>
      <c r="D989" t="s">
        <v>16</v>
      </c>
      <c r="E989">
        <v>0.80600000000000005</v>
      </c>
      <c r="F989" t="s">
        <v>6</v>
      </c>
    </row>
    <row r="990" spans="1:6" x14ac:dyDescent="0.35">
      <c r="A990" s="6">
        <v>44806</v>
      </c>
      <c r="B990" s="3">
        <v>0.35416666666666669</v>
      </c>
      <c r="C990" t="s">
        <v>20</v>
      </c>
      <c r="D990" t="s">
        <v>16</v>
      </c>
      <c r="E990">
        <v>0.499</v>
      </c>
      <c r="F990" t="s">
        <v>6</v>
      </c>
    </row>
    <row r="991" spans="1:6" x14ac:dyDescent="0.35">
      <c r="A991" s="6">
        <v>44806</v>
      </c>
      <c r="B991" s="3">
        <v>0.35416666666666669</v>
      </c>
      <c r="C991" t="s">
        <v>24</v>
      </c>
      <c r="D991" t="s">
        <v>17</v>
      </c>
      <c r="E991">
        <v>0.89300000000000002</v>
      </c>
      <c r="F991" t="s">
        <v>6</v>
      </c>
    </row>
    <row r="992" spans="1:6" x14ac:dyDescent="0.35">
      <c r="A992" s="6">
        <v>44806</v>
      </c>
      <c r="B992" s="3">
        <v>0.35416666666666669</v>
      </c>
      <c r="C992" t="s">
        <v>21</v>
      </c>
      <c r="D992" t="s">
        <v>11</v>
      </c>
      <c r="E992">
        <v>0.624</v>
      </c>
      <c r="F992" t="s">
        <v>6</v>
      </c>
    </row>
    <row r="993" spans="1:6" x14ac:dyDescent="0.35">
      <c r="A993" s="6">
        <v>44806</v>
      </c>
      <c r="B993" s="3">
        <v>0.35416666666666669</v>
      </c>
      <c r="C993" t="s">
        <v>18</v>
      </c>
      <c r="D993" t="s">
        <v>34</v>
      </c>
      <c r="E993">
        <v>0.94</v>
      </c>
      <c r="F993" t="s">
        <v>6</v>
      </c>
    </row>
    <row r="994" spans="1:6" x14ac:dyDescent="0.35">
      <c r="A994" s="6">
        <v>44806</v>
      </c>
      <c r="B994" s="3">
        <v>0.35416666666666669</v>
      </c>
      <c r="C994" t="s">
        <v>22</v>
      </c>
      <c r="D994" t="s">
        <v>7</v>
      </c>
      <c r="E994">
        <v>0.745</v>
      </c>
      <c r="F994" t="s">
        <v>6</v>
      </c>
    </row>
    <row r="995" spans="1:6" x14ac:dyDescent="0.35">
      <c r="A995" s="6">
        <v>44806</v>
      </c>
      <c r="B995" s="3">
        <v>0.35416666666666669</v>
      </c>
      <c r="C995" t="s">
        <v>19</v>
      </c>
      <c r="D995" t="s">
        <v>15</v>
      </c>
      <c r="E995">
        <v>0.54100000000000004</v>
      </c>
      <c r="F995" t="s">
        <v>6</v>
      </c>
    </row>
    <row r="996" spans="1:6" x14ac:dyDescent="0.35">
      <c r="A996" s="6">
        <v>44806</v>
      </c>
      <c r="B996" s="3">
        <v>0.375</v>
      </c>
      <c r="C996" t="s">
        <v>23</v>
      </c>
      <c r="D996" t="s">
        <v>35</v>
      </c>
      <c r="E996">
        <v>0.65600000000000003</v>
      </c>
      <c r="F996" t="s">
        <v>6</v>
      </c>
    </row>
    <row r="997" spans="1:6" x14ac:dyDescent="0.35">
      <c r="A997" s="6">
        <v>44806</v>
      </c>
      <c r="B997" s="3">
        <v>0.375</v>
      </c>
      <c r="C997" t="s">
        <v>25</v>
      </c>
      <c r="D997" t="s">
        <v>16</v>
      </c>
      <c r="E997">
        <v>0.755</v>
      </c>
      <c r="F997" t="s">
        <v>6</v>
      </c>
    </row>
    <row r="998" spans="1:6" x14ac:dyDescent="0.35">
      <c r="A998" s="6">
        <v>44806</v>
      </c>
      <c r="B998" s="3">
        <v>0.375</v>
      </c>
      <c r="C998" t="s">
        <v>20</v>
      </c>
      <c r="D998" t="s">
        <v>16</v>
      </c>
      <c r="E998">
        <v>0.433</v>
      </c>
      <c r="F998" t="s">
        <v>6</v>
      </c>
    </row>
    <row r="999" spans="1:6" x14ac:dyDescent="0.35">
      <c r="A999" s="6">
        <v>44806</v>
      </c>
      <c r="B999" s="3">
        <v>0.375</v>
      </c>
      <c r="C999" t="s">
        <v>24</v>
      </c>
      <c r="D999" t="s">
        <v>17</v>
      </c>
      <c r="E999">
        <v>0.84599999999999997</v>
      </c>
      <c r="F999" t="s">
        <v>6</v>
      </c>
    </row>
    <row r="1000" spans="1:6" x14ac:dyDescent="0.35">
      <c r="A1000" s="6">
        <v>44806</v>
      </c>
      <c r="B1000" s="3">
        <v>0.375</v>
      </c>
      <c r="C1000" t="s">
        <v>21</v>
      </c>
      <c r="D1000" t="s">
        <v>11</v>
      </c>
      <c r="E1000">
        <v>0.56000000000000005</v>
      </c>
      <c r="F1000" t="s">
        <v>6</v>
      </c>
    </row>
    <row r="1001" spans="1:6" x14ac:dyDescent="0.35">
      <c r="A1001" s="6">
        <v>44806</v>
      </c>
      <c r="B1001" s="3">
        <v>0.375</v>
      </c>
      <c r="C1001" t="s">
        <v>18</v>
      </c>
      <c r="D1001" t="s">
        <v>34</v>
      </c>
      <c r="E1001">
        <v>0.94399999999999995</v>
      </c>
      <c r="F1001" t="s">
        <v>6</v>
      </c>
    </row>
    <row r="1002" spans="1:6" x14ac:dyDescent="0.35">
      <c r="A1002" s="6">
        <v>44806</v>
      </c>
      <c r="B1002" s="3">
        <v>0.375</v>
      </c>
      <c r="C1002" t="s">
        <v>22</v>
      </c>
      <c r="D1002" t="s">
        <v>7</v>
      </c>
      <c r="E1002">
        <v>0.752</v>
      </c>
      <c r="F1002" t="s">
        <v>6</v>
      </c>
    </row>
    <row r="1003" spans="1:6" x14ac:dyDescent="0.35">
      <c r="A1003" s="6">
        <v>44806</v>
      </c>
      <c r="B1003" s="3">
        <v>0.375</v>
      </c>
      <c r="C1003" t="s">
        <v>19</v>
      </c>
      <c r="D1003" t="s">
        <v>15</v>
      </c>
      <c r="E1003">
        <v>0.49</v>
      </c>
      <c r="F1003" t="s">
        <v>6</v>
      </c>
    </row>
    <row r="1004" spans="1:6" x14ac:dyDescent="0.35">
      <c r="A1004" s="6">
        <v>44806</v>
      </c>
      <c r="B1004" s="3">
        <v>0.39583333333333331</v>
      </c>
      <c r="C1004" t="s">
        <v>23</v>
      </c>
      <c r="D1004" t="s">
        <v>35</v>
      </c>
      <c r="E1004">
        <v>0.59799999999999998</v>
      </c>
      <c r="F1004" t="s">
        <v>6</v>
      </c>
    </row>
    <row r="1005" spans="1:6" x14ac:dyDescent="0.35">
      <c r="A1005" s="6">
        <v>44806</v>
      </c>
      <c r="B1005" s="3">
        <v>0.39583333333333331</v>
      </c>
      <c r="C1005" t="s">
        <v>25</v>
      </c>
      <c r="D1005" t="s">
        <v>16</v>
      </c>
      <c r="E1005">
        <v>0.68600000000000005</v>
      </c>
      <c r="F1005" t="s">
        <v>6</v>
      </c>
    </row>
    <row r="1006" spans="1:6" x14ac:dyDescent="0.35">
      <c r="A1006" s="6">
        <v>44806</v>
      </c>
      <c r="B1006" s="3">
        <v>0.39583333333333331</v>
      </c>
      <c r="C1006" t="s">
        <v>20</v>
      </c>
      <c r="D1006" t="s">
        <v>16</v>
      </c>
      <c r="E1006">
        <v>0.42699999999999999</v>
      </c>
      <c r="F1006" t="s">
        <v>6</v>
      </c>
    </row>
    <row r="1007" spans="1:6" x14ac:dyDescent="0.35">
      <c r="A1007" s="6">
        <v>44806</v>
      </c>
      <c r="B1007" s="3">
        <v>0.39583333333333331</v>
      </c>
      <c r="C1007" t="s">
        <v>24</v>
      </c>
      <c r="D1007" t="s">
        <v>17</v>
      </c>
      <c r="E1007">
        <v>0.80600000000000005</v>
      </c>
      <c r="F1007" t="s">
        <v>6</v>
      </c>
    </row>
    <row r="1008" spans="1:6" x14ac:dyDescent="0.35">
      <c r="A1008" s="6">
        <v>44806</v>
      </c>
      <c r="B1008" s="3">
        <v>0.39583333333333331</v>
      </c>
      <c r="C1008" t="s">
        <v>21</v>
      </c>
      <c r="D1008" t="s">
        <v>11</v>
      </c>
      <c r="E1008">
        <v>0.53400000000000003</v>
      </c>
      <c r="F1008" t="s">
        <v>6</v>
      </c>
    </row>
    <row r="1009" spans="1:6" x14ac:dyDescent="0.35">
      <c r="A1009" s="6">
        <v>44806</v>
      </c>
      <c r="B1009" s="3">
        <v>0.39583333333333331</v>
      </c>
      <c r="C1009" t="s">
        <v>18</v>
      </c>
      <c r="D1009" t="s">
        <v>34</v>
      </c>
      <c r="E1009">
        <v>0.94399999999999995</v>
      </c>
      <c r="F1009" t="s">
        <v>6</v>
      </c>
    </row>
    <row r="1010" spans="1:6" x14ac:dyDescent="0.35">
      <c r="A1010" s="6">
        <v>44806</v>
      </c>
      <c r="B1010" s="3">
        <v>0.39583333333333331</v>
      </c>
      <c r="C1010" t="s">
        <v>22</v>
      </c>
      <c r="D1010" t="s">
        <v>7</v>
      </c>
      <c r="E1010">
        <v>0.76100000000000001</v>
      </c>
      <c r="F1010" t="s">
        <v>6</v>
      </c>
    </row>
    <row r="1011" spans="1:6" x14ac:dyDescent="0.35">
      <c r="A1011" s="6">
        <v>44806</v>
      </c>
      <c r="B1011" s="3">
        <v>0.39583333333333331</v>
      </c>
      <c r="C1011" t="s">
        <v>19</v>
      </c>
      <c r="D1011" t="s">
        <v>15</v>
      </c>
      <c r="E1011">
        <v>0.45200000000000001</v>
      </c>
      <c r="F1011" t="s">
        <v>6</v>
      </c>
    </row>
    <row r="1012" spans="1:6" x14ac:dyDescent="0.35">
      <c r="A1012" s="6">
        <v>44806</v>
      </c>
      <c r="B1012" s="3">
        <v>0.41666666666666669</v>
      </c>
      <c r="C1012" t="s">
        <v>23</v>
      </c>
      <c r="D1012" t="s">
        <v>35</v>
      </c>
      <c r="E1012">
        <v>0.57299999999999995</v>
      </c>
      <c r="F1012" t="s">
        <v>6</v>
      </c>
    </row>
    <row r="1013" spans="1:6" x14ac:dyDescent="0.35">
      <c r="A1013" s="6">
        <v>44806</v>
      </c>
      <c r="B1013" s="3">
        <v>0.41666666666666669</v>
      </c>
      <c r="C1013" t="s">
        <v>25</v>
      </c>
      <c r="D1013" t="s">
        <v>16</v>
      </c>
      <c r="E1013">
        <v>0.63</v>
      </c>
      <c r="F1013" t="s">
        <v>6</v>
      </c>
    </row>
    <row r="1014" spans="1:6" x14ac:dyDescent="0.35">
      <c r="A1014" s="6">
        <v>44806</v>
      </c>
      <c r="B1014" s="3">
        <v>0.41666666666666669</v>
      </c>
      <c r="C1014" t="s">
        <v>20</v>
      </c>
      <c r="D1014" t="s">
        <v>16</v>
      </c>
      <c r="E1014">
        <v>0.41899999999999998</v>
      </c>
      <c r="F1014" t="s">
        <v>6</v>
      </c>
    </row>
    <row r="1015" spans="1:6" x14ac:dyDescent="0.35">
      <c r="A1015" s="6">
        <v>44806</v>
      </c>
      <c r="B1015" s="3">
        <v>0.41666666666666669</v>
      </c>
      <c r="C1015" t="s">
        <v>24</v>
      </c>
      <c r="D1015" t="s">
        <v>17</v>
      </c>
      <c r="E1015">
        <v>0.77900000000000003</v>
      </c>
      <c r="F1015" t="s">
        <v>6</v>
      </c>
    </row>
    <row r="1016" spans="1:6" x14ac:dyDescent="0.35">
      <c r="A1016" s="6">
        <v>44806</v>
      </c>
      <c r="B1016" s="3">
        <v>0.41666666666666669</v>
      </c>
      <c r="C1016" t="s">
        <v>21</v>
      </c>
      <c r="D1016" t="s">
        <v>11</v>
      </c>
      <c r="E1016">
        <v>0.52700000000000002</v>
      </c>
      <c r="F1016" t="s">
        <v>6</v>
      </c>
    </row>
    <row r="1017" spans="1:6" x14ac:dyDescent="0.35">
      <c r="A1017" s="6">
        <v>44806</v>
      </c>
      <c r="B1017" s="3">
        <v>0.41666666666666669</v>
      </c>
      <c r="C1017" t="s">
        <v>18</v>
      </c>
      <c r="D1017" t="s">
        <v>34</v>
      </c>
      <c r="E1017">
        <v>0.94299999999999995</v>
      </c>
      <c r="F1017" t="s">
        <v>6</v>
      </c>
    </row>
    <row r="1018" spans="1:6" x14ac:dyDescent="0.35">
      <c r="A1018" s="6">
        <v>44806</v>
      </c>
      <c r="B1018" s="3">
        <v>0.41666666666666669</v>
      </c>
      <c r="C1018" t="s">
        <v>22</v>
      </c>
      <c r="D1018" t="s">
        <v>7</v>
      </c>
      <c r="E1018">
        <v>0.76800000000000002</v>
      </c>
      <c r="F1018" t="s">
        <v>6</v>
      </c>
    </row>
    <row r="1019" spans="1:6" x14ac:dyDescent="0.35">
      <c r="A1019" s="6">
        <v>44806</v>
      </c>
      <c r="B1019" s="3">
        <v>0.41666666666666669</v>
      </c>
      <c r="C1019" t="s">
        <v>19</v>
      </c>
      <c r="D1019" t="s">
        <v>15</v>
      </c>
      <c r="E1019">
        <v>0.433</v>
      </c>
      <c r="F1019" t="s">
        <v>6</v>
      </c>
    </row>
    <row r="1020" spans="1:6" x14ac:dyDescent="0.35">
      <c r="A1020" s="6">
        <v>44806</v>
      </c>
      <c r="B1020" s="3">
        <v>0.4375</v>
      </c>
      <c r="C1020" t="s">
        <v>23</v>
      </c>
      <c r="D1020" t="s">
        <v>35</v>
      </c>
      <c r="E1020">
        <v>0.57699999999999996</v>
      </c>
      <c r="F1020" t="s">
        <v>6</v>
      </c>
    </row>
    <row r="1021" spans="1:6" x14ac:dyDescent="0.35">
      <c r="A1021" s="6">
        <v>44806</v>
      </c>
      <c r="B1021" s="3">
        <v>0.4375</v>
      </c>
      <c r="C1021" t="s">
        <v>25</v>
      </c>
      <c r="D1021" t="s">
        <v>16</v>
      </c>
      <c r="E1021">
        <v>0.60499999999999998</v>
      </c>
      <c r="F1021" t="s">
        <v>6</v>
      </c>
    </row>
    <row r="1022" spans="1:6" x14ac:dyDescent="0.35">
      <c r="A1022" s="6">
        <v>44806</v>
      </c>
      <c r="B1022" s="3">
        <v>0.4375</v>
      </c>
      <c r="C1022" t="s">
        <v>20</v>
      </c>
      <c r="D1022" t="s">
        <v>16</v>
      </c>
      <c r="E1022">
        <v>0.40699999999999997</v>
      </c>
      <c r="F1022" t="s">
        <v>6</v>
      </c>
    </row>
    <row r="1023" spans="1:6" x14ac:dyDescent="0.35">
      <c r="A1023" s="6">
        <v>44806</v>
      </c>
      <c r="B1023" s="3">
        <v>0.4375</v>
      </c>
      <c r="C1023" t="s">
        <v>24</v>
      </c>
      <c r="D1023" t="s">
        <v>17</v>
      </c>
      <c r="E1023">
        <v>0.749</v>
      </c>
      <c r="F1023" t="s">
        <v>6</v>
      </c>
    </row>
    <row r="1024" spans="1:6" x14ac:dyDescent="0.35">
      <c r="A1024" s="6">
        <v>44806</v>
      </c>
      <c r="B1024" s="3">
        <v>0.4375</v>
      </c>
      <c r="C1024" t="s">
        <v>21</v>
      </c>
      <c r="D1024" t="s">
        <v>11</v>
      </c>
      <c r="E1024">
        <v>0.52700000000000002</v>
      </c>
      <c r="F1024" t="s">
        <v>6</v>
      </c>
    </row>
    <row r="1025" spans="1:6" x14ac:dyDescent="0.35">
      <c r="A1025" s="6">
        <v>44806</v>
      </c>
      <c r="B1025" s="3">
        <v>0.4375</v>
      </c>
      <c r="C1025" t="s">
        <v>18</v>
      </c>
      <c r="D1025" t="s">
        <v>34</v>
      </c>
      <c r="E1025">
        <v>0.94</v>
      </c>
      <c r="F1025" t="s">
        <v>6</v>
      </c>
    </row>
    <row r="1026" spans="1:6" x14ac:dyDescent="0.35">
      <c r="A1026" s="6">
        <v>44806</v>
      </c>
      <c r="B1026" s="3">
        <v>0.4375</v>
      </c>
      <c r="C1026" t="s">
        <v>22</v>
      </c>
      <c r="D1026" t="s">
        <v>7</v>
      </c>
      <c r="E1026">
        <v>0.77600000000000002</v>
      </c>
      <c r="F1026" t="s">
        <v>6</v>
      </c>
    </row>
    <row r="1027" spans="1:6" x14ac:dyDescent="0.35">
      <c r="A1027" s="6">
        <v>44806</v>
      </c>
      <c r="B1027" s="3">
        <v>0.4375</v>
      </c>
      <c r="C1027" t="s">
        <v>19</v>
      </c>
      <c r="D1027" t="s">
        <v>15</v>
      </c>
      <c r="E1027">
        <v>0.42099999999999999</v>
      </c>
      <c r="F1027" t="s">
        <v>6</v>
      </c>
    </row>
    <row r="1028" spans="1:6" x14ac:dyDescent="0.35">
      <c r="A1028" s="6">
        <v>44806</v>
      </c>
      <c r="B1028" s="3">
        <v>0.45833333333333331</v>
      </c>
      <c r="C1028" t="s">
        <v>23</v>
      </c>
      <c r="D1028" t="s">
        <v>35</v>
      </c>
      <c r="E1028">
        <v>0.58399999999999996</v>
      </c>
      <c r="F1028" t="s">
        <v>6</v>
      </c>
    </row>
    <row r="1029" spans="1:6" x14ac:dyDescent="0.35">
      <c r="A1029" s="6">
        <v>44806</v>
      </c>
      <c r="B1029" s="3">
        <v>0.45833333333333331</v>
      </c>
      <c r="C1029" t="s">
        <v>25</v>
      </c>
      <c r="D1029" t="s">
        <v>16</v>
      </c>
      <c r="E1029">
        <v>0.60599999999999998</v>
      </c>
      <c r="F1029" t="s">
        <v>6</v>
      </c>
    </row>
    <row r="1030" spans="1:6" x14ac:dyDescent="0.35">
      <c r="A1030" s="6">
        <v>44806</v>
      </c>
      <c r="B1030" s="3">
        <v>0.45833333333333331</v>
      </c>
      <c r="C1030" t="s">
        <v>20</v>
      </c>
      <c r="D1030" t="s">
        <v>16</v>
      </c>
      <c r="E1030">
        <v>0.41599999999999998</v>
      </c>
      <c r="F1030" t="s">
        <v>6</v>
      </c>
    </row>
    <row r="1031" spans="1:6" x14ac:dyDescent="0.35">
      <c r="A1031" s="6">
        <v>44806</v>
      </c>
      <c r="B1031" s="3">
        <v>0.45833333333333331</v>
      </c>
      <c r="C1031" t="s">
        <v>24</v>
      </c>
      <c r="D1031" t="s">
        <v>17</v>
      </c>
      <c r="E1031">
        <v>0.71799999999999997</v>
      </c>
      <c r="F1031" t="s">
        <v>6</v>
      </c>
    </row>
    <row r="1032" spans="1:6" x14ac:dyDescent="0.35">
      <c r="A1032" s="6">
        <v>44806</v>
      </c>
      <c r="B1032" s="3">
        <v>0.45833333333333331</v>
      </c>
      <c r="C1032" t="s">
        <v>21</v>
      </c>
      <c r="D1032" t="s">
        <v>11</v>
      </c>
      <c r="E1032">
        <v>0.52800000000000002</v>
      </c>
      <c r="F1032" t="s">
        <v>6</v>
      </c>
    </row>
    <row r="1033" spans="1:6" x14ac:dyDescent="0.35">
      <c r="A1033" s="6">
        <v>44806</v>
      </c>
      <c r="B1033" s="3">
        <v>0.45833333333333331</v>
      </c>
      <c r="C1033" t="s">
        <v>18</v>
      </c>
      <c r="D1033" t="s">
        <v>34</v>
      </c>
      <c r="E1033">
        <v>0.93700000000000006</v>
      </c>
      <c r="F1033" t="s">
        <v>6</v>
      </c>
    </row>
    <row r="1034" spans="1:6" x14ac:dyDescent="0.35">
      <c r="A1034" s="6">
        <v>44806</v>
      </c>
      <c r="B1034" s="3">
        <v>0.45833333333333331</v>
      </c>
      <c r="C1034" t="s">
        <v>22</v>
      </c>
      <c r="D1034" t="s">
        <v>7</v>
      </c>
      <c r="E1034">
        <v>0.78300000000000003</v>
      </c>
      <c r="F1034" t="s">
        <v>6</v>
      </c>
    </row>
    <row r="1035" spans="1:6" x14ac:dyDescent="0.35">
      <c r="A1035" s="6">
        <v>44806</v>
      </c>
      <c r="B1035" s="3">
        <v>0.45833333333333331</v>
      </c>
      <c r="C1035" t="s">
        <v>19</v>
      </c>
      <c r="D1035" t="s">
        <v>15</v>
      </c>
      <c r="E1035">
        <v>0.41899999999999998</v>
      </c>
      <c r="F1035" t="s">
        <v>6</v>
      </c>
    </row>
    <row r="1036" spans="1:6" x14ac:dyDescent="0.35">
      <c r="A1036" s="6">
        <v>44806</v>
      </c>
      <c r="B1036" s="3">
        <v>0.47916666666666669</v>
      </c>
      <c r="C1036" t="s">
        <v>23</v>
      </c>
      <c r="D1036" t="s">
        <v>35</v>
      </c>
      <c r="E1036">
        <v>0.58599999999999997</v>
      </c>
      <c r="F1036" t="s">
        <v>6</v>
      </c>
    </row>
    <row r="1037" spans="1:6" x14ac:dyDescent="0.35">
      <c r="A1037" s="6">
        <v>44806</v>
      </c>
      <c r="B1037" s="3">
        <v>0.47916666666666669</v>
      </c>
      <c r="C1037" t="s">
        <v>25</v>
      </c>
      <c r="D1037" t="s">
        <v>16</v>
      </c>
      <c r="E1037">
        <v>0.60799999999999998</v>
      </c>
      <c r="F1037" t="s">
        <v>6</v>
      </c>
    </row>
    <row r="1038" spans="1:6" x14ac:dyDescent="0.35">
      <c r="A1038" s="6">
        <v>44806</v>
      </c>
      <c r="B1038" s="3">
        <v>0.47916666666666669</v>
      </c>
      <c r="C1038" t="s">
        <v>20</v>
      </c>
      <c r="D1038" t="s">
        <v>16</v>
      </c>
      <c r="E1038">
        <v>0.43</v>
      </c>
      <c r="F1038" t="s">
        <v>6</v>
      </c>
    </row>
    <row r="1039" spans="1:6" x14ac:dyDescent="0.35">
      <c r="A1039" s="6">
        <v>44806</v>
      </c>
      <c r="B1039" s="3">
        <v>0.47916666666666669</v>
      </c>
      <c r="C1039" t="s">
        <v>24</v>
      </c>
      <c r="D1039" t="s">
        <v>17</v>
      </c>
      <c r="E1039">
        <v>0.70899999999999996</v>
      </c>
      <c r="F1039" t="s">
        <v>6</v>
      </c>
    </row>
    <row r="1040" spans="1:6" x14ac:dyDescent="0.35">
      <c r="A1040" s="6">
        <v>44806</v>
      </c>
      <c r="B1040" s="3">
        <v>0.47916666666666669</v>
      </c>
      <c r="C1040" t="s">
        <v>21</v>
      </c>
      <c r="D1040" t="s">
        <v>11</v>
      </c>
      <c r="E1040">
        <v>0.53500000000000003</v>
      </c>
      <c r="F1040" t="s">
        <v>6</v>
      </c>
    </row>
    <row r="1041" spans="1:6" x14ac:dyDescent="0.35">
      <c r="A1041" s="6">
        <v>44806</v>
      </c>
      <c r="B1041" s="3">
        <v>0.47916666666666669</v>
      </c>
      <c r="C1041" t="s">
        <v>18</v>
      </c>
      <c r="D1041" t="s">
        <v>34</v>
      </c>
      <c r="E1041">
        <v>0.93400000000000005</v>
      </c>
      <c r="F1041" t="s">
        <v>6</v>
      </c>
    </row>
    <row r="1042" spans="1:6" x14ac:dyDescent="0.35">
      <c r="A1042" s="6">
        <v>44806</v>
      </c>
      <c r="B1042" s="3">
        <v>0.47916666666666669</v>
      </c>
      <c r="C1042" t="s">
        <v>22</v>
      </c>
      <c r="D1042" t="s">
        <v>7</v>
      </c>
      <c r="E1042">
        <v>0.79100000000000004</v>
      </c>
      <c r="F1042" t="s">
        <v>6</v>
      </c>
    </row>
    <row r="1043" spans="1:6" x14ac:dyDescent="0.35">
      <c r="A1043" s="6">
        <v>44806</v>
      </c>
      <c r="B1043" s="3">
        <v>0.47916666666666669</v>
      </c>
      <c r="C1043" t="s">
        <v>19</v>
      </c>
      <c r="D1043" t="s">
        <v>15</v>
      </c>
      <c r="E1043">
        <v>0.41799999999999998</v>
      </c>
      <c r="F1043" t="s">
        <v>6</v>
      </c>
    </row>
    <row r="1044" spans="1:6" x14ac:dyDescent="0.35">
      <c r="A1044" s="6">
        <v>44806</v>
      </c>
      <c r="B1044" s="3">
        <v>0.5625</v>
      </c>
      <c r="C1044" t="s">
        <v>23</v>
      </c>
      <c r="D1044" t="s">
        <v>35</v>
      </c>
      <c r="E1044">
        <v>0.58099999999999996</v>
      </c>
      <c r="F1044" t="s">
        <v>6</v>
      </c>
    </row>
    <row r="1045" spans="1:6" x14ac:dyDescent="0.35">
      <c r="A1045" s="6">
        <v>44806</v>
      </c>
      <c r="B1045" s="3">
        <v>0.5625</v>
      </c>
      <c r="C1045" t="s">
        <v>25</v>
      </c>
      <c r="D1045" t="s">
        <v>16</v>
      </c>
      <c r="E1045">
        <v>0.63500000000000001</v>
      </c>
      <c r="F1045" t="s">
        <v>6</v>
      </c>
    </row>
    <row r="1046" spans="1:6" x14ac:dyDescent="0.35">
      <c r="A1046" s="6">
        <v>44806</v>
      </c>
      <c r="B1046" s="3">
        <v>0.5625</v>
      </c>
      <c r="C1046" t="s">
        <v>20</v>
      </c>
      <c r="D1046" t="s">
        <v>16</v>
      </c>
      <c r="E1046">
        <v>0.44800000000000001</v>
      </c>
      <c r="F1046" t="s">
        <v>6</v>
      </c>
    </row>
    <row r="1047" spans="1:6" x14ac:dyDescent="0.35">
      <c r="A1047" s="6">
        <v>44806</v>
      </c>
      <c r="B1047" s="3">
        <v>0.5625</v>
      </c>
      <c r="C1047" t="s">
        <v>24</v>
      </c>
      <c r="D1047" t="s">
        <v>17</v>
      </c>
      <c r="E1047">
        <v>0.75600000000000001</v>
      </c>
      <c r="F1047" t="s">
        <v>6</v>
      </c>
    </row>
    <row r="1048" spans="1:6" x14ac:dyDescent="0.35">
      <c r="A1048" s="6">
        <v>44806</v>
      </c>
      <c r="B1048" s="3">
        <v>0.5625</v>
      </c>
      <c r="C1048" t="s">
        <v>21</v>
      </c>
      <c r="D1048" t="s">
        <v>11</v>
      </c>
      <c r="E1048">
        <v>0.55000000000000004</v>
      </c>
      <c r="F1048" t="s">
        <v>6</v>
      </c>
    </row>
    <row r="1049" spans="1:6" x14ac:dyDescent="0.35">
      <c r="A1049" s="6">
        <v>44806</v>
      </c>
      <c r="B1049" s="3">
        <v>0.5625</v>
      </c>
      <c r="C1049" t="s">
        <v>18</v>
      </c>
      <c r="D1049" t="s">
        <v>34</v>
      </c>
      <c r="E1049">
        <v>0.91</v>
      </c>
      <c r="F1049" t="s">
        <v>6</v>
      </c>
    </row>
    <row r="1050" spans="1:6" x14ac:dyDescent="0.35">
      <c r="A1050" s="6">
        <v>44806</v>
      </c>
      <c r="B1050" s="3">
        <v>0.5625</v>
      </c>
      <c r="C1050" t="s">
        <v>22</v>
      </c>
      <c r="D1050" t="s">
        <v>7</v>
      </c>
      <c r="E1050">
        <v>0.79800000000000004</v>
      </c>
      <c r="F1050" t="s">
        <v>6</v>
      </c>
    </row>
    <row r="1051" spans="1:6" x14ac:dyDescent="0.35">
      <c r="A1051" s="6">
        <v>44806</v>
      </c>
      <c r="B1051" s="3">
        <v>0.5625</v>
      </c>
      <c r="C1051" t="s">
        <v>19</v>
      </c>
      <c r="D1051" t="s">
        <v>15</v>
      </c>
      <c r="E1051">
        <v>0.41099999999999998</v>
      </c>
      <c r="F1051" t="s">
        <v>6</v>
      </c>
    </row>
    <row r="1052" spans="1:6" x14ac:dyDescent="0.35">
      <c r="A1052" s="6">
        <v>44806</v>
      </c>
      <c r="B1052" s="3">
        <v>0.58333333333333337</v>
      </c>
      <c r="C1052" t="s">
        <v>23</v>
      </c>
      <c r="D1052" t="s">
        <v>35</v>
      </c>
      <c r="E1052">
        <v>0.58699999999999997</v>
      </c>
      <c r="F1052" t="s">
        <v>6</v>
      </c>
    </row>
    <row r="1053" spans="1:6" x14ac:dyDescent="0.35">
      <c r="A1053" s="6">
        <v>44806</v>
      </c>
      <c r="B1053" s="3">
        <v>0.58333333333333337</v>
      </c>
      <c r="C1053" t="s">
        <v>25</v>
      </c>
      <c r="D1053" t="s">
        <v>16</v>
      </c>
      <c r="E1053">
        <v>0.64600000000000002</v>
      </c>
      <c r="F1053" t="s">
        <v>6</v>
      </c>
    </row>
    <row r="1054" spans="1:6" x14ac:dyDescent="0.35">
      <c r="A1054" s="6">
        <v>44806</v>
      </c>
      <c r="B1054" s="3">
        <v>0.58333333333333337</v>
      </c>
      <c r="C1054" t="s">
        <v>20</v>
      </c>
      <c r="D1054" t="s">
        <v>16</v>
      </c>
      <c r="E1054">
        <v>0.45200000000000001</v>
      </c>
      <c r="F1054" t="s">
        <v>6</v>
      </c>
    </row>
    <row r="1055" spans="1:6" x14ac:dyDescent="0.35">
      <c r="A1055" s="6">
        <v>44806</v>
      </c>
      <c r="B1055" s="3">
        <v>0.58333333333333337</v>
      </c>
      <c r="C1055" t="s">
        <v>24</v>
      </c>
      <c r="D1055" t="s">
        <v>17</v>
      </c>
      <c r="E1055">
        <v>0.77500000000000002</v>
      </c>
      <c r="F1055" t="s">
        <v>6</v>
      </c>
    </row>
    <row r="1056" spans="1:6" x14ac:dyDescent="0.35">
      <c r="A1056" s="6">
        <v>44806</v>
      </c>
      <c r="B1056" s="3">
        <v>0.58333333333333337</v>
      </c>
      <c r="C1056" t="s">
        <v>21</v>
      </c>
      <c r="D1056" t="s">
        <v>11</v>
      </c>
      <c r="E1056">
        <v>0.54900000000000004</v>
      </c>
      <c r="F1056" t="s">
        <v>6</v>
      </c>
    </row>
    <row r="1057" spans="1:6" x14ac:dyDescent="0.35">
      <c r="A1057" s="6">
        <v>44806</v>
      </c>
      <c r="B1057" s="3">
        <v>0.58333333333333337</v>
      </c>
      <c r="C1057" t="s">
        <v>18</v>
      </c>
      <c r="D1057" t="s">
        <v>34</v>
      </c>
      <c r="E1057">
        <v>0.91300000000000003</v>
      </c>
      <c r="F1057" t="s">
        <v>6</v>
      </c>
    </row>
    <row r="1058" spans="1:6" x14ac:dyDescent="0.35">
      <c r="A1058" s="6">
        <v>44806</v>
      </c>
      <c r="B1058" s="3">
        <v>0.58333333333333337</v>
      </c>
      <c r="C1058" t="s">
        <v>22</v>
      </c>
      <c r="D1058" t="s">
        <v>7</v>
      </c>
      <c r="E1058">
        <v>0.80300000000000005</v>
      </c>
      <c r="F1058" t="s">
        <v>6</v>
      </c>
    </row>
    <row r="1059" spans="1:6" x14ac:dyDescent="0.35">
      <c r="A1059" s="6">
        <v>44806</v>
      </c>
      <c r="B1059" s="3">
        <v>0.58333333333333337</v>
      </c>
      <c r="C1059" t="s">
        <v>19</v>
      </c>
      <c r="D1059" t="s">
        <v>15</v>
      </c>
      <c r="E1059">
        <v>0.41599999999999998</v>
      </c>
      <c r="F1059" t="s">
        <v>6</v>
      </c>
    </row>
    <row r="1060" spans="1:6" x14ac:dyDescent="0.35">
      <c r="A1060" s="6">
        <v>44806</v>
      </c>
      <c r="B1060" s="3">
        <v>0.60416666666666663</v>
      </c>
      <c r="C1060" t="s">
        <v>23</v>
      </c>
      <c r="D1060" t="s">
        <v>35</v>
      </c>
      <c r="E1060">
        <v>0.59099999999999997</v>
      </c>
      <c r="F1060" t="s">
        <v>6</v>
      </c>
    </row>
    <row r="1061" spans="1:6" x14ac:dyDescent="0.35">
      <c r="A1061" s="6">
        <v>44806</v>
      </c>
      <c r="B1061" s="3">
        <v>0.60416666666666663</v>
      </c>
      <c r="C1061" t="s">
        <v>25</v>
      </c>
      <c r="D1061" t="s">
        <v>16</v>
      </c>
      <c r="E1061">
        <v>0.65800000000000003</v>
      </c>
      <c r="F1061" t="s">
        <v>6</v>
      </c>
    </row>
    <row r="1062" spans="1:6" x14ac:dyDescent="0.35">
      <c r="A1062" s="6">
        <v>44806</v>
      </c>
      <c r="B1062" s="3">
        <v>0.60416666666666663</v>
      </c>
      <c r="C1062" t="s">
        <v>20</v>
      </c>
      <c r="D1062" t="s">
        <v>16</v>
      </c>
      <c r="E1062">
        <v>0.45900000000000002</v>
      </c>
      <c r="F1062" t="s">
        <v>6</v>
      </c>
    </row>
    <row r="1063" spans="1:6" x14ac:dyDescent="0.35">
      <c r="A1063" s="6">
        <v>44806</v>
      </c>
      <c r="B1063" s="3">
        <v>0.60416666666666663</v>
      </c>
      <c r="C1063" t="s">
        <v>24</v>
      </c>
      <c r="D1063" t="s">
        <v>17</v>
      </c>
      <c r="E1063">
        <v>0.79500000000000004</v>
      </c>
      <c r="F1063" t="s">
        <v>6</v>
      </c>
    </row>
    <row r="1064" spans="1:6" x14ac:dyDescent="0.35">
      <c r="A1064" s="6">
        <v>44806</v>
      </c>
      <c r="B1064" s="3">
        <v>0.60416666666666663</v>
      </c>
      <c r="C1064" t="s">
        <v>21</v>
      </c>
      <c r="D1064" t="s">
        <v>11</v>
      </c>
      <c r="E1064">
        <v>0.56200000000000006</v>
      </c>
      <c r="F1064" t="s">
        <v>6</v>
      </c>
    </row>
    <row r="1065" spans="1:6" x14ac:dyDescent="0.35">
      <c r="A1065" s="6">
        <v>44806</v>
      </c>
      <c r="B1065" s="3">
        <v>0.60416666666666663</v>
      </c>
      <c r="C1065" t="s">
        <v>18</v>
      </c>
      <c r="D1065" t="s">
        <v>34</v>
      </c>
      <c r="E1065">
        <v>0.90900000000000003</v>
      </c>
      <c r="F1065" t="s">
        <v>6</v>
      </c>
    </row>
    <row r="1066" spans="1:6" x14ac:dyDescent="0.35">
      <c r="A1066" s="6">
        <v>44806</v>
      </c>
      <c r="B1066" s="3">
        <v>0.60416666666666663</v>
      </c>
      <c r="C1066" t="s">
        <v>22</v>
      </c>
      <c r="D1066" t="s">
        <v>7</v>
      </c>
      <c r="E1066">
        <v>0.80300000000000005</v>
      </c>
      <c r="F1066" t="s">
        <v>6</v>
      </c>
    </row>
    <row r="1067" spans="1:6" x14ac:dyDescent="0.35">
      <c r="A1067" s="6">
        <v>44806</v>
      </c>
      <c r="B1067" s="3">
        <v>0.60416666666666663</v>
      </c>
      <c r="C1067" t="s">
        <v>19</v>
      </c>
      <c r="D1067" t="s">
        <v>15</v>
      </c>
      <c r="E1067">
        <v>0.42499999999999999</v>
      </c>
      <c r="F1067" t="s">
        <v>6</v>
      </c>
    </row>
    <row r="1068" spans="1:6" x14ac:dyDescent="0.35">
      <c r="A1068" s="6">
        <v>44806</v>
      </c>
      <c r="B1068" s="3">
        <v>0.625</v>
      </c>
      <c r="C1068" t="s">
        <v>23</v>
      </c>
      <c r="D1068" t="s">
        <v>35</v>
      </c>
      <c r="E1068">
        <v>0.60399999999999998</v>
      </c>
      <c r="F1068" t="s">
        <v>6</v>
      </c>
    </row>
    <row r="1069" spans="1:6" x14ac:dyDescent="0.35">
      <c r="A1069" s="6">
        <v>44806</v>
      </c>
      <c r="B1069" s="3">
        <v>0.625</v>
      </c>
      <c r="C1069" t="s">
        <v>25</v>
      </c>
      <c r="D1069" t="s">
        <v>16</v>
      </c>
      <c r="E1069">
        <v>0.67600000000000005</v>
      </c>
      <c r="F1069" t="s">
        <v>6</v>
      </c>
    </row>
    <row r="1070" spans="1:6" x14ac:dyDescent="0.35">
      <c r="A1070" s="6">
        <v>44806</v>
      </c>
      <c r="B1070" s="3">
        <v>0.625</v>
      </c>
      <c r="C1070" t="s">
        <v>20</v>
      </c>
      <c r="D1070" t="s">
        <v>16</v>
      </c>
      <c r="E1070">
        <v>0.47599999999999998</v>
      </c>
      <c r="F1070" t="s">
        <v>6</v>
      </c>
    </row>
    <row r="1071" spans="1:6" x14ac:dyDescent="0.35">
      <c r="A1071" s="6">
        <v>44806</v>
      </c>
      <c r="B1071" s="3">
        <v>0.625</v>
      </c>
      <c r="C1071" t="s">
        <v>24</v>
      </c>
      <c r="D1071" t="s">
        <v>17</v>
      </c>
      <c r="E1071">
        <v>0.82</v>
      </c>
      <c r="F1071" t="s">
        <v>6</v>
      </c>
    </row>
    <row r="1072" spans="1:6" x14ac:dyDescent="0.35">
      <c r="A1072" s="6">
        <v>44806</v>
      </c>
      <c r="B1072" s="3">
        <v>0.625</v>
      </c>
      <c r="C1072" t="s">
        <v>21</v>
      </c>
      <c r="D1072" t="s">
        <v>11</v>
      </c>
      <c r="E1072">
        <v>0.58899999999999997</v>
      </c>
      <c r="F1072" t="s">
        <v>6</v>
      </c>
    </row>
    <row r="1073" spans="1:6" x14ac:dyDescent="0.35">
      <c r="A1073" s="6">
        <v>44806</v>
      </c>
      <c r="B1073" s="3">
        <v>0.625</v>
      </c>
      <c r="C1073" t="s">
        <v>18</v>
      </c>
      <c r="D1073" t="s">
        <v>34</v>
      </c>
      <c r="E1073">
        <v>0.9</v>
      </c>
      <c r="F1073" t="s">
        <v>6</v>
      </c>
    </row>
    <row r="1074" spans="1:6" x14ac:dyDescent="0.35">
      <c r="A1074" s="6">
        <v>44806</v>
      </c>
      <c r="B1074" s="3">
        <v>0.625</v>
      </c>
      <c r="C1074" t="s">
        <v>22</v>
      </c>
      <c r="D1074" t="s">
        <v>7</v>
      </c>
      <c r="E1074">
        <v>0.79800000000000004</v>
      </c>
      <c r="F1074" t="s">
        <v>6</v>
      </c>
    </row>
    <row r="1075" spans="1:6" x14ac:dyDescent="0.35">
      <c r="A1075" s="6">
        <v>44806</v>
      </c>
      <c r="B1075" s="3">
        <v>0.625</v>
      </c>
      <c r="C1075" t="s">
        <v>19</v>
      </c>
      <c r="D1075" t="s">
        <v>15</v>
      </c>
      <c r="E1075">
        <v>0.439</v>
      </c>
      <c r="F1075" t="s">
        <v>6</v>
      </c>
    </row>
    <row r="1076" spans="1:6" x14ac:dyDescent="0.35">
      <c r="A1076" s="6">
        <v>44806</v>
      </c>
      <c r="B1076" s="3">
        <v>0.64583333333333337</v>
      </c>
      <c r="C1076" t="s">
        <v>23</v>
      </c>
      <c r="D1076" t="s">
        <v>35</v>
      </c>
      <c r="E1076">
        <v>0.622</v>
      </c>
      <c r="F1076" t="s">
        <v>6</v>
      </c>
    </row>
    <row r="1077" spans="1:6" x14ac:dyDescent="0.35">
      <c r="A1077" s="6">
        <v>44806</v>
      </c>
      <c r="B1077" s="3">
        <v>0.64583333333333337</v>
      </c>
      <c r="C1077" t="s">
        <v>25</v>
      </c>
      <c r="D1077" t="s">
        <v>16</v>
      </c>
      <c r="E1077">
        <v>0.69799999999999995</v>
      </c>
      <c r="F1077" t="s">
        <v>6</v>
      </c>
    </row>
    <row r="1078" spans="1:6" x14ac:dyDescent="0.35">
      <c r="A1078" s="6">
        <v>44806</v>
      </c>
      <c r="B1078" s="3">
        <v>0.64583333333333337</v>
      </c>
      <c r="C1078" t="s">
        <v>20</v>
      </c>
      <c r="D1078" t="s">
        <v>16</v>
      </c>
      <c r="E1078">
        <v>0.496</v>
      </c>
      <c r="F1078" t="s">
        <v>6</v>
      </c>
    </row>
    <row r="1079" spans="1:6" x14ac:dyDescent="0.35">
      <c r="A1079" s="6">
        <v>44806</v>
      </c>
      <c r="B1079" s="3">
        <v>0.64583333333333337</v>
      </c>
      <c r="C1079" t="s">
        <v>24</v>
      </c>
      <c r="D1079" t="s">
        <v>17</v>
      </c>
      <c r="E1079">
        <v>0.84899999999999998</v>
      </c>
      <c r="F1079" t="s">
        <v>6</v>
      </c>
    </row>
    <row r="1080" spans="1:6" x14ac:dyDescent="0.35">
      <c r="A1080" s="6">
        <v>44806</v>
      </c>
      <c r="B1080" s="3">
        <v>0.64583333333333337</v>
      </c>
      <c r="C1080" t="s">
        <v>21</v>
      </c>
      <c r="D1080" t="s">
        <v>11</v>
      </c>
      <c r="E1080">
        <v>0.61</v>
      </c>
      <c r="F1080" t="s">
        <v>6</v>
      </c>
    </row>
    <row r="1081" spans="1:6" x14ac:dyDescent="0.35">
      <c r="A1081" s="6">
        <v>44806</v>
      </c>
      <c r="B1081" s="3">
        <v>0.64583333333333337</v>
      </c>
      <c r="C1081" t="s">
        <v>18</v>
      </c>
      <c r="D1081" t="s">
        <v>34</v>
      </c>
      <c r="E1081">
        <v>0.88700000000000001</v>
      </c>
      <c r="F1081" t="s">
        <v>6</v>
      </c>
    </row>
    <row r="1082" spans="1:6" x14ac:dyDescent="0.35">
      <c r="A1082" s="6">
        <v>44806</v>
      </c>
      <c r="B1082" s="3">
        <v>0.64583333333333337</v>
      </c>
      <c r="C1082" t="s">
        <v>22</v>
      </c>
      <c r="D1082" t="s">
        <v>7</v>
      </c>
      <c r="E1082">
        <v>0.78600000000000003</v>
      </c>
      <c r="F1082" t="s">
        <v>6</v>
      </c>
    </row>
    <row r="1083" spans="1:6" x14ac:dyDescent="0.35">
      <c r="A1083" s="6">
        <v>44806</v>
      </c>
      <c r="B1083" s="3">
        <v>0.64583333333333337</v>
      </c>
      <c r="C1083" t="s">
        <v>19</v>
      </c>
      <c r="D1083" t="s">
        <v>15</v>
      </c>
      <c r="E1083">
        <v>0.45100000000000001</v>
      </c>
      <c r="F1083" t="s">
        <v>6</v>
      </c>
    </row>
    <row r="1084" spans="1:6" x14ac:dyDescent="0.35">
      <c r="A1084" s="6">
        <v>44806</v>
      </c>
      <c r="B1084" s="3">
        <v>0.66666666666666663</v>
      </c>
      <c r="C1084" t="s">
        <v>23</v>
      </c>
      <c r="D1084" t="s">
        <v>35</v>
      </c>
      <c r="E1084">
        <v>0.64200000000000002</v>
      </c>
      <c r="F1084" t="s">
        <v>6</v>
      </c>
    </row>
    <row r="1085" spans="1:6" x14ac:dyDescent="0.35">
      <c r="A1085" s="6">
        <v>44806</v>
      </c>
      <c r="B1085" s="3">
        <v>0.66666666666666663</v>
      </c>
      <c r="C1085" t="s">
        <v>25</v>
      </c>
      <c r="D1085" t="s">
        <v>16</v>
      </c>
      <c r="E1085">
        <v>0.72299999999999998</v>
      </c>
      <c r="F1085" t="s">
        <v>6</v>
      </c>
    </row>
    <row r="1086" spans="1:6" x14ac:dyDescent="0.35">
      <c r="A1086" s="6">
        <v>44806</v>
      </c>
      <c r="B1086" s="3">
        <v>0.66666666666666663</v>
      </c>
      <c r="C1086" t="s">
        <v>20</v>
      </c>
      <c r="D1086" t="s">
        <v>16</v>
      </c>
      <c r="E1086">
        <v>0.50800000000000001</v>
      </c>
      <c r="F1086" t="s">
        <v>6</v>
      </c>
    </row>
    <row r="1087" spans="1:6" x14ac:dyDescent="0.35">
      <c r="A1087" s="6">
        <v>44806</v>
      </c>
      <c r="B1087" s="3">
        <v>0.66666666666666663</v>
      </c>
      <c r="C1087" t="s">
        <v>24</v>
      </c>
      <c r="D1087" t="s">
        <v>17</v>
      </c>
      <c r="E1087">
        <v>0.876</v>
      </c>
      <c r="F1087" t="s">
        <v>6</v>
      </c>
    </row>
    <row r="1088" spans="1:6" x14ac:dyDescent="0.35">
      <c r="A1088" s="6">
        <v>44806</v>
      </c>
      <c r="B1088" s="3">
        <v>0.66666666666666663</v>
      </c>
      <c r="C1088" t="s">
        <v>21</v>
      </c>
      <c r="D1088" t="s">
        <v>11</v>
      </c>
      <c r="E1088">
        <v>0.621</v>
      </c>
      <c r="F1088" t="s">
        <v>6</v>
      </c>
    </row>
    <row r="1089" spans="1:6" x14ac:dyDescent="0.35">
      <c r="A1089" s="6">
        <v>44806</v>
      </c>
      <c r="B1089" s="3">
        <v>0.66666666666666663</v>
      </c>
      <c r="C1089" t="s">
        <v>18</v>
      </c>
      <c r="D1089" t="s">
        <v>34</v>
      </c>
      <c r="E1089">
        <v>0.89100000000000001</v>
      </c>
      <c r="F1089" t="s">
        <v>6</v>
      </c>
    </row>
    <row r="1090" spans="1:6" x14ac:dyDescent="0.35">
      <c r="A1090" s="6">
        <v>44806</v>
      </c>
      <c r="B1090" s="3">
        <v>0.66666666666666663</v>
      </c>
      <c r="C1090" t="s">
        <v>22</v>
      </c>
      <c r="D1090" t="s">
        <v>7</v>
      </c>
      <c r="E1090">
        <v>0.77300000000000002</v>
      </c>
      <c r="F1090" t="s">
        <v>6</v>
      </c>
    </row>
    <row r="1091" spans="1:6" x14ac:dyDescent="0.35">
      <c r="A1091" s="6">
        <v>44806</v>
      </c>
      <c r="B1091" s="3">
        <v>0.66666666666666663</v>
      </c>
      <c r="C1091" t="s">
        <v>19</v>
      </c>
      <c r="D1091" t="s">
        <v>15</v>
      </c>
      <c r="E1091">
        <v>0.46</v>
      </c>
      <c r="F1091" t="s">
        <v>6</v>
      </c>
    </row>
    <row r="1092" spans="1:6" x14ac:dyDescent="0.35">
      <c r="A1092" s="6">
        <v>44806</v>
      </c>
      <c r="B1092" s="3">
        <v>0.91666666666666663</v>
      </c>
      <c r="C1092" t="s">
        <v>13</v>
      </c>
      <c r="D1092" t="s">
        <v>13</v>
      </c>
      <c r="E1092">
        <v>0.36399999999999999</v>
      </c>
      <c r="F1092" t="s">
        <v>6</v>
      </c>
    </row>
    <row r="1093" spans="1:6" x14ac:dyDescent="0.35">
      <c r="A1093" s="6">
        <v>44806</v>
      </c>
      <c r="B1093" s="3">
        <v>0.91666666666666663</v>
      </c>
      <c r="C1093" t="s">
        <v>16</v>
      </c>
      <c r="D1093" t="s">
        <v>16</v>
      </c>
      <c r="E1093">
        <v>0.63900000000000001</v>
      </c>
      <c r="F1093" t="s">
        <v>6</v>
      </c>
    </row>
    <row r="1094" spans="1:6" x14ac:dyDescent="0.35">
      <c r="A1094" s="6">
        <v>44806</v>
      </c>
      <c r="B1094" s="3">
        <v>0.91666666666666663</v>
      </c>
      <c r="C1094" t="s">
        <v>14</v>
      </c>
      <c r="D1094" t="s">
        <v>14</v>
      </c>
      <c r="E1094">
        <v>0.57399999999999995</v>
      </c>
      <c r="F1094" t="s">
        <v>6</v>
      </c>
    </row>
    <row r="1095" spans="1:6" x14ac:dyDescent="0.35">
      <c r="A1095" s="6">
        <v>44806</v>
      </c>
      <c r="B1095" s="3">
        <v>0.91666666666666663</v>
      </c>
      <c r="C1095" t="s">
        <v>17</v>
      </c>
      <c r="D1095" t="s">
        <v>17</v>
      </c>
      <c r="E1095">
        <v>0.30599999999999999</v>
      </c>
      <c r="F1095" t="s">
        <v>6</v>
      </c>
    </row>
    <row r="1096" spans="1:6" x14ac:dyDescent="0.35">
      <c r="A1096" s="6">
        <v>44806</v>
      </c>
      <c r="B1096" s="3">
        <v>0.91666666666666663</v>
      </c>
      <c r="C1096" t="s">
        <v>12</v>
      </c>
      <c r="D1096" t="s">
        <v>12</v>
      </c>
      <c r="E1096">
        <v>0.442</v>
      </c>
      <c r="F1096" t="s">
        <v>6</v>
      </c>
    </row>
    <row r="1097" spans="1:6" x14ac:dyDescent="0.35">
      <c r="A1097" s="6">
        <v>44806</v>
      </c>
      <c r="B1097" s="3">
        <v>0.91666666666666663</v>
      </c>
      <c r="C1097" t="s">
        <v>9</v>
      </c>
      <c r="D1097" t="s">
        <v>9</v>
      </c>
      <c r="E1097">
        <v>0.54300000000000004</v>
      </c>
      <c r="F1097" t="s">
        <v>6</v>
      </c>
    </row>
    <row r="1098" spans="1:6" x14ac:dyDescent="0.35">
      <c r="A1098" s="6">
        <v>44806</v>
      </c>
      <c r="B1098" s="3">
        <v>0.9375</v>
      </c>
      <c r="C1098" t="s">
        <v>13</v>
      </c>
      <c r="D1098" t="s">
        <v>13</v>
      </c>
      <c r="E1098">
        <v>0.49299999999999999</v>
      </c>
      <c r="F1098" t="s">
        <v>6</v>
      </c>
    </row>
    <row r="1099" spans="1:6" x14ac:dyDescent="0.35">
      <c r="A1099" s="6">
        <v>44806</v>
      </c>
      <c r="B1099" s="3">
        <v>0.9375</v>
      </c>
      <c r="C1099" t="s">
        <v>16</v>
      </c>
      <c r="D1099" t="s">
        <v>16</v>
      </c>
      <c r="E1099">
        <v>0.78200000000000003</v>
      </c>
      <c r="F1099" t="s">
        <v>6</v>
      </c>
    </row>
    <row r="1100" spans="1:6" x14ac:dyDescent="0.35">
      <c r="A1100" s="6">
        <v>44806</v>
      </c>
      <c r="B1100" s="3">
        <v>0.9375</v>
      </c>
      <c r="C1100" t="s">
        <v>14</v>
      </c>
      <c r="D1100" t="s">
        <v>14</v>
      </c>
      <c r="E1100">
        <v>0.69199999999999995</v>
      </c>
      <c r="F1100" t="s">
        <v>6</v>
      </c>
    </row>
    <row r="1101" spans="1:6" x14ac:dyDescent="0.35">
      <c r="A1101" s="6">
        <v>44806</v>
      </c>
      <c r="B1101" s="3">
        <v>0.9375</v>
      </c>
      <c r="C1101" t="s">
        <v>17</v>
      </c>
      <c r="D1101" t="s">
        <v>17</v>
      </c>
      <c r="E1101">
        <v>0.41699999999999998</v>
      </c>
      <c r="F1101" t="s">
        <v>6</v>
      </c>
    </row>
    <row r="1102" spans="1:6" x14ac:dyDescent="0.35">
      <c r="A1102" s="6">
        <v>44806</v>
      </c>
      <c r="B1102" s="3">
        <v>0.9375</v>
      </c>
      <c r="C1102" t="s">
        <v>12</v>
      </c>
      <c r="D1102" t="s">
        <v>12</v>
      </c>
      <c r="E1102">
        <v>0.58499999999999996</v>
      </c>
      <c r="F1102" t="s">
        <v>6</v>
      </c>
    </row>
    <row r="1103" spans="1:6" x14ac:dyDescent="0.35">
      <c r="A1103" s="6">
        <v>44806</v>
      </c>
      <c r="B1103" s="3">
        <v>0.9375</v>
      </c>
      <c r="C1103" t="s">
        <v>9</v>
      </c>
      <c r="D1103" t="s">
        <v>9</v>
      </c>
      <c r="E1103">
        <v>0.66600000000000004</v>
      </c>
      <c r="F1103" t="s">
        <v>6</v>
      </c>
    </row>
    <row r="1104" spans="1:6" x14ac:dyDescent="0.35">
      <c r="A1104" s="6">
        <v>44806</v>
      </c>
      <c r="B1104" s="3">
        <v>0.95833333333333337</v>
      </c>
      <c r="C1104" t="s">
        <v>13</v>
      </c>
      <c r="D1104" t="s">
        <v>13</v>
      </c>
      <c r="E1104">
        <v>0.54400000000000004</v>
      </c>
      <c r="F1104" t="s">
        <v>6</v>
      </c>
    </row>
    <row r="1105" spans="1:6" x14ac:dyDescent="0.35">
      <c r="A1105" s="6">
        <v>44806</v>
      </c>
      <c r="B1105" s="3">
        <v>0.95833333333333337</v>
      </c>
      <c r="C1105" t="s">
        <v>16</v>
      </c>
      <c r="D1105" t="s">
        <v>16</v>
      </c>
      <c r="E1105">
        <v>0.83299999999999996</v>
      </c>
      <c r="F1105" t="s">
        <v>6</v>
      </c>
    </row>
    <row r="1106" spans="1:6" x14ac:dyDescent="0.35">
      <c r="A1106" s="6">
        <v>44806</v>
      </c>
      <c r="B1106" s="3">
        <v>0.95833333333333337</v>
      </c>
      <c r="C1106" t="s">
        <v>14</v>
      </c>
      <c r="D1106" t="s">
        <v>14</v>
      </c>
      <c r="E1106">
        <v>0.74199999999999999</v>
      </c>
      <c r="F1106" t="s">
        <v>6</v>
      </c>
    </row>
    <row r="1107" spans="1:6" x14ac:dyDescent="0.35">
      <c r="A1107" s="6">
        <v>44806</v>
      </c>
      <c r="B1107" s="3">
        <v>0.95833333333333337</v>
      </c>
      <c r="C1107" t="s">
        <v>17</v>
      </c>
      <c r="D1107" t="s">
        <v>17</v>
      </c>
      <c r="E1107">
        <v>0.45700000000000002</v>
      </c>
      <c r="F1107" t="s">
        <v>6</v>
      </c>
    </row>
    <row r="1108" spans="1:6" x14ac:dyDescent="0.35">
      <c r="A1108" s="6">
        <v>44806</v>
      </c>
      <c r="B1108" s="3">
        <v>0.95833333333333337</v>
      </c>
      <c r="C1108" t="s">
        <v>12</v>
      </c>
      <c r="D1108" t="s">
        <v>12</v>
      </c>
      <c r="E1108">
        <v>0.64200000000000002</v>
      </c>
      <c r="F1108" t="s">
        <v>6</v>
      </c>
    </row>
    <row r="1109" spans="1:6" x14ac:dyDescent="0.35">
      <c r="A1109" s="6">
        <v>44806</v>
      </c>
      <c r="B1109" s="3">
        <v>0.95833333333333337</v>
      </c>
      <c r="C1109" t="s">
        <v>9</v>
      </c>
      <c r="D1109" t="s">
        <v>9</v>
      </c>
      <c r="E1109">
        <v>0.73499999999999999</v>
      </c>
      <c r="F1109" t="s">
        <v>6</v>
      </c>
    </row>
    <row r="1110" spans="1:6" x14ac:dyDescent="0.35">
      <c r="A1110" s="6">
        <v>44806</v>
      </c>
      <c r="B1110" s="3">
        <v>0.97916666666666663</v>
      </c>
      <c r="C1110" t="s">
        <v>13</v>
      </c>
      <c r="D1110" t="s">
        <v>13</v>
      </c>
      <c r="E1110">
        <v>0.56399999999999995</v>
      </c>
      <c r="F1110" t="s">
        <v>6</v>
      </c>
    </row>
    <row r="1111" spans="1:6" x14ac:dyDescent="0.35">
      <c r="A1111" s="6">
        <v>44806</v>
      </c>
      <c r="B1111" s="3">
        <v>0.97916666666666663</v>
      </c>
      <c r="C1111" t="s">
        <v>16</v>
      </c>
      <c r="D1111" t="s">
        <v>16</v>
      </c>
      <c r="E1111">
        <v>0.85</v>
      </c>
      <c r="F1111" t="s">
        <v>6</v>
      </c>
    </row>
    <row r="1112" spans="1:6" x14ac:dyDescent="0.35">
      <c r="A1112" s="6">
        <v>44806</v>
      </c>
      <c r="B1112" s="3">
        <v>0.97916666666666663</v>
      </c>
      <c r="C1112" t="s">
        <v>14</v>
      </c>
      <c r="D1112" t="s">
        <v>14</v>
      </c>
      <c r="E1112">
        <v>0.76300000000000001</v>
      </c>
      <c r="F1112" t="s">
        <v>6</v>
      </c>
    </row>
    <row r="1113" spans="1:6" x14ac:dyDescent="0.35">
      <c r="A1113" s="6">
        <v>44806</v>
      </c>
      <c r="B1113" s="3">
        <v>0.97916666666666663</v>
      </c>
      <c r="C1113" t="s">
        <v>17</v>
      </c>
      <c r="D1113" t="s">
        <v>17</v>
      </c>
      <c r="E1113">
        <v>0.47099999999999997</v>
      </c>
      <c r="F1113" t="s">
        <v>6</v>
      </c>
    </row>
    <row r="1114" spans="1:6" x14ac:dyDescent="0.35">
      <c r="A1114" s="6">
        <v>44806</v>
      </c>
      <c r="B1114" s="3">
        <v>0.97916666666666663</v>
      </c>
      <c r="C1114" t="s">
        <v>12</v>
      </c>
      <c r="D1114" t="s">
        <v>12</v>
      </c>
      <c r="E1114">
        <v>0.66300000000000003</v>
      </c>
      <c r="F1114" t="s">
        <v>6</v>
      </c>
    </row>
    <row r="1115" spans="1:6" x14ac:dyDescent="0.35">
      <c r="A1115" s="6">
        <v>44806</v>
      </c>
      <c r="B1115" s="3">
        <v>0.97916666666666663</v>
      </c>
      <c r="C1115" t="s">
        <v>9</v>
      </c>
      <c r="D1115" t="s">
        <v>9</v>
      </c>
      <c r="E1115">
        <v>0.76700000000000002</v>
      </c>
      <c r="F1115" t="s">
        <v>6</v>
      </c>
    </row>
    <row r="1116" spans="1:6" x14ac:dyDescent="0.35">
      <c r="A1116" s="6">
        <v>44807</v>
      </c>
      <c r="B1116" s="3">
        <v>0</v>
      </c>
      <c r="C1116" t="s">
        <v>13</v>
      </c>
      <c r="D1116" t="s">
        <v>13</v>
      </c>
      <c r="E1116">
        <v>0.57599999999999996</v>
      </c>
      <c r="F1116" t="s">
        <v>6</v>
      </c>
    </row>
    <row r="1117" spans="1:6" x14ac:dyDescent="0.35">
      <c r="A1117" s="6">
        <v>44807</v>
      </c>
      <c r="B1117" s="3">
        <v>0</v>
      </c>
      <c r="C1117" t="s">
        <v>16</v>
      </c>
      <c r="D1117" t="s">
        <v>16</v>
      </c>
      <c r="E1117">
        <v>0.85899999999999999</v>
      </c>
      <c r="F1117" t="s">
        <v>6</v>
      </c>
    </row>
    <row r="1118" spans="1:6" x14ac:dyDescent="0.35">
      <c r="A1118" s="6">
        <v>44807</v>
      </c>
      <c r="B1118" s="3">
        <v>0</v>
      </c>
      <c r="C1118" t="s">
        <v>14</v>
      </c>
      <c r="D1118" t="s">
        <v>14</v>
      </c>
      <c r="E1118">
        <v>0.77700000000000002</v>
      </c>
      <c r="F1118" t="s">
        <v>6</v>
      </c>
    </row>
    <row r="1119" spans="1:6" x14ac:dyDescent="0.35">
      <c r="A1119" s="6">
        <v>44807</v>
      </c>
      <c r="B1119" s="3">
        <v>0</v>
      </c>
      <c r="C1119" t="s">
        <v>17</v>
      </c>
      <c r="D1119" t="s">
        <v>17</v>
      </c>
      <c r="E1119">
        <v>0.47799999999999998</v>
      </c>
      <c r="F1119" t="s">
        <v>6</v>
      </c>
    </row>
    <row r="1120" spans="1:6" x14ac:dyDescent="0.35">
      <c r="A1120" s="6">
        <v>44807</v>
      </c>
      <c r="B1120" s="3">
        <v>0</v>
      </c>
      <c r="C1120" t="s">
        <v>12</v>
      </c>
      <c r="D1120" t="s">
        <v>12</v>
      </c>
      <c r="E1120">
        <v>0.67300000000000004</v>
      </c>
      <c r="F1120" t="s">
        <v>6</v>
      </c>
    </row>
    <row r="1121" spans="1:6" x14ac:dyDescent="0.35">
      <c r="A1121" s="6">
        <v>44807</v>
      </c>
      <c r="B1121" s="3">
        <v>0</v>
      </c>
      <c r="C1121" t="s">
        <v>9</v>
      </c>
      <c r="D1121" t="s">
        <v>9</v>
      </c>
      <c r="E1121">
        <v>0.78500000000000003</v>
      </c>
      <c r="F1121" t="s">
        <v>6</v>
      </c>
    </row>
    <row r="1122" spans="1:6" x14ac:dyDescent="0.35">
      <c r="A1122" s="6">
        <v>44807</v>
      </c>
      <c r="B1122" s="3">
        <v>2.0833333333333332E-2</v>
      </c>
      <c r="C1122" t="s">
        <v>13</v>
      </c>
      <c r="D1122" t="s">
        <v>13</v>
      </c>
      <c r="E1122">
        <v>0.58199999999999996</v>
      </c>
      <c r="F1122" t="s">
        <v>6</v>
      </c>
    </row>
    <row r="1123" spans="1:6" x14ac:dyDescent="0.35">
      <c r="A1123" s="6">
        <v>44807</v>
      </c>
      <c r="B1123" s="3">
        <v>2.0833333333333332E-2</v>
      </c>
      <c r="C1123" t="s">
        <v>16</v>
      </c>
      <c r="D1123" t="s">
        <v>16</v>
      </c>
      <c r="E1123">
        <v>0.86499999999999999</v>
      </c>
      <c r="F1123" t="s">
        <v>6</v>
      </c>
    </row>
    <row r="1124" spans="1:6" x14ac:dyDescent="0.35">
      <c r="A1124" s="6">
        <v>44807</v>
      </c>
      <c r="B1124" s="3">
        <v>2.0833333333333332E-2</v>
      </c>
      <c r="C1124" t="s">
        <v>14</v>
      </c>
      <c r="D1124" t="s">
        <v>14</v>
      </c>
      <c r="E1124">
        <v>0.78600000000000003</v>
      </c>
      <c r="F1124" t="s">
        <v>6</v>
      </c>
    </row>
    <row r="1125" spans="1:6" x14ac:dyDescent="0.35">
      <c r="A1125" s="6">
        <v>44807</v>
      </c>
      <c r="B1125" s="3">
        <v>2.0833333333333332E-2</v>
      </c>
      <c r="C1125" t="s">
        <v>17</v>
      </c>
      <c r="D1125" t="s">
        <v>17</v>
      </c>
      <c r="E1125">
        <v>0.48199999999999998</v>
      </c>
      <c r="F1125" t="s">
        <v>6</v>
      </c>
    </row>
    <row r="1126" spans="1:6" x14ac:dyDescent="0.35">
      <c r="A1126" s="6">
        <v>44807</v>
      </c>
      <c r="B1126" s="3">
        <v>2.0833333333333332E-2</v>
      </c>
      <c r="C1126" t="s">
        <v>12</v>
      </c>
      <c r="D1126" t="s">
        <v>12</v>
      </c>
      <c r="E1126">
        <v>0.68</v>
      </c>
      <c r="F1126" t="s">
        <v>6</v>
      </c>
    </row>
    <row r="1127" spans="1:6" x14ac:dyDescent="0.35">
      <c r="A1127" s="6">
        <v>44807</v>
      </c>
      <c r="B1127" s="3">
        <v>2.0833333333333332E-2</v>
      </c>
      <c r="C1127" t="s">
        <v>9</v>
      </c>
      <c r="D1127" t="s">
        <v>9</v>
      </c>
      <c r="E1127">
        <v>0.79600000000000004</v>
      </c>
      <c r="F1127" t="s">
        <v>6</v>
      </c>
    </row>
    <row r="1128" spans="1:6" x14ac:dyDescent="0.35">
      <c r="A1128" s="6">
        <v>44807</v>
      </c>
      <c r="B1128" s="3">
        <v>4.1666666666666664E-2</v>
      </c>
      <c r="C1128" t="s">
        <v>13</v>
      </c>
      <c r="D1128" t="s">
        <v>13</v>
      </c>
      <c r="E1128">
        <v>0.58699999999999997</v>
      </c>
      <c r="F1128" t="s">
        <v>6</v>
      </c>
    </row>
    <row r="1129" spans="1:6" x14ac:dyDescent="0.35">
      <c r="A1129" s="6">
        <v>44807</v>
      </c>
      <c r="B1129" s="3">
        <v>4.1666666666666664E-2</v>
      </c>
      <c r="C1129" t="s">
        <v>16</v>
      </c>
      <c r="D1129" t="s">
        <v>16</v>
      </c>
      <c r="E1129">
        <v>0.86899999999999999</v>
      </c>
      <c r="F1129" t="s">
        <v>6</v>
      </c>
    </row>
    <row r="1130" spans="1:6" x14ac:dyDescent="0.35">
      <c r="A1130" s="6">
        <v>44807</v>
      </c>
      <c r="B1130" s="3">
        <v>4.1666666666666664E-2</v>
      </c>
      <c r="C1130" t="s">
        <v>14</v>
      </c>
      <c r="D1130" t="s">
        <v>14</v>
      </c>
      <c r="E1130">
        <v>0.79100000000000004</v>
      </c>
      <c r="F1130" t="s">
        <v>6</v>
      </c>
    </row>
    <row r="1131" spans="1:6" x14ac:dyDescent="0.35">
      <c r="A1131" s="6">
        <v>44807</v>
      </c>
      <c r="B1131" s="3">
        <v>4.1666666666666664E-2</v>
      </c>
      <c r="C1131" t="s">
        <v>17</v>
      </c>
      <c r="D1131" t="s">
        <v>17</v>
      </c>
      <c r="E1131">
        <v>0.48399999999999999</v>
      </c>
      <c r="F1131" t="s">
        <v>6</v>
      </c>
    </row>
    <row r="1132" spans="1:6" x14ac:dyDescent="0.35">
      <c r="A1132" s="6">
        <v>44807</v>
      </c>
      <c r="B1132" s="3">
        <v>4.1666666666666664E-2</v>
      </c>
      <c r="C1132" t="s">
        <v>12</v>
      </c>
      <c r="D1132" t="s">
        <v>12</v>
      </c>
      <c r="E1132">
        <v>0.68500000000000005</v>
      </c>
      <c r="F1132" t="s">
        <v>6</v>
      </c>
    </row>
    <row r="1133" spans="1:6" x14ac:dyDescent="0.35">
      <c r="A1133" s="6">
        <v>44807</v>
      </c>
      <c r="B1133" s="3">
        <v>4.1666666666666664E-2</v>
      </c>
      <c r="C1133" t="s">
        <v>9</v>
      </c>
      <c r="D1133" t="s">
        <v>9</v>
      </c>
      <c r="E1133">
        <v>0.80300000000000005</v>
      </c>
      <c r="F1133" t="s">
        <v>6</v>
      </c>
    </row>
    <row r="1134" spans="1:6" x14ac:dyDescent="0.35">
      <c r="A1134" s="6">
        <v>44807</v>
      </c>
      <c r="B1134" s="3">
        <v>6.25E-2</v>
      </c>
      <c r="C1134" t="s">
        <v>13</v>
      </c>
      <c r="D1134" t="s">
        <v>13</v>
      </c>
      <c r="E1134">
        <v>0.59099999999999997</v>
      </c>
      <c r="F1134" t="s">
        <v>6</v>
      </c>
    </row>
    <row r="1135" spans="1:6" x14ac:dyDescent="0.35">
      <c r="A1135" s="6">
        <v>44807</v>
      </c>
      <c r="B1135" s="3">
        <v>6.25E-2</v>
      </c>
      <c r="C1135" t="s">
        <v>16</v>
      </c>
      <c r="D1135" t="s">
        <v>16</v>
      </c>
      <c r="E1135">
        <v>0.871</v>
      </c>
      <c r="F1135" t="s">
        <v>6</v>
      </c>
    </row>
    <row r="1136" spans="1:6" x14ac:dyDescent="0.35">
      <c r="A1136" s="6">
        <v>44807</v>
      </c>
      <c r="B1136" s="3">
        <v>6.25E-2</v>
      </c>
      <c r="C1136" t="s">
        <v>14</v>
      </c>
      <c r="D1136" t="s">
        <v>14</v>
      </c>
      <c r="E1136">
        <v>0.79500000000000004</v>
      </c>
      <c r="F1136" t="s">
        <v>6</v>
      </c>
    </row>
    <row r="1137" spans="1:6" x14ac:dyDescent="0.35">
      <c r="A1137" s="6">
        <v>44807</v>
      </c>
      <c r="B1137" s="3">
        <v>6.25E-2</v>
      </c>
      <c r="C1137" t="s">
        <v>17</v>
      </c>
      <c r="D1137" t="s">
        <v>17</v>
      </c>
      <c r="E1137">
        <v>0.48599999999999999</v>
      </c>
      <c r="F1137" t="s">
        <v>6</v>
      </c>
    </row>
    <row r="1138" spans="1:6" x14ac:dyDescent="0.35">
      <c r="A1138" s="6">
        <v>44807</v>
      </c>
      <c r="B1138" s="3">
        <v>6.25E-2</v>
      </c>
      <c r="C1138" t="s">
        <v>12</v>
      </c>
      <c r="D1138" t="s">
        <v>12</v>
      </c>
      <c r="E1138">
        <v>0.69</v>
      </c>
      <c r="F1138" t="s">
        <v>6</v>
      </c>
    </row>
    <row r="1139" spans="1:6" x14ac:dyDescent="0.35">
      <c r="A1139" s="6">
        <v>44807</v>
      </c>
      <c r="B1139" s="3">
        <v>6.25E-2</v>
      </c>
      <c r="C1139" t="s">
        <v>9</v>
      </c>
      <c r="D1139" t="s">
        <v>9</v>
      </c>
      <c r="E1139">
        <v>0.80800000000000005</v>
      </c>
      <c r="F1139" t="s">
        <v>6</v>
      </c>
    </row>
    <row r="1140" spans="1:6" x14ac:dyDescent="0.35">
      <c r="A1140" s="6">
        <v>44807</v>
      </c>
      <c r="B1140" s="3">
        <v>8.3333333333333329E-2</v>
      </c>
      <c r="C1140" t="s">
        <v>13</v>
      </c>
      <c r="D1140" t="s">
        <v>13</v>
      </c>
      <c r="E1140">
        <v>0.59499999999999997</v>
      </c>
      <c r="F1140" t="s">
        <v>6</v>
      </c>
    </row>
    <row r="1141" spans="1:6" x14ac:dyDescent="0.35">
      <c r="A1141" s="6">
        <v>44807</v>
      </c>
      <c r="B1141" s="3">
        <v>8.3333333333333329E-2</v>
      </c>
      <c r="C1141" t="s">
        <v>16</v>
      </c>
      <c r="D1141" t="s">
        <v>16</v>
      </c>
      <c r="E1141">
        <v>0.873</v>
      </c>
      <c r="F1141" t="s">
        <v>6</v>
      </c>
    </row>
    <row r="1142" spans="1:6" x14ac:dyDescent="0.35">
      <c r="A1142" s="6">
        <v>44807</v>
      </c>
      <c r="B1142" s="3">
        <v>8.3333333333333329E-2</v>
      </c>
      <c r="C1142" t="s">
        <v>14</v>
      </c>
      <c r="D1142" t="s">
        <v>14</v>
      </c>
      <c r="E1142">
        <v>0.79800000000000004</v>
      </c>
      <c r="F1142" t="s">
        <v>6</v>
      </c>
    </row>
    <row r="1143" spans="1:6" x14ac:dyDescent="0.35">
      <c r="A1143" s="6">
        <v>44807</v>
      </c>
      <c r="B1143" s="3">
        <v>8.3333333333333329E-2</v>
      </c>
      <c r="C1143" t="s">
        <v>17</v>
      </c>
      <c r="D1143" t="s">
        <v>17</v>
      </c>
      <c r="E1143">
        <v>0.48699999999999999</v>
      </c>
      <c r="F1143" t="s">
        <v>6</v>
      </c>
    </row>
    <row r="1144" spans="1:6" x14ac:dyDescent="0.35">
      <c r="A1144" s="6">
        <v>44807</v>
      </c>
      <c r="B1144" s="3">
        <v>8.3333333333333329E-2</v>
      </c>
      <c r="C1144" t="s">
        <v>12</v>
      </c>
      <c r="D1144" t="s">
        <v>12</v>
      </c>
      <c r="E1144">
        <v>0.69199999999999995</v>
      </c>
      <c r="F1144" t="s">
        <v>6</v>
      </c>
    </row>
    <row r="1145" spans="1:6" x14ac:dyDescent="0.35">
      <c r="A1145" s="6">
        <v>44807</v>
      </c>
      <c r="B1145" s="3">
        <v>8.3333333333333329E-2</v>
      </c>
      <c r="C1145" t="s">
        <v>9</v>
      </c>
      <c r="D1145" t="s">
        <v>9</v>
      </c>
      <c r="E1145">
        <v>0.81</v>
      </c>
      <c r="F1145" t="s">
        <v>6</v>
      </c>
    </row>
    <row r="1146" spans="1:6" x14ac:dyDescent="0.35">
      <c r="A1146" s="6">
        <v>44807</v>
      </c>
      <c r="B1146" s="3">
        <v>0.10416666666666667</v>
      </c>
      <c r="C1146" t="s">
        <v>13</v>
      </c>
      <c r="D1146" t="s">
        <v>13</v>
      </c>
      <c r="E1146">
        <v>0.59699999999999998</v>
      </c>
      <c r="F1146" t="s">
        <v>6</v>
      </c>
    </row>
    <row r="1147" spans="1:6" x14ac:dyDescent="0.35">
      <c r="A1147" s="6">
        <v>44807</v>
      </c>
      <c r="B1147" s="3">
        <v>0.10416666666666667</v>
      </c>
      <c r="C1147" t="s">
        <v>16</v>
      </c>
      <c r="D1147" t="s">
        <v>16</v>
      </c>
      <c r="E1147">
        <v>0.874</v>
      </c>
      <c r="F1147" t="s">
        <v>6</v>
      </c>
    </row>
    <row r="1148" spans="1:6" x14ac:dyDescent="0.35">
      <c r="A1148" s="6">
        <v>44807</v>
      </c>
      <c r="B1148" s="3">
        <v>0.10416666666666667</v>
      </c>
      <c r="C1148" t="s">
        <v>14</v>
      </c>
      <c r="D1148" t="s">
        <v>14</v>
      </c>
      <c r="E1148">
        <v>0.79900000000000004</v>
      </c>
      <c r="F1148" t="s">
        <v>6</v>
      </c>
    </row>
    <row r="1149" spans="1:6" x14ac:dyDescent="0.35">
      <c r="A1149" s="6">
        <v>44807</v>
      </c>
      <c r="B1149" s="3">
        <v>0.10416666666666667</v>
      </c>
      <c r="C1149" t="s">
        <v>17</v>
      </c>
      <c r="D1149" t="s">
        <v>17</v>
      </c>
      <c r="E1149">
        <v>0.48799999999999999</v>
      </c>
      <c r="F1149" t="s">
        <v>6</v>
      </c>
    </row>
    <row r="1150" spans="1:6" x14ac:dyDescent="0.35">
      <c r="A1150" s="6">
        <v>44807</v>
      </c>
      <c r="B1150" s="3">
        <v>0.10416666666666667</v>
      </c>
      <c r="C1150" t="s">
        <v>12</v>
      </c>
      <c r="D1150" t="s">
        <v>12</v>
      </c>
      <c r="E1150">
        <v>0.69499999999999995</v>
      </c>
      <c r="F1150" t="s">
        <v>6</v>
      </c>
    </row>
    <row r="1151" spans="1:6" x14ac:dyDescent="0.35">
      <c r="A1151" s="6">
        <v>44807</v>
      </c>
      <c r="B1151" s="3">
        <v>0.10416666666666667</v>
      </c>
      <c r="C1151" t="s">
        <v>9</v>
      </c>
      <c r="D1151" t="s">
        <v>9</v>
      </c>
      <c r="E1151">
        <v>0.81299999999999994</v>
      </c>
      <c r="F1151" t="s">
        <v>6</v>
      </c>
    </row>
    <row r="1152" spans="1:6" x14ac:dyDescent="0.35">
      <c r="A1152" s="6">
        <v>44807</v>
      </c>
      <c r="B1152" s="3">
        <v>0.125</v>
      </c>
      <c r="C1152" t="s">
        <v>13</v>
      </c>
      <c r="D1152" t="s">
        <v>13</v>
      </c>
      <c r="E1152">
        <v>0.59899999999999998</v>
      </c>
      <c r="F1152" t="s">
        <v>6</v>
      </c>
    </row>
    <row r="1153" spans="1:6" x14ac:dyDescent="0.35">
      <c r="A1153" s="6">
        <v>44807</v>
      </c>
      <c r="B1153" s="3">
        <v>0.125</v>
      </c>
      <c r="C1153" t="s">
        <v>16</v>
      </c>
      <c r="D1153" t="s">
        <v>16</v>
      </c>
      <c r="E1153">
        <v>0.874</v>
      </c>
      <c r="F1153" t="s">
        <v>6</v>
      </c>
    </row>
    <row r="1154" spans="1:6" x14ac:dyDescent="0.35">
      <c r="A1154" s="6">
        <v>44807</v>
      </c>
      <c r="B1154" s="3">
        <v>0.125</v>
      </c>
      <c r="C1154" t="s">
        <v>14</v>
      </c>
      <c r="D1154" t="s">
        <v>14</v>
      </c>
      <c r="E1154">
        <v>0.8</v>
      </c>
      <c r="F1154" t="s">
        <v>6</v>
      </c>
    </row>
    <row r="1155" spans="1:6" x14ac:dyDescent="0.35">
      <c r="A1155" s="6">
        <v>44807</v>
      </c>
      <c r="B1155" s="3">
        <v>0.125</v>
      </c>
      <c r="C1155" t="s">
        <v>17</v>
      </c>
      <c r="D1155" t="s">
        <v>17</v>
      </c>
      <c r="E1155">
        <v>0.48899999999999999</v>
      </c>
      <c r="F1155" t="s">
        <v>6</v>
      </c>
    </row>
    <row r="1156" spans="1:6" x14ac:dyDescent="0.35">
      <c r="A1156" s="6">
        <v>44807</v>
      </c>
      <c r="B1156" s="3">
        <v>0.125</v>
      </c>
      <c r="C1156" t="s">
        <v>12</v>
      </c>
      <c r="D1156" t="s">
        <v>12</v>
      </c>
      <c r="E1156">
        <v>0.69699999999999995</v>
      </c>
      <c r="F1156" t="s">
        <v>6</v>
      </c>
    </row>
    <row r="1157" spans="1:6" x14ac:dyDescent="0.35">
      <c r="A1157" s="6">
        <v>44807</v>
      </c>
      <c r="B1157" s="3">
        <v>0.125</v>
      </c>
      <c r="C1157" t="s">
        <v>9</v>
      </c>
      <c r="D1157" t="s">
        <v>9</v>
      </c>
      <c r="E1157">
        <v>0.81399999999999995</v>
      </c>
      <c r="F1157" t="s">
        <v>6</v>
      </c>
    </row>
    <row r="1158" spans="1:6" x14ac:dyDescent="0.35">
      <c r="A1158" s="6">
        <v>44807</v>
      </c>
      <c r="B1158" s="3">
        <v>0.14583333333333334</v>
      </c>
      <c r="C1158" t="s">
        <v>13</v>
      </c>
      <c r="D1158" t="s">
        <v>13</v>
      </c>
      <c r="E1158">
        <v>0.6</v>
      </c>
      <c r="F1158" t="s">
        <v>6</v>
      </c>
    </row>
    <row r="1159" spans="1:6" x14ac:dyDescent="0.35">
      <c r="A1159" s="6">
        <v>44807</v>
      </c>
      <c r="B1159" s="3">
        <v>0.14583333333333334</v>
      </c>
      <c r="C1159" t="s">
        <v>16</v>
      </c>
      <c r="D1159" t="s">
        <v>16</v>
      </c>
      <c r="E1159">
        <v>0.873</v>
      </c>
      <c r="F1159" t="s">
        <v>6</v>
      </c>
    </row>
    <row r="1160" spans="1:6" x14ac:dyDescent="0.35">
      <c r="A1160" s="6">
        <v>44807</v>
      </c>
      <c r="B1160" s="3">
        <v>0.14583333333333334</v>
      </c>
      <c r="C1160" t="s">
        <v>14</v>
      </c>
      <c r="D1160" t="s">
        <v>14</v>
      </c>
      <c r="E1160">
        <v>0.8</v>
      </c>
      <c r="F1160" t="s">
        <v>6</v>
      </c>
    </row>
    <row r="1161" spans="1:6" x14ac:dyDescent="0.35">
      <c r="A1161" s="6">
        <v>44807</v>
      </c>
      <c r="B1161" s="3">
        <v>0.14583333333333334</v>
      </c>
      <c r="C1161" t="s">
        <v>17</v>
      </c>
      <c r="D1161" t="s">
        <v>17</v>
      </c>
      <c r="E1161">
        <v>0.48899999999999999</v>
      </c>
      <c r="F1161" t="s">
        <v>6</v>
      </c>
    </row>
    <row r="1162" spans="1:6" x14ac:dyDescent="0.35">
      <c r="A1162" s="6">
        <v>44807</v>
      </c>
      <c r="B1162" s="3">
        <v>0.14583333333333334</v>
      </c>
      <c r="C1162" t="s">
        <v>12</v>
      </c>
      <c r="D1162" t="s">
        <v>12</v>
      </c>
      <c r="E1162">
        <v>0.69899999999999995</v>
      </c>
      <c r="F1162" t="s">
        <v>6</v>
      </c>
    </row>
    <row r="1163" spans="1:6" x14ac:dyDescent="0.35">
      <c r="A1163" s="6">
        <v>44807</v>
      </c>
      <c r="B1163" s="3">
        <v>0.14583333333333334</v>
      </c>
      <c r="C1163" t="s">
        <v>9</v>
      </c>
      <c r="D1163" t="s">
        <v>9</v>
      </c>
      <c r="E1163">
        <v>0.81399999999999995</v>
      </c>
      <c r="F1163" t="s">
        <v>6</v>
      </c>
    </row>
    <row r="1164" spans="1:6" x14ac:dyDescent="0.35">
      <c r="A1164" s="6">
        <v>44807</v>
      </c>
      <c r="B1164" s="3">
        <v>0.16666666666666666</v>
      </c>
      <c r="C1164" t="s">
        <v>13</v>
      </c>
      <c r="D1164" t="s">
        <v>13</v>
      </c>
      <c r="E1164">
        <v>0.60199999999999998</v>
      </c>
      <c r="F1164" t="s">
        <v>6</v>
      </c>
    </row>
    <row r="1165" spans="1:6" x14ac:dyDescent="0.35">
      <c r="A1165" s="6">
        <v>44807</v>
      </c>
      <c r="B1165" s="3">
        <v>0.16666666666666666</v>
      </c>
      <c r="C1165" t="s">
        <v>16</v>
      </c>
      <c r="D1165" t="s">
        <v>16</v>
      </c>
      <c r="E1165">
        <v>0.873</v>
      </c>
      <c r="F1165" t="s">
        <v>6</v>
      </c>
    </row>
    <row r="1166" spans="1:6" x14ac:dyDescent="0.35">
      <c r="A1166" s="6">
        <v>44807</v>
      </c>
      <c r="B1166" s="3">
        <v>0.16666666666666666</v>
      </c>
      <c r="C1166" t="s">
        <v>14</v>
      </c>
      <c r="D1166" t="s">
        <v>14</v>
      </c>
      <c r="E1166">
        <v>0.8</v>
      </c>
      <c r="F1166" t="s">
        <v>6</v>
      </c>
    </row>
    <row r="1167" spans="1:6" x14ac:dyDescent="0.35">
      <c r="A1167" s="6">
        <v>44807</v>
      </c>
      <c r="B1167" s="3">
        <v>0.16666666666666666</v>
      </c>
      <c r="C1167" t="s">
        <v>17</v>
      </c>
      <c r="D1167" t="s">
        <v>17</v>
      </c>
      <c r="E1167">
        <v>0.49</v>
      </c>
      <c r="F1167" t="s">
        <v>6</v>
      </c>
    </row>
    <row r="1168" spans="1:6" x14ac:dyDescent="0.35">
      <c r="A1168" s="6">
        <v>44807</v>
      </c>
      <c r="B1168" s="3">
        <v>0.16666666666666666</v>
      </c>
      <c r="C1168" t="s">
        <v>12</v>
      </c>
      <c r="D1168" t="s">
        <v>12</v>
      </c>
      <c r="E1168">
        <v>0.7</v>
      </c>
      <c r="F1168" t="s">
        <v>6</v>
      </c>
    </row>
    <row r="1169" spans="1:6" x14ac:dyDescent="0.35">
      <c r="A1169" s="6">
        <v>44807</v>
      </c>
      <c r="B1169" s="3">
        <v>0.16666666666666666</v>
      </c>
      <c r="C1169" t="s">
        <v>9</v>
      </c>
      <c r="D1169" t="s">
        <v>9</v>
      </c>
      <c r="E1169">
        <v>0.81499999999999995</v>
      </c>
      <c r="F1169" t="s">
        <v>6</v>
      </c>
    </row>
    <row r="1170" spans="1:6" x14ac:dyDescent="0.35">
      <c r="A1170" s="6">
        <v>44807</v>
      </c>
      <c r="B1170" s="3">
        <v>0.1875</v>
      </c>
      <c r="C1170" t="s">
        <v>13</v>
      </c>
      <c r="D1170" t="s">
        <v>13</v>
      </c>
      <c r="E1170">
        <v>0.60299999999999998</v>
      </c>
      <c r="F1170" t="s">
        <v>6</v>
      </c>
    </row>
    <row r="1171" spans="1:6" x14ac:dyDescent="0.35">
      <c r="A1171" s="6">
        <v>44807</v>
      </c>
      <c r="B1171" s="3">
        <v>0.1875</v>
      </c>
      <c r="C1171" t="s">
        <v>16</v>
      </c>
      <c r="D1171" t="s">
        <v>16</v>
      </c>
      <c r="E1171">
        <v>0.873</v>
      </c>
      <c r="F1171" t="s">
        <v>6</v>
      </c>
    </row>
    <row r="1172" spans="1:6" x14ac:dyDescent="0.35">
      <c r="A1172" s="6">
        <v>44807</v>
      </c>
      <c r="B1172" s="3">
        <v>0.1875</v>
      </c>
      <c r="C1172" t="s">
        <v>14</v>
      </c>
      <c r="D1172" t="s">
        <v>14</v>
      </c>
      <c r="E1172">
        <v>0.8</v>
      </c>
      <c r="F1172" t="s">
        <v>6</v>
      </c>
    </row>
    <row r="1173" spans="1:6" x14ac:dyDescent="0.35">
      <c r="A1173" s="6">
        <v>44807</v>
      </c>
      <c r="B1173" s="3">
        <v>0.1875</v>
      </c>
      <c r="C1173" t="s">
        <v>17</v>
      </c>
      <c r="D1173" t="s">
        <v>17</v>
      </c>
      <c r="E1173">
        <v>0.49099999999999999</v>
      </c>
      <c r="F1173" t="s">
        <v>6</v>
      </c>
    </row>
    <row r="1174" spans="1:6" x14ac:dyDescent="0.35">
      <c r="A1174" s="6">
        <v>44807</v>
      </c>
      <c r="B1174" s="3">
        <v>0.1875</v>
      </c>
      <c r="C1174" t="s">
        <v>12</v>
      </c>
      <c r="D1174" t="s">
        <v>12</v>
      </c>
      <c r="E1174">
        <v>0.70099999999999996</v>
      </c>
      <c r="F1174" t="s">
        <v>6</v>
      </c>
    </row>
    <row r="1175" spans="1:6" x14ac:dyDescent="0.35">
      <c r="A1175" s="6">
        <v>44807</v>
      </c>
      <c r="B1175" s="3">
        <v>0.1875</v>
      </c>
      <c r="C1175" t="s">
        <v>9</v>
      </c>
      <c r="D1175" t="s">
        <v>9</v>
      </c>
      <c r="E1175">
        <v>0.81499999999999995</v>
      </c>
      <c r="F1175" t="s">
        <v>6</v>
      </c>
    </row>
    <row r="1176" spans="1:6" x14ac:dyDescent="0.35">
      <c r="A1176" s="6">
        <v>44807</v>
      </c>
      <c r="B1176" s="3">
        <v>0.20833333333333334</v>
      </c>
      <c r="C1176" t="s">
        <v>13</v>
      </c>
      <c r="D1176" t="s">
        <v>13</v>
      </c>
      <c r="E1176">
        <v>0.60399999999999998</v>
      </c>
      <c r="F1176" t="s">
        <v>6</v>
      </c>
    </row>
    <row r="1177" spans="1:6" x14ac:dyDescent="0.35">
      <c r="A1177" s="6">
        <v>44807</v>
      </c>
      <c r="B1177" s="3">
        <v>0.20833333333333334</v>
      </c>
      <c r="C1177" t="s">
        <v>16</v>
      </c>
      <c r="D1177" t="s">
        <v>16</v>
      </c>
      <c r="E1177">
        <v>0.872</v>
      </c>
      <c r="F1177" t="s">
        <v>6</v>
      </c>
    </row>
    <row r="1178" spans="1:6" x14ac:dyDescent="0.35">
      <c r="A1178" s="6">
        <v>44807</v>
      </c>
      <c r="B1178" s="3">
        <v>0.20833333333333334</v>
      </c>
      <c r="C1178" t="s">
        <v>14</v>
      </c>
      <c r="D1178" t="s">
        <v>14</v>
      </c>
      <c r="E1178">
        <v>0.8</v>
      </c>
      <c r="F1178" t="s">
        <v>6</v>
      </c>
    </row>
    <row r="1179" spans="1:6" x14ac:dyDescent="0.35">
      <c r="A1179" s="6">
        <v>44807</v>
      </c>
      <c r="B1179" s="3">
        <v>0.20833333333333334</v>
      </c>
      <c r="C1179" t="s">
        <v>17</v>
      </c>
      <c r="D1179" t="s">
        <v>17</v>
      </c>
      <c r="E1179">
        <v>0.49099999999999999</v>
      </c>
      <c r="F1179" t="s">
        <v>6</v>
      </c>
    </row>
    <row r="1180" spans="1:6" x14ac:dyDescent="0.35">
      <c r="A1180" s="6">
        <v>44807</v>
      </c>
      <c r="B1180" s="3">
        <v>0.20833333333333334</v>
      </c>
      <c r="C1180" t="s">
        <v>12</v>
      </c>
      <c r="D1180" t="s">
        <v>12</v>
      </c>
      <c r="E1180">
        <v>0.70199999999999996</v>
      </c>
      <c r="F1180" t="s">
        <v>6</v>
      </c>
    </row>
    <row r="1181" spans="1:6" x14ac:dyDescent="0.35">
      <c r="A1181" s="6">
        <v>44807</v>
      </c>
      <c r="B1181" s="3">
        <v>0.20833333333333334</v>
      </c>
      <c r="C1181" t="s">
        <v>9</v>
      </c>
      <c r="D1181" t="s">
        <v>9</v>
      </c>
      <c r="E1181">
        <v>0.81499999999999995</v>
      </c>
      <c r="F1181" t="s">
        <v>6</v>
      </c>
    </row>
    <row r="1182" spans="1:6" x14ac:dyDescent="0.35">
      <c r="A1182" s="6">
        <v>44807</v>
      </c>
      <c r="B1182" s="3">
        <v>0.22916666666666666</v>
      </c>
      <c r="C1182" t="s">
        <v>13</v>
      </c>
      <c r="D1182" t="s">
        <v>13</v>
      </c>
      <c r="E1182">
        <v>0.60499999999999998</v>
      </c>
      <c r="F1182" t="s">
        <v>6</v>
      </c>
    </row>
    <row r="1183" spans="1:6" x14ac:dyDescent="0.35">
      <c r="A1183" s="6">
        <v>44807</v>
      </c>
      <c r="B1183" s="3">
        <v>0.22916666666666666</v>
      </c>
      <c r="C1183" t="s">
        <v>16</v>
      </c>
      <c r="D1183" t="s">
        <v>16</v>
      </c>
      <c r="E1183">
        <v>0.873</v>
      </c>
      <c r="F1183" t="s">
        <v>6</v>
      </c>
    </row>
    <row r="1184" spans="1:6" x14ac:dyDescent="0.35">
      <c r="A1184" s="6">
        <v>44807</v>
      </c>
      <c r="B1184" s="3">
        <v>0.22916666666666666</v>
      </c>
      <c r="C1184" t="s">
        <v>14</v>
      </c>
      <c r="D1184" t="s">
        <v>14</v>
      </c>
      <c r="E1184">
        <v>0.8</v>
      </c>
      <c r="F1184" t="s">
        <v>6</v>
      </c>
    </row>
    <row r="1185" spans="1:6" x14ac:dyDescent="0.35">
      <c r="A1185" s="6">
        <v>44807</v>
      </c>
      <c r="B1185" s="3">
        <v>0.22916666666666666</v>
      </c>
      <c r="C1185" t="s">
        <v>17</v>
      </c>
      <c r="D1185" t="s">
        <v>17</v>
      </c>
      <c r="E1185">
        <v>0.49299999999999999</v>
      </c>
      <c r="F1185" t="s">
        <v>6</v>
      </c>
    </row>
    <row r="1186" spans="1:6" x14ac:dyDescent="0.35">
      <c r="A1186" s="6">
        <v>44807</v>
      </c>
      <c r="B1186" s="3">
        <v>0.22916666666666666</v>
      </c>
      <c r="C1186" t="s">
        <v>12</v>
      </c>
      <c r="D1186" t="s">
        <v>12</v>
      </c>
      <c r="E1186">
        <v>0.70299999999999996</v>
      </c>
      <c r="F1186" t="s">
        <v>6</v>
      </c>
    </row>
    <row r="1187" spans="1:6" x14ac:dyDescent="0.35">
      <c r="A1187" s="6">
        <v>44807</v>
      </c>
      <c r="B1187" s="3">
        <v>0.22916666666666666</v>
      </c>
      <c r="C1187" t="s">
        <v>9</v>
      </c>
      <c r="D1187" t="s">
        <v>9</v>
      </c>
      <c r="E1187">
        <v>0.81499999999999995</v>
      </c>
      <c r="F1187" t="s">
        <v>6</v>
      </c>
    </row>
    <row r="1188" spans="1:6" x14ac:dyDescent="0.35">
      <c r="A1188" s="6">
        <v>44807</v>
      </c>
      <c r="B1188" s="3">
        <v>0.25</v>
      </c>
      <c r="C1188" t="s">
        <v>13</v>
      </c>
      <c r="D1188" t="s">
        <v>13</v>
      </c>
      <c r="E1188">
        <v>0.60599999999999998</v>
      </c>
      <c r="F1188" t="s">
        <v>6</v>
      </c>
    </row>
    <row r="1189" spans="1:6" x14ac:dyDescent="0.35">
      <c r="A1189" s="6">
        <v>44807</v>
      </c>
      <c r="B1189" s="3">
        <v>0.25</v>
      </c>
      <c r="C1189" t="s">
        <v>16</v>
      </c>
      <c r="D1189" t="s">
        <v>16</v>
      </c>
      <c r="E1189">
        <v>0.873</v>
      </c>
      <c r="F1189" t="s">
        <v>6</v>
      </c>
    </row>
    <row r="1190" spans="1:6" x14ac:dyDescent="0.35">
      <c r="A1190" s="6">
        <v>44807</v>
      </c>
      <c r="B1190" s="3">
        <v>0.25</v>
      </c>
      <c r="C1190" t="s">
        <v>14</v>
      </c>
      <c r="D1190" t="s">
        <v>14</v>
      </c>
      <c r="E1190">
        <v>0.80200000000000005</v>
      </c>
      <c r="F1190" t="s">
        <v>6</v>
      </c>
    </row>
    <row r="1191" spans="1:6" x14ac:dyDescent="0.35">
      <c r="A1191" s="6">
        <v>44807</v>
      </c>
      <c r="B1191" s="3">
        <v>0.25</v>
      </c>
      <c r="C1191" t="s">
        <v>17</v>
      </c>
      <c r="D1191" t="s">
        <v>17</v>
      </c>
      <c r="E1191">
        <v>0.495</v>
      </c>
      <c r="F1191" t="s">
        <v>6</v>
      </c>
    </row>
    <row r="1192" spans="1:6" x14ac:dyDescent="0.35">
      <c r="A1192" s="6">
        <v>44807</v>
      </c>
      <c r="B1192" s="3">
        <v>0.25</v>
      </c>
      <c r="C1192" t="s">
        <v>12</v>
      </c>
      <c r="D1192" t="s">
        <v>12</v>
      </c>
      <c r="E1192">
        <v>0.70499999999999996</v>
      </c>
      <c r="F1192" t="s">
        <v>6</v>
      </c>
    </row>
    <row r="1193" spans="1:6" x14ac:dyDescent="0.35">
      <c r="A1193" s="6">
        <v>44807</v>
      </c>
      <c r="B1193" s="3">
        <v>0.25</v>
      </c>
      <c r="C1193" t="s">
        <v>9</v>
      </c>
      <c r="D1193" t="s">
        <v>9</v>
      </c>
      <c r="E1193">
        <v>0.81599999999999995</v>
      </c>
      <c r="F1193" t="s">
        <v>6</v>
      </c>
    </row>
    <row r="1194" spans="1:6" x14ac:dyDescent="0.35">
      <c r="A1194" s="6">
        <v>44807</v>
      </c>
      <c r="B1194" s="3">
        <v>0.27083333333333331</v>
      </c>
      <c r="C1194" t="s">
        <v>13</v>
      </c>
      <c r="D1194" t="s">
        <v>13</v>
      </c>
      <c r="E1194">
        <v>0.60599999999999998</v>
      </c>
      <c r="F1194" t="s">
        <v>6</v>
      </c>
    </row>
    <row r="1195" spans="1:6" x14ac:dyDescent="0.35">
      <c r="A1195" s="6">
        <v>44807</v>
      </c>
      <c r="B1195" s="3">
        <v>0.27083333333333331</v>
      </c>
      <c r="C1195" t="s">
        <v>16</v>
      </c>
      <c r="D1195" t="s">
        <v>16</v>
      </c>
      <c r="E1195">
        <v>0.874</v>
      </c>
      <c r="F1195" t="s">
        <v>6</v>
      </c>
    </row>
    <row r="1196" spans="1:6" x14ac:dyDescent="0.35">
      <c r="A1196" s="6">
        <v>44807</v>
      </c>
      <c r="B1196" s="3">
        <v>0.27083333333333331</v>
      </c>
      <c r="C1196" t="s">
        <v>14</v>
      </c>
      <c r="D1196" t="s">
        <v>14</v>
      </c>
      <c r="E1196">
        <v>0.80300000000000005</v>
      </c>
      <c r="F1196" t="s">
        <v>6</v>
      </c>
    </row>
    <row r="1197" spans="1:6" x14ac:dyDescent="0.35">
      <c r="A1197" s="6">
        <v>44807</v>
      </c>
      <c r="B1197" s="3">
        <v>0.27083333333333331</v>
      </c>
      <c r="C1197" t="s">
        <v>17</v>
      </c>
      <c r="D1197" t="s">
        <v>17</v>
      </c>
      <c r="E1197">
        <v>0.497</v>
      </c>
      <c r="F1197" t="s">
        <v>6</v>
      </c>
    </row>
    <row r="1198" spans="1:6" x14ac:dyDescent="0.35">
      <c r="A1198" s="6">
        <v>44807</v>
      </c>
      <c r="B1198" s="3">
        <v>0.27083333333333331</v>
      </c>
      <c r="C1198" t="s">
        <v>12</v>
      </c>
      <c r="D1198" t="s">
        <v>12</v>
      </c>
      <c r="E1198">
        <v>0.70699999999999996</v>
      </c>
      <c r="F1198" t="s">
        <v>6</v>
      </c>
    </row>
    <row r="1199" spans="1:6" x14ac:dyDescent="0.35">
      <c r="A1199" s="6">
        <v>44807</v>
      </c>
      <c r="B1199" s="3">
        <v>0.27083333333333331</v>
      </c>
      <c r="C1199" t="s">
        <v>9</v>
      </c>
      <c r="D1199" t="s">
        <v>9</v>
      </c>
      <c r="E1199">
        <v>0.81599999999999995</v>
      </c>
      <c r="F1199" t="s">
        <v>6</v>
      </c>
    </row>
    <row r="1200" spans="1:6" x14ac:dyDescent="0.35">
      <c r="A1200" s="6">
        <v>44807</v>
      </c>
      <c r="B1200" s="3">
        <v>0.29166666666666669</v>
      </c>
      <c r="C1200" t="s">
        <v>13</v>
      </c>
      <c r="D1200" t="s">
        <v>13</v>
      </c>
      <c r="E1200">
        <v>0.60699999999999998</v>
      </c>
      <c r="F1200" t="s">
        <v>6</v>
      </c>
    </row>
    <row r="1201" spans="1:6" x14ac:dyDescent="0.35">
      <c r="A1201" s="6">
        <v>44807</v>
      </c>
      <c r="B1201" s="3">
        <v>0.29166666666666669</v>
      </c>
      <c r="C1201" t="s">
        <v>16</v>
      </c>
      <c r="D1201" t="s">
        <v>16</v>
      </c>
      <c r="E1201">
        <v>0.873</v>
      </c>
      <c r="F1201" t="s">
        <v>6</v>
      </c>
    </row>
    <row r="1202" spans="1:6" x14ac:dyDescent="0.35">
      <c r="A1202" s="6">
        <v>44807</v>
      </c>
      <c r="B1202" s="3">
        <v>0.29166666666666669</v>
      </c>
      <c r="C1202" t="s">
        <v>14</v>
      </c>
      <c r="D1202" t="s">
        <v>14</v>
      </c>
      <c r="E1202">
        <v>0.80200000000000005</v>
      </c>
      <c r="F1202" t="s">
        <v>6</v>
      </c>
    </row>
    <row r="1203" spans="1:6" x14ac:dyDescent="0.35">
      <c r="A1203" s="6">
        <v>44807</v>
      </c>
      <c r="B1203" s="3">
        <v>0.29166666666666669</v>
      </c>
      <c r="C1203" t="s">
        <v>17</v>
      </c>
      <c r="D1203" t="s">
        <v>17</v>
      </c>
      <c r="E1203">
        <v>0.498</v>
      </c>
      <c r="F1203" t="s">
        <v>6</v>
      </c>
    </row>
    <row r="1204" spans="1:6" x14ac:dyDescent="0.35">
      <c r="A1204" s="6">
        <v>44807</v>
      </c>
      <c r="B1204" s="3">
        <v>0.29166666666666669</v>
      </c>
      <c r="C1204" t="s">
        <v>12</v>
      </c>
      <c r="D1204" t="s">
        <v>12</v>
      </c>
      <c r="E1204">
        <v>0.70799999999999996</v>
      </c>
      <c r="F1204" t="s">
        <v>6</v>
      </c>
    </row>
    <row r="1205" spans="1:6" x14ac:dyDescent="0.35">
      <c r="A1205" s="6">
        <v>44807</v>
      </c>
      <c r="B1205" s="3">
        <v>0.29166666666666669</v>
      </c>
      <c r="C1205" t="s">
        <v>9</v>
      </c>
      <c r="D1205" t="s">
        <v>9</v>
      </c>
      <c r="E1205">
        <v>0.81499999999999995</v>
      </c>
      <c r="F1205" t="s">
        <v>6</v>
      </c>
    </row>
    <row r="1206" spans="1:6" x14ac:dyDescent="0.35">
      <c r="A1206" s="6">
        <v>44807</v>
      </c>
      <c r="B1206" s="3">
        <v>0.3125</v>
      </c>
      <c r="C1206" t="s">
        <v>13</v>
      </c>
      <c r="D1206" t="s">
        <v>13</v>
      </c>
      <c r="E1206">
        <v>0.61</v>
      </c>
      <c r="F1206" t="s">
        <v>6</v>
      </c>
    </row>
    <row r="1207" spans="1:6" x14ac:dyDescent="0.35">
      <c r="A1207" s="6">
        <v>44807</v>
      </c>
      <c r="B1207" s="3">
        <v>0.3125</v>
      </c>
      <c r="C1207" t="s">
        <v>16</v>
      </c>
      <c r="D1207" t="s">
        <v>16</v>
      </c>
      <c r="E1207">
        <v>0.874</v>
      </c>
      <c r="F1207" t="s">
        <v>6</v>
      </c>
    </row>
    <row r="1208" spans="1:6" x14ac:dyDescent="0.35">
      <c r="A1208" s="6">
        <v>44807</v>
      </c>
      <c r="B1208" s="3">
        <v>0.3125</v>
      </c>
      <c r="C1208" t="s">
        <v>14</v>
      </c>
      <c r="D1208" t="s">
        <v>14</v>
      </c>
      <c r="E1208">
        <v>0.80100000000000005</v>
      </c>
      <c r="F1208" t="s">
        <v>6</v>
      </c>
    </row>
    <row r="1209" spans="1:6" x14ac:dyDescent="0.35">
      <c r="A1209" s="6">
        <v>44807</v>
      </c>
      <c r="B1209" s="3">
        <v>0.3125</v>
      </c>
      <c r="C1209" t="s">
        <v>17</v>
      </c>
      <c r="D1209" t="s">
        <v>17</v>
      </c>
      <c r="E1209">
        <v>0.498</v>
      </c>
      <c r="F1209" t="s">
        <v>6</v>
      </c>
    </row>
    <row r="1210" spans="1:6" x14ac:dyDescent="0.35">
      <c r="A1210" s="6">
        <v>44807</v>
      </c>
      <c r="B1210" s="3">
        <v>0.3125</v>
      </c>
      <c r="C1210" t="s">
        <v>12</v>
      </c>
      <c r="D1210" t="s">
        <v>12</v>
      </c>
      <c r="E1210">
        <v>0.71199999999999997</v>
      </c>
      <c r="F1210" t="s">
        <v>6</v>
      </c>
    </row>
    <row r="1211" spans="1:6" x14ac:dyDescent="0.35">
      <c r="A1211" s="6">
        <v>44807</v>
      </c>
      <c r="B1211" s="3">
        <v>0.3125</v>
      </c>
      <c r="C1211" t="s">
        <v>9</v>
      </c>
      <c r="D1211" t="s">
        <v>9</v>
      </c>
      <c r="E1211">
        <v>0.81599999999999995</v>
      </c>
      <c r="F1211" t="s">
        <v>6</v>
      </c>
    </row>
    <row r="1212" spans="1:6" x14ac:dyDescent="0.35">
      <c r="A1212" s="6">
        <v>44807</v>
      </c>
      <c r="B1212" s="3">
        <v>0.33333333333333331</v>
      </c>
      <c r="C1212" t="s">
        <v>13</v>
      </c>
      <c r="D1212" t="s">
        <v>13</v>
      </c>
      <c r="E1212">
        <v>0.61599999999999999</v>
      </c>
      <c r="F1212" t="s">
        <v>6</v>
      </c>
    </row>
    <row r="1213" spans="1:6" x14ac:dyDescent="0.35">
      <c r="A1213" s="6">
        <v>44807</v>
      </c>
      <c r="B1213" s="3">
        <v>0.33333333333333331</v>
      </c>
      <c r="C1213" t="s">
        <v>16</v>
      </c>
      <c r="D1213" t="s">
        <v>16</v>
      </c>
      <c r="E1213">
        <v>0.876</v>
      </c>
      <c r="F1213" t="s">
        <v>6</v>
      </c>
    </row>
    <row r="1214" spans="1:6" x14ac:dyDescent="0.35">
      <c r="A1214" s="6">
        <v>44807</v>
      </c>
      <c r="B1214" s="3">
        <v>0.33333333333333331</v>
      </c>
      <c r="C1214" t="s">
        <v>14</v>
      </c>
      <c r="D1214" t="s">
        <v>14</v>
      </c>
      <c r="E1214">
        <v>0.79700000000000004</v>
      </c>
      <c r="F1214" t="s">
        <v>6</v>
      </c>
    </row>
    <row r="1215" spans="1:6" x14ac:dyDescent="0.35">
      <c r="A1215" s="6">
        <v>44807</v>
      </c>
      <c r="B1215" s="3">
        <v>0.33333333333333331</v>
      </c>
      <c r="C1215" t="s">
        <v>17</v>
      </c>
      <c r="D1215" t="s">
        <v>17</v>
      </c>
      <c r="E1215">
        <v>0.499</v>
      </c>
      <c r="F1215" t="s">
        <v>6</v>
      </c>
    </row>
    <row r="1216" spans="1:6" x14ac:dyDescent="0.35">
      <c r="A1216" s="6">
        <v>44807</v>
      </c>
      <c r="B1216" s="3">
        <v>0.33333333333333331</v>
      </c>
      <c r="C1216" t="s">
        <v>12</v>
      </c>
      <c r="D1216" t="s">
        <v>12</v>
      </c>
      <c r="E1216">
        <v>0.71799999999999997</v>
      </c>
      <c r="F1216" t="s">
        <v>6</v>
      </c>
    </row>
    <row r="1217" spans="1:6" x14ac:dyDescent="0.35">
      <c r="A1217" s="6">
        <v>44807</v>
      </c>
      <c r="B1217" s="3">
        <v>0.33333333333333331</v>
      </c>
      <c r="C1217" t="s">
        <v>9</v>
      </c>
      <c r="D1217" t="s">
        <v>9</v>
      </c>
      <c r="E1217">
        <v>0.81599999999999995</v>
      </c>
      <c r="F1217" t="s">
        <v>6</v>
      </c>
    </row>
    <row r="1218" spans="1:6" x14ac:dyDescent="0.35">
      <c r="A1218" s="6">
        <v>44807</v>
      </c>
      <c r="B1218" s="3">
        <v>0.35416666666666669</v>
      </c>
      <c r="C1218" t="s">
        <v>13</v>
      </c>
      <c r="D1218" t="s">
        <v>13</v>
      </c>
      <c r="E1218">
        <v>0.62</v>
      </c>
      <c r="F1218" t="s">
        <v>6</v>
      </c>
    </row>
    <row r="1219" spans="1:6" x14ac:dyDescent="0.35">
      <c r="A1219" s="6">
        <v>44807</v>
      </c>
      <c r="B1219" s="3">
        <v>0.35416666666666669</v>
      </c>
      <c r="C1219" t="s">
        <v>16</v>
      </c>
      <c r="D1219" t="s">
        <v>16</v>
      </c>
      <c r="E1219">
        <v>0.874</v>
      </c>
      <c r="F1219" t="s">
        <v>6</v>
      </c>
    </row>
    <row r="1220" spans="1:6" x14ac:dyDescent="0.35">
      <c r="A1220" s="6">
        <v>44807</v>
      </c>
      <c r="B1220" s="3">
        <v>0.35416666666666669</v>
      </c>
      <c r="C1220" t="s">
        <v>14</v>
      </c>
      <c r="D1220" t="s">
        <v>14</v>
      </c>
      <c r="E1220">
        <v>0.78700000000000003</v>
      </c>
      <c r="F1220" t="s">
        <v>6</v>
      </c>
    </row>
    <row r="1221" spans="1:6" x14ac:dyDescent="0.35">
      <c r="A1221" s="6">
        <v>44807</v>
      </c>
      <c r="B1221" s="3">
        <v>0.35416666666666669</v>
      </c>
      <c r="C1221" t="s">
        <v>17</v>
      </c>
      <c r="D1221" t="s">
        <v>17</v>
      </c>
      <c r="E1221">
        <v>0.499</v>
      </c>
      <c r="F1221" t="s">
        <v>6</v>
      </c>
    </row>
    <row r="1222" spans="1:6" x14ac:dyDescent="0.35">
      <c r="A1222" s="6">
        <v>44807</v>
      </c>
      <c r="B1222" s="3">
        <v>0.35416666666666669</v>
      </c>
      <c r="C1222" t="s">
        <v>12</v>
      </c>
      <c r="D1222" t="s">
        <v>12</v>
      </c>
      <c r="E1222">
        <v>0.72499999999999998</v>
      </c>
      <c r="F1222" t="s">
        <v>6</v>
      </c>
    </row>
    <row r="1223" spans="1:6" x14ac:dyDescent="0.35">
      <c r="A1223" s="6">
        <v>44807</v>
      </c>
      <c r="B1223" s="3">
        <v>0.35416666666666669</v>
      </c>
      <c r="C1223" t="s">
        <v>9</v>
      </c>
      <c r="D1223" t="s">
        <v>9</v>
      </c>
      <c r="E1223">
        <v>0.81499999999999995</v>
      </c>
      <c r="F1223" t="s">
        <v>6</v>
      </c>
    </row>
    <row r="1224" spans="1:6" x14ac:dyDescent="0.35">
      <c r="A1224" s="6">
        <v>44807</v>
      </c>
      <c r="B1224" s="3">
        <v>0.375</v>
      </c>
      <c r="C1224" t="s">
        <v>13</v>
      </c>
      <c r="D1224" t="s">
        <v>13</v>
      </c>
      <c r="E1224">
        <v>0.61</v>
      </c>
      <c r="F1224" t="s">
        <v>6</v>
      </c>
    </row>
    <row r="1225" spans="1:6" x14ac:dyDescent="0.35">
      <c r="A1225" s="6">
        <v>44807</v>
      </c>
      <c r="B1225" s="3">
        <v>0.375</v>
      </c>
      <c r="C1225" t="s">
        <v>16</v>
      </c>
      <c r="D1225" t="s">
        <v>16</v>
      </c>
      <c r="E1225">
        <v>0.85899999999999999</v>
      </c>
      <c r="F1225" t="s">
        <v>6</v>
      </c>
    </row>
    <row r="1226" spans="1:6" x14ac:dyDescent="0.35">
      <c r="A1226" s="6">
        <v>44807</v>
      </c>
      <c r="B1226" s="3">
        <v>0.375</v>
      </c>
      <c r="C1226" t="s">
        <v>14</v>
      </c>
      <c r="D1226" t="s">
        <v>14</v>
      </c>
      <c r="E1226">
        <v>0.76200000000000001</v>
      </c>
      <c r="F1226" t="s">
        <v>6</v>
      </c>
    </row>
    <row r="1227" spans="1:6" x14ac:dyDescent="0.35">
      <c r="A1227" s="6">
        <v>44807</v>
      </c>
      <c r="B1227" s="3">
        <v>0.375</v>
      </c>
      <c r="C1227" t="s">
        <v>17</v>
      </c>
      <c r="D1227" t="s">
        <v>17</v>
      </c>
      <c r="E1227">
        <v>0.495</v>
      </c>
      <c r="F1227" t="s">
        <v>6</v>
      </c>
    </row>
    <row r="1228" spans="1:6" x14ac:dyDescent="0.35">
      <c r="A1228" s="6">
        <v>44807</v>
      </c>
      <c r="B1228" s="3">
        <v>0.375</v>
      </c>
      <c r="C1228" t="s">
        <v>12</v>
      </c>
      <c r="D1228" t="s">
        <v>12</v>
      </c>
      <c r="E1228">
        <v>0.73099999999999998</v>
      </c>
      <c r="F1228" t="s">
        <v>6</v>
      </c>
    </row>
    <row r="1229" spans="1:6" x14ac:dyDescent="0.35">
      <c r="A1229" s="6">
        <v>44807</v>
      </c>
      <c r="B1229" s="3">
        <v>0.375</v>
      </c>
      <c r="C1229" t="s">
        <v>9</v>
      </c>
      <c r="D1229" t="s">
        <v>9</v>
      </c>
      <c r="E1229">
        <v>0.81</v>
      </c>
      <c r="F1229" t="s">
        <v>6</v>
      </c>
    </row>
    <row r="1230" spans="1:6" x14ac:dyDescent="0.35">
      <c r="A1230" s="6">
        <v>44807</v>
      </c>
      <c r="B1230" s="3">
        <v>0.39583333333333331</v>
      </c>
      <c r="C1230" t="s">
        <v>13</v>
      </c>
      <c r="D1230" t="s">
        <v>13</v>
      </c>
      <c r="E1230">
        <v>0.60599999999999998</v>
      </c>
      <c r="F1230" t="s">
        <v>6</v>
      </c>
    </row>
    <row r="1231" spans="1:6" x14ac:dyDescent="0.35">
      <c r="A1231" s="6">
        <v>44807</v>
      </c>
      <c r="B1231" s="3">
        <v>0.39583333333333331</v>
      </c>
      <c r="C1231" t="s">
        <v>16</v>
      </c>
      <c r="D1231" t="s">
        <v>16</v>
      </c>
      <c r="E1231">
        <v>0.84399999999999997</v>
      </c>
      <c r="F1231" t="s">
        <v>6</v>
      </c>
    </row>
    <row r="1232" spans="1:6" x14ac:dyDescent="0.35">
      <c r="A1232" s="6">
        <v>44807</v>
      </c>
      <c r="B1232" s="3">
        <v>0.39583333333333331</v>
      </c>
      <c r="C1232" t="s">
        <v>14</v>
      </c>
      <c r="D1232" t="s">
        <v>14</v>
      </c>
      <c r="E1232">
        <v>0.73299999999999998</v>
      </c>
      <c r="F1232" t="s">
        <v>6</v>
      </c>
    </row>
    <row r="1233" spans="1:6" x14ac:dyDescent="0.35">
      <c r="A1233" s="6">
        <v>44807</v>
      </c>
      <c r="B1233" s="3">
        <v>0.39583333333333331</v>
      </c>
      <c r="C1233" t="s">
        <v>17</v>
      </c>
      <c r="D1233" t="s">
        <v>17</v>
      </c>
      <c r="E1233">
        <v>0.49399999999999999</v>
      </c>
      <c r="F1233" t="s">
        <v>6</v>
      </c>
    </row>
    <row r="1234" spans="1:6" x14ac:dyDescent="0.35">
      <c r="A1234" s="6">
        <v>44807</v>
      </c>
      <c r="B1234" s="3">
        <v>0.39583333333333331</v>
      </c>
      <c r="C1234" t="s">
        <v>12</v>
      </c>
      <c r="D1234" t="s">
        <v>12</v>
      </c>
      <c r="E1234">
        <v>0.73899999999999999</v>
      </c>
      <c r="F1234" t="s">
        <v>6</v>
      </c>
    </row>
    <row r="1235" spans="1:6" x14ac:dyDescent="0.35">
      <c r="A1235" s="6">
        <v>44807</v>
      </c>
      <c r="B1235" s="3">
        <v>0.39583333333333331</v>
      </c>
      <c r="C1235" t="s">
        <v>9</v>
      </c>
      <c r="D1235" t="s">
        <v>9</v>
      </c>
      <c r="E1235">
        <v>0.80400000000000005</v>
      </c>
      <c r="F1235" t="s">
        <v>6</v>
      </c>
    </row>
    <row r="1236" spans="1:6" x14ac:dyDescent="0.35">
      <c r="A1236" s="6">
        <v>44807</v>
      </c>
      <c r="B1236" s="3">
        <v>0.41666666666666669</v>
      </c>
      <c r="C1236" t="s">
        <v>13</v>
      </c>
      <c r="D1236" t="s">
        <v>13</v>
      </c>
      <c r="E1236">
        <v>0.61199999999999999</v>
      </c>
      <c r="F1236" t="s">
        <v>6</v>
      </c>
    </row>
    <row r="1237" spans="1:6" x14ac:dyDescent="0.35">
      <c r="A1237" s="6">
        <v>44807</v>
      </c>
      <c r="B1237" s="3">
        <v>0.41666666666666669</v>
      </c>
      <c r="C1237" t="s">
        <v>16</v>
      </c>
      <c r="D1237" t="s">
        <v>16</v>
      </c>
      <c r="E1237">
        <v>0.82799999999999996</v>
      </c>
      <c r="F1237" t="s">
        <v>6</v>
      </c>
    </row>
    <row r="1238" spans="1:6" x14ac:dyDescent="0.35">
      <c r="A1238" s="6">
        <v>44807</v>
      </c>
      <c r="B1238" s="3">
        <v>0.41666666666666669</v>
      </c>
      <c r="C1238" t="s">
        <v>14</v>
      </c>
      <c r="D1238" t="s">
        <v>14</v>
      </c>
      <c r="E1238">
        <v>0.71</v>
      </c>
      <c r="F1238" t="s">
        <v>6</v>
      </c>
    </row>
    <row r="1239" spans="1:6" x14ac:dyDescent="0.35">
      <c r="A1239" s="6">
        <v>44807</v>
      </c>
      <c r="B1239" s="3">
        <v>0.41666666666666669</v>
      </c>
      <c r="C1239" t="s">
        <v>17</v>
      </c>
      <c r="D1239" t="s">
        <v>17</v>
      </c>
      <c r="E1239">
        <v>0.5</v>
      </c>
      <c r="F1239" t="s">
        <v>6</v>
      </c>
    </row>
    <row r="1240" spans="1:6" x14ac:dyDescent="0.35">
      <c r="A1240" s="6">
        <v>44807</v>
      </c>
      <c r="B1240" s="3">
        <v>0.41666666666666669</v>
      </c>
      <c r="C1240" t="s">
        <v>12</v>
      </c>
      <c r="D1240" t="s">
        <v>12</v>
      </c>
      <c r="E1240">
        <v>0.747</v>
      </c>
      <c r="F1240" t="s">
        <v>6</v>
      </c>
    </row>
    <row r="1241" spans="1:6" x14ac:dyDescent="0.35">
      <c r="A1241" s="6">
        <v>44807</v>
      </c>
      <c r="B1241" s="3">
        <v>0.41666666666666669</v>
      </c>
      <c r="C1241" t="s">
        <v>9</v>
      </c>
      <c r="D1241" t="s">
        <v>9</v>
      </c>
      <c r="E1241">
        <v>0.80100000000000005</v>
      </c>
      <c r="F1241" t="s">
        <v>6</v>
      </c>
    </row>
    <row r="1242" spans="1:6" x14ac:dyDescent="0.35">
      <c r="A1242" s="6">
        <v>44807</v>
      </c>
      <c r="B1242" s="3">
        <v>0.4375</v>
      </c>
      <c r="C1242" t="s">
        <v>13</v>
      </c>
      <c r="D1242" t="s">
        <v>13</v>
      </c>
      <c r="E1242">
        <v>0.61399999999999999</v>
      </c>
      <c r="F1242" t="s">
        <v>6</v>
      </c>
    </row>
    <row r="1243" spans="1:6" x14ac:dyDescent="0.35">
      <c r="A1243" s="6">
        <v>44807</v>
      </c>
      <c r="B1243" s="3">
        <v>0.4375</v>
      </c>
      <c r="C1243" t="s">
        <v>16</v>
      </c>
      <c r="D1243" t="s">
        <v>16</v>
      </c>
      <c r="E1243">
        <v>0.80900000000000005</v>
      </c>
      <c r="F1243" t="s">
        <v>6</v>
      </c>
    </row>
    <row r="1244" spans="1:6" x14ac:dyDescent="0.35">
      <c r="A1244" s="6">
        <v>44807</v>
      </c>
      <c r="B1244" s="3">
        <v>0.4375</v>
      </c>
      <c r="C1244" t="s">
        <v>14</v>
      </c>
      <c r="D1244" t="s">
        <v>14</v>
      </c>
      <c r="E1244">
        <v>0.69699999999999995</v>
      </c>
      <c r="F1244" t="s">
        <v>6</v>
      </c>
    </row>
    <row r="1245" spans="1:6" x14ac:dyDescent="0.35">
      <c r="A1245" s="6">
        <v>44807</v>
      </c>
      <c r="B1245" s="3">
        <v>0.4375</v>
      </c>
      <c r="C1245" t="s">
        <v>17</v>
      </c>
      <c r="D1245" t="s">
        <v>17</v>
      </c>
      <c r="E1245">
        <v>0.50600000000000001</v>
      </c>
      <c r="F1245" t="s">
        <v>6</v>
      </c>
    </row>
    <row r="1246" spans="1:6" x14ac:dyDescent="0.35">
      <c r="A1246" s="6">
        <v>44807</v>
      </c>
      <c r="B1246" s="3">
        <v>0.4375</v>
      </c>
      <c r="C1246" t="s">
        <v>12</v>
      </c>
      <c r="D1246" t="s">
        <v>12</v>
      </c>
      <c r="E1246">
        <v>0.755</v>
      </c>
      <c r="F1246" t="s">
        <v>6</v>
      </c>
    </row>
    <row r="1247" spans="1:6" x14ac:dyDescent="0.35">
      <c r="A1247" s="6">
        <v>44807</v>
      </c>
      <c r="B1247" s="3">
        <v>0.4375</v>
      </c>
      <c r="C1247" t="s">
        <v>9</v>
      </c>
      <c r="D1247" t="s">
        <v>9</v>
      </c>
      <c r="E1247">
        <v>0.80400000000000005</v>
      </c>
      <c r="F1247" t="s">
        <v>6</v>
      </c>
    </row>
  </sheetData>
  <sortState xmlns:xlrd2="http://schemas.microsoft.com/office/spreadsheetml/2017/richdata2" ref="A2:F1248">
    <sortCondition ref="A2:A1248"/>
    <sortCondition ref="B2:B12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9092-EE04-44BC-859F-AF4BF9CD5312}">
  <dimension ref="A1:L362"/>
  <sheetViews>
    <sheetView zoomScaleNormal="100" workbookViewId="0">
      <selection activeCell="K1" sqref="K1:L1048576"/>
    </sheetView>
  </sheetViews>
  <sheetFormatPr defaultRowHeight="14.5" x14ac:dyDescent="0.35"/>
  <cols>
    <col min="1" max="1" width="10.08984375" bestFit="1" customWidth="1"/>
    <col min="3" max="3" width="8.90625" bestFit="1" customWidth="1"/>
    <col min="4" max="4" width="7.1796875" hidden="1" customWidth="1"/>
    <col min="5" max="5" width="5.81640625" bestFit="1" customWidth="1"/>
    <col min="6" max="6" width="6.81640625" bestFit="1" customWidth="1"/>
    <col min="7" max="7" width="5.81640625" bestFit="1" customWidth="1"/>
    <col min="8" max="8" width="12.453125" bestFit="1" customWidth="1"/>
    <col min="9" max="9" width="11.81640625" bestFit="1" customWidth="1"/>
  </cols>
  <sheetData>
    <row r="1" spans="1:12" x14ac:dyDescent="0.35">
      <c r="A1" s="6" t="s">
        <v>0</v>
      </c>
      <c r="B1" t="s">
        <v>1</v>
      </c>
      <c r="C1" t="s">
        <v>53</v>
      </c>
      <c r="D1" t="s">
        <v>2</v>
      </c>
      <c r="E1" t="s">
        <v>3</v>
      </c>
      <c r="F1" t="s">
        <v>4</v>
      </c>
      <c r="G1" t="s">
        <v>59</v>
      </c>
      <c r="H1" t="s">
        <v>55</v>
      </c>
      <c r="I1" t="s">
        <v>56</v>
      </c>
      <c r="J1" t="s">
        <v>58</v>
      </c>
      <c r="K1" t="s">
        <v>60</v>
      </c>
      <c r="L1" t="s">
        <v>61</v>
      </c>
    </row>
    <row r="2" spans="1:12" x14ac:dyDescent="0.35">
      <c r="A2" s="6">
        <v>44805</v>
      </c>
      <c r="B2" s="3">
        <v>0</v>
      </c>
      <c r="C2" t="s">
        <v>27</v>
      </c>
      <c r="D2" t="s">
        <v>14</v>
      </c>
      <c r="E2">
        <v>0.73199999999999998</v>
      </c>
      <c r="F2" t="s">
        <v>6</v>
      </c>
      <c r="G2">
        <f>MAX(E2:E28)</f>
        <v>0.76800000000000002</v>
      </c>
      <c r="H2">
        <f t="shared" ref="H2:H65" si="0">(G2-E2)/E2</f>
        <v>4.9180327868852507E-2</v>
      </c>
      <c r="I2">
        <f t="shared" ref="I2:I65" si="1">119*10^-6*(H2^1.231)</f>
        <v>2.9183824101754983E-6</v>
      </c>
      <c r="J2">
        <f t="shared" ref="J2:J65" si="2">I2*10^6</f>
        <v>2.9183824101754983</v>
      </c>
      <c r="K2">
        <v>964.37446249999994</v>
      </c>
      <c r="L2">
        <f>J2*(K2/10000)</f>
        <v>0.28144134681824501</v>
      </c>
    </row>
    <row r="3" spans="1:12" x14ac:dyDescent="0.35">
      <c r="A3" s="6">
        <v>44805</v>
      </c>
      <c r="B3" s="3">
        <v>2.0833333333333332E-2</v>
      </c>
      <c r="C3" t="s">
        <v>27</v>
      </c>
      <c r="D3" t="s">
        <v>14</v>
      </c>
      <c r="E3">
        <v>0.73599999999999999</v>
      </c>
      <c r="F3" t="s">
        <v>6</v>
      </c>
      <c r="G3">
        <v>0.76800000000000002</v>
      </c>
      <c r="H3">
        <f t="shared" si="0"/>
        <v>4.3478260869565258E-2</v>
      </c>
      <c r="I3">
        <f t="shared" si="1"/>
        <v>2.5076100125785919E-6</v>
      </c>
      <c r="J3">
        <f t="shared" si="2"/>
        <v>2.5076100125785921</v>
      </c>
      <c r="K3">
        <v>964.37446249999994</v>
      </c>
      <c r="L3">
        <f t="shared" ref="L3:L66" si="3">J3*(K3/10000)</f>
        <v>0.24182750580400977</v>
      </c>
    </row>
    <row r="4" spans="1:12" x14ac:dyDescent="0.35">
      <c r="A4" s="6">
        <v>44805</v>
      </c>
      <c r="B4" s="3">
        <v>4.1666666666666664E-2</v>
      </c>
      <c r="C4" t="s">
        <v>27</v>
      </c>
      <c r="D4" t="s">
        <v>14</v>
      </c>
      <c r="E4">
        <v>0.749</v>
      </c>
      <c r="F4" t="s">
        <v>6</v>
      </c>
      <c r="G4">
        <v>0.76800000000000002</v>
      </c>
      <c r="H4">
        <f t="shared" si="0"/>
        <v>2.5367156208277727E-2</v>
      </c>
      <c r="I4">
        <f t="shared" si="1"/>
        <v>1.2918304779771226E-6</v>
      </c>
      <c r="J4">
        <f t="shared" si="2"/>
        <v>1.2918304779771226</v>
      </c>
      <c r="K4">
        <v>964.37446249999994</v>
      </c>
      <c r="L4">
        <f t="shared" si="3"/>
        <v>0.12458083228403055</v>
      </c>
    </row>
    <row r="5" spans="1:12" x14ac:dyDescent="0.35">
      <c r="A5" s="6">
        <v>44805</v>
      </c>
      <c r="B5" s="3">
        <v>6.25E-2</v>
      </c>
      <c r="C5" t="s">
        <v>27</v>
      </c>
      <c r="D5" t="s">
        <v>14</v>
      </c>
      <c r="E5">
        <v>0.75700000000000001</v>
      </c>
      <c r="F5" t="s">
        <v>6</v>
      </c>
      <c r="G5">
        <v>0.76800000000000002</v>
      </c>
      <c r="H5">
        <f t="shared" si="0"/>
        <v>1.4531043593130791E-2</v>
      </c>
      <c r="I5">
        <f t="shared" si="1"/>
        <v>6.5063036674000557E-7</v>
      </c>
      <c r="J5">
        <f t="shared" si="2"/>
        <v>0.65063036674000552</v>
      </c>
      <c r="K5">
        <v>964.37446249999994</v>
      </c>
      <c r="L5">
        <f t="shared" si="3"/>
        <v>6.2745131021107056E-2</v>
      </c>
    </row>
    <row r="6" spans="1:12" x14ac:dyDescent="0.35">
      <c r="A6" s="6">
        <v>44805</v>
      </c>
      <c r="B6" s="3">
        <v>8.3333333333333329E-2</v>
      </c>
      <c r="C6" t="s">
        <v>27</v>
      </c>
      <c r="D6" t="s">
        <v>14</v>
      </c>
      <c r="E6">
        <v>0.76100000000000001</v>
      </c>
      <c r="F6" t="s">
        <v>6</v>
      </c>
      <c r="G6">
        <v>0.76800000000000002</v>
      </c>
      <c r="H6">
        <f t="shared" si="0"/>
        <v>9.1984231274638718E-3</v>
      </c>
      <c r="I6">
        <f t="shared" si="1"/>
        <v>3.7057672267862633E-7</v>
      </c>
      <c r="J6">
        <f t="shared" si="2"/>
        <v>0.37057672267862635</v>
      </c>
      <c r="K6">
        <v>964.37446249999994</v>
      </c>
      <c r="L6">
        <f t="shared" si="3"/>
        <v>3.5737472774821179E-2</v>
      </c>
    </row>
    <row r="7" spans="1:12" x14ac:dyDescent="0.35">
      <c r="A7" s="6">
        <v>44805</v>
      </c>
      <c r="B7" s="3">
        <v>0.10416666666666667</v>
      </c>
      <c r="C7" t="s">
        <v>27</v>
      </c>
      <c r="D7" t="s">
        <v>14</v>
      </c>
      <c r="E7">
        <v>0.76300000000000001</v>
      </c>
      <c r="F7" t="s">
        <v>6</v>
      </c>
      <c r="G7">
        <v>0.76800000000000002</v>
      </c>
      <c r="H7">
        <f t="shared" si="0"/>
        <v>6.5530799475753661E-3</v>
      </c>
      <c r="I7">
        <f t="shared" si="1"/>
        <v>2.4411323750891145E-7</v>
      </c>
      <c r="J7">
        <f t="shared" si="2"/>
        <v>0.24411323750891145</v>
      </c>
      <c r="K7">
        <v>964.37446249999994</v>
      </c>
      <c r="L7">
        <f t="shared" si="3"/>
        <v>2.3541657221179128E-2</v>
      </c>
    </row>
    <row r="8" spans="1:12" x14ac:dyDescent="0.35">
      <c r="A8" s="6">
        <v>44805</v>
      </c>
      <c r="B8" s="3">
        <v>0.125</v>
      </c>
      <c r="C8" t="s">
        <v>27</v>
      </c>
      <c r="D8" t="s">
        <v>14</v>
      </c>
      <c r="E8">
        <v>0.76400000000000001</v>
      </c>
      <c r="F8" t="s">
        <v>6</v>
      </c>
      <c r="G8">
        <v>0.76800000000000002</v>
      </c>
      <c r="H8">
        <f t="shared" si="0"/>
        <v>5.2356020942408424E-3</v>
      </c>
      <c r="I8">
        <f t="shared" si="1"/>
        <v>1.8518034390705346E-7</v>
      </c>
      <c r="J8">
        <f t="shared" si="2"/>
        <v>0.18518034390705346</v>
      </c>
      <c r="K8">
        <v>964.37446249999994</v>
      </c>
      <c r="L8">
        <f t="shared" si="3"/>
        <v>1.7858319462092979E-2</v>
      </c>
    </row>
    <row r="9" spans="1:12" x14ac:dyDescent="0.35">
      <c r="A9" s="6">
        <v>44805</v>
      </c>
      <c r="B9" s="3">
        <v>0.14583333333333334</v>
      </c>
      <c r="C9" t="s">
        <v>27</v>
      </c>
      <c r="D9" t="s">
        <v>14</v>
      </c>
      <c r="E9">
        <v>0.76500000000000001</v>
      </c>
      <c r="F9" t="s">
        <v>6</v>
      </c>
      <c r="G9">
        <v>0.76800000000000002</v>
      </c>
      <c r="H9">
        <f t="shared" si="0"/>
        <v>3.9215686274509838E-3</v>
      </c>
      <c r="I9">
        <f t="shared" si="1"/>
        <v>1.2974660396244886E-7</v>
      </c>
      <c r="J9">
        <f t="shared" si="2"/>
        <v>0.12974660396244886</v>
      </c>
      <c r="K9">
        <v>964.37446249999994</v>
      </c>
      <c r="L9">
        <f t="shared" si="3"/>
        <v>1.2512431145748697E-2</v>
      </c>
    </row>
    <row r="10" spans="1:12" x14ac:dyDescent="0.35">
      <c r="A10" s="6">
        <v>44805</v>
      </c>
      <c r="B10" s="3">
        <v>0.16666666666666666</v>
      </c>
      <c r="C10" t="s">
        <v>27</v>
      </c>
      <c r="D10" t="s">
        <v>14</v>
      </c>
      <c r="E10">
        <v>0.76800000000000002</v>
      </c>
      <c r="F10" t="s">
        <v>6</v>
      </c>
      <c r="G10">
        <v>0.76800000000000002</v>
      </c>
      <c r="H10">
        <f t="shared" si="0"/>
        <v>0</v>
      </c>
      <c r="I10">
        <f t="shared" si="1"/>
        <v>0</v>
      </c>
      <c r="J10">
        <f t="shared" si="2"/>
        <v>0</v>
      </c>
      <c r="K10">
        <v>964.37446249999994</v>
      </c>
      <c r="L10">
        <f t="shared" si="3"/>
        <v>0</v>
      </c>
    </row>
    <row r="11" spans="1:12" x14ac:dyDescent="0.35">
      <c r="A11" s="6">
        <v>44805</v>
      </c>
      <c r="B11" s="3">
        <v>0.1875</v>
      </c>
      <c r="C11" t="s">
        <v>27</v>
      </c>
      <c r="D11" t="s">
        <v>14</v>
      </c>
      <c r="E11">
        <v>0.76800000000000002</v>
      </c>
      <c r="F11" t="s">
        <v>6</v>
      </c>
      <c r="G11">
        <v>0.76800000000000002</v>
      </c>
      <c r="H11">
        <f t="shared" si="0"/>
        <v>0</v>
      </c>
      <c r="I11">
        <f t="shared" si="1"/>
        <v>0</v>
      </c>
      <c r="J11">
        <f t="shared" si="2"/>
        <v>0</v>
      </c>
      <c r="K11">
        <v>964.37446249999994</v>
      </c>
      <c r="L11">
        <f t="shared" si="3"/>
        <v>0</v>
      </c>
    </row>
    <row r="12" spans="1:12" x14ac:dyDescent="0.35">
      <c r="A12" s="6">
        <v>44805</v>
      </c>
      <c r="B12" s="3">
        <v>0.20833333333333334</v>
      </c>
      <c r="C12" t="s">
        <v>27</v>
      </c>
      <c r="D12" t="s">
        <v>14</v>
      </c>
      <c r="E12">
        <v>0.76700000000000002</v>
      </c>
      <c r="F12" t="s">
        <v>6</v>
      </c>
      <c r="G12">
        <v>0.76800000000000002</v>
      </c>
      <c r="H12">
        <f t="shared" si="0"/>
        <v>1.303780964797915E-3</v>
      </c>
      <c r="I12">
        <f t="shared" si="1"/>
        <v>3.3447515862311314E-8</v>
      </c>
      <c r="J12">
        <f t="shared" si="2"/>
        <v>3.3447515862311317E-2</v>
      </c>
      <c r="K12">
        <v>964.37446249999994</v>
      </c>
      <c r="L12">
        <f t="shared" si="3"/>
        <v>3.2255930131676698E-3</v>
      </c>
    </row>
    <row r="13" spans="1:12" x14ac:dyDescent="0.35">
      <c r="A13" s="6">
        <v>44805</v>
      </c>
      <c r="B13" s="3">
        <v>0.22916666666666666</v>
      </c>
      <c r="C13" t="s">
        <v>27</v>
      </c>
      <c r="D13" t="s">
        <v>14</v>
      </c>
      <c r="E13">
        <v>0.76700000000000002</v>
      </c>
      <c r="F13" t="s">
        <v>6</v>
      </c>
      <c r="G13">
        <v>0.76800000000000002</v>
      </c>
      <c r="H13">
        <f t="shared" si="0"/>
        <v>1.303780964797915E-3</v>
      </c>
      <c r="I13">
        <f t="shared" si="1"/>
        <v>3.3447515862311314E-8</v>
      </c>
      <c r="J13">
        <f t="shared" si="2"/>
        <v>3.3447515862311317E-2</v>
      </c>
      <c r="K13">
        <v>964.37446249999994</v>
      </c>
      <c r="L13">
        <f t="shared" si="3"/>
        <v>3.2255930131676698E-3</v>
      </c>
    </row>
    <row r="14" spans="1:12" x14ac:dyDescent="0.35">
      <c r="A14" s="6">
        <v>44805</v>
      </c>
      <c r="B14" s="3">
        <v>0.35416666666666669</v>
      </c>
      <c r="C14" t="s">
        <v>27</v>
      </c>
      <c r="D14" t="s">
        <v>14</v>
      </c>
      <c r="E14">
        <v>0.74099999999999999</v>
      </c>
      <c r="F14" t="s">
        <v>6</v>
      </c>
      <c r="G14">
        <v>0.76800000000000002</v>
      </c>
      <c r="H14">
        <f t="shared" si="0"/>
        <v>3.6437246963562785E-2</v>
      </c>
      <c r="I14">
        <f t="shared" si="1"/>
        <v>2.0174814073330662E-6</v>
      </c>
      <c r="J14">
        <f t="shared" si="2"/>
        <v>2.017481407333066</v>
      </c>
      <c r="K14">
        <v>964.37446249999994</v>
      </c>
      <c r="L14">
        <f t="shared" si="3"/>
        <v>0.19456075478005688</v>
      </c>
    </row>
    <row r="15" spans="1:12" x14ac:dyDescent="0.35">
      <c r="A15" s="6">
        <v>44805</v>
      </c>
      <c r="B15" s="3">
        <v>0.375</v>
      </c>
      <c r="C15" t="s">
        <v>27</v>
      </c>
      <c r="D15" t="s">
        <v>14</v>
      </c>
      <c r="E15">
        <v>0.72899999999999998</v>
      </c>
      <c r="F15" t="s">
        <v>6</v>
      </c>
      <c r="G15">
        <v>0.76800000000000002</v>
      </c>
      <c r="H15">
        <f t="shared" si="0"/>
        <v>5.3497942386831324E-2</v>
      </c>
      <c r="I15">
        <f t="shared" si="1"/>
        <v>3.2369046408424397E-6</v>
      </c>
      <c r="J15">
        <f t="shared" si="2"/>
        <v>3.2369046408424396</v>
      </c>
      <c r="K15">
        <v>964.37446249999994</v>
      </c>
      <c r="L15">
        <f t="shared" si="3"/>
        <v>0.3121588173176183</v>
      </c>
    </row>
    <row r="16" spans="1:12" x14ac:dyDescent="0.35">
      <c r="A16" s="6">
        <v>44805</v>
      </c>
      <c r="B16" s="3">
        <v>0.39583333333333331</v>
      </c>
      <c r="C16" t="s">
        <v>27</v>
      </c>
      <c r="D16" t="s">
        <v>14</v>
      </c>
      <c r="E16">
        <v>0.71499999999999997</v>
      </c>
      <c r="F16" t="s">
        <v>6</v>
      </c>
      <c r="G16">
        <v>0.76800000000000002</v>
      </c>
      <c r="H16">
        <f t="shared" si="0"/>
        <v>7.4125874125874194E-2</v>
      </c>
      <c r="I16">
        <f t="shared" si="1"/>
        <v>4.8359279242385336E-6</v>
      </c>
      <c r="J16">
        <f t="shared" si="2"/>
        <v>4.8359279242385336</v>
      </c>
      <c r="K16">
        <v>964.37446249999994</v>
      </c>
      <c r="L16">
        <f t="shared" si="3"/>
        <v>0.46636453926262761</v>
      </c>
    </row>
    <row r="17" spans="1:12" x14ac:dyDescent="0.35">
      <c r="A17" s="6">
        <v>44805</v>
      </c>
      <c r="B17" s="3">
        <v>0.41666666666666669</v>
      </c>
      <c r="C17" t="s">
        <v>27</v>
      </c>
      <c r="D17" t="s">
        <v>14</v>
      </c>
      <c r="E17">
        <v>0.68100000000000005</v>
      </c>
      <c r="F17" t="s">
        <v>6</v>
      </c>
      <c r="G17">
        <v>0.76800000000000002</v>
      </c>
      <c r="H17">
        <f t="shared" si="0"/>
        <v>0.12775330396475765</v>
      </c>
      <c r="I17">
        <f t="shared" si="1"/>
        <v>9.4512895102291799E-6</v>
      </c>
      <c r="J17">
        <f t="shared" si="2"/>
        <v>9.4512895102291807</v>
      </c>
      <c r="K17">
        <v>964.37446249999994</v>
      </c>
      <c r="L17">
        <f t="shared" si="3"/>
        <v>0.91145822413591537</v>
      </c>
    </row>
    <row r="18" spans="1:12" x14ac:dyDescent="0.35">
      <c r="A18" s="6">
        <v>44805</v>
      </c>
      <c r="B18" s="3">
        <v>0.4375</v>
      </c>
      <c r="C18" t="s">
        <v>27</v>
      </c>
      <c r="D18" t="s">
        <v>14</v>
      </c>
      <c r="E18">
        <v>0.66500000000000004</v>
      </c>
      <c r="F18" t="s">
        <v>6</v>
      </c>
      <c r="G18">
        <v>0.76800000000000002</v>
      </c>
      <c r="H18">
        <f t="shared" si="0"/>
        <v>0.15488721804511274</v>
      </c>
      <c r="I18">
        <f t="shared" si="1"/>
        <v>1.1979981285907477E-5</v>
      </c>
      <c r="J18">
        <f t="shared" si="2"/>
        <v>11.979981285907478</v>
      </c>
      <c r="K18">
        <v>964.37446249999994</v>
      </c>
      <c r="L18">
        <f t="shared" si="3"/>
        <v>1.1553188013357081</v>
      </c>
    </row>
    <row r="19" spans="1:12" x14ac:dyDescent="0.35">
      <c r="A19" s="6">
        <v>44805</v>
      </c>
      <c r="B19" s="3">
        <v>0.45833333333333331</v>
      </c>
      <c r="C19" t="s">
        <v>27</v>
      </c>
      <c r="D19" t="s">
        <v>14</v>
      </c>
      <c r="E19">
        <v>0.64600000000000002</v>
      </c>
      <c r="F19" t="s">
        <v>6</v>
      </c>
      <c r="G19">
        <v>0.76800000000000002</v>
      </c>
      <c r="H19">
        <f t="shared" si="0"/>
        <v>0.18885448916408668</v>
      </c>
      <c r="I19">
        <f t="shared" si="1"/>
        <v>1.5291837816777109E-5</v>
      </c>
      <c r="J19">
        <f t="shared" si="2"/>
        <v>15.291837816777109</v>
      </c>
      <c r="K19">
        <v>964.37446249999994</v>
      </c>
      <c r="L19">
        <f t="shared" si="3"/>
        <v>1.4747057875191596</v>
      </c>
    </row>
    <row r="20" spans="1:12" x14ac:dyDescent="0.35">
      <c r="A20" s="6">
        <v>44805</v>
      </c>
      <c r="B20" s="3">
        <v>0.47916666666666669</v>
      </c>
      <c r="C20" t="s">
        <v>27</v>
      </c>
      <c r="D20" t="s">
        <v>14</v>
      </c>
      <c r="E20">
        <v>0.63600000000000001</v>
      </c>
      <c r="F20" t="s">
        <v>6</v>
      </c>
      <c r="G20">
        <v>0.76800000000000002</v>
      </c>
      <c r="H20">
        <f t="shared" si="0"/>
        <v>0.20754716981132076</v>
      </c>
      <c r="I20">
        <f t="shared" si="1"/>
        <v>1.7175831122399331E-5</v>
      </c>
      <c r="J20">
        <f t="shared" si="2"/>
        <v>17.17583112239933</v>
      </c>
      <c r="K20">
        <v>964.37446249999994</v>
      </c>
      <c r="L20">
        <f t="shared" si="3"/>
        <v>1.6563932906654624</v>
      </c>
    </row>
    <row r="21" spans="1:12" x14ac:dyDescent="0.35">
      <c r="A21" s="6">
        <v>44805</v>
      </c>
      <c r="B21" s="3">
        <v>0.5</v>
      </c>
      <c r="C21" t="s">
        <v>27</v>
      </c>
      <c r="D21" t="s">
        <v>14</v>
      </c>
      <c r="E21">
        <v>0.624</v>
      </c>
      <c r="F21" t="s">
        <v>6</v>
      </c>
      <c r="G21">
        <v>0.76800000000000002</v>
      </c>
      <c r="H21">
        <f t="shared" si="0"/>
        <v>0.23076923076923081</v>
      </c>
      <c r="I21">
        <f t="shared" si="1"/>
        <v>1.9571267786031772E-5</v>
      </c>
      <c r="J21">
        <f t="shared" si="2"/>
        <v>19.571267786031772</v>
      </c>
      <c r="K21">
        <v>964.37446249999994</v>
      </c>
      <c r="L21">
        <f t="shared" si="3"/>
        <v>1.8874030851597954</v>
      </c>
    </row>
    <row r="22" spans="1:12" x14ac:dyDescent="0.35">
      <c r="A22" s="6">
        <v>44805</v>
      </c>
      <c r="B22" s="3">
        <v>0.58333333333333337</v>
      </c>
      <c r="C22" t="s">
        <v>27</v>
      </c>
      <c r="D22" t="s">
        <v>14</v>
      </c>
      <c r="E22">
        <v>0.63200000000000001</v>
      </c>
      <c r="F22" t="s">
        <v>6</v>
      </c>
      <c r="G22">
        <v>0.76800000000000002</v>
      </c>
      <c r="H22">
        <f t="shared" si="0"/>
        <v>0.21518987341772153</v>
      </c>
      <c r="I22">
        <f t="shared" si="1"/>
        <v>1.7957696784588992E-5</v>
      </c>
      <c r="J22">
        <f t="shared" si="2"/>
        <v>17.957696784588993</v>
      </c>
      <c r="K22">
        <v>964.37446249999994</v>
      </c>
      <c r="L22">
        <f t="shared" si="3"/>
        <v>1.7317944184375986</v>
      </c>
    </row>
    <row r="23" spans="1:12" x14ac:dyDescent="0.35">
      <c r="A23" s="6">
        <v>44805</v>
      </c>
      <c r="B23" s="3">
        <v>0.60416666666666663</v>
      </c>
      <c r="C23" t="s">
        <v>27</v>
      </c>
      <c r="D23" t="s">
        <v>14</v>
      </c>
      <c r="E23">
        <v>0.63700000000000001</v>
      </c>
      <c r="F23" t="s">
        <v>6</v>
      </c>
      <c r="G23">
        <v>0.76800000000000002</v>
      </c>
      <c r="H23">
        <f t="shared" si="0"/>
        <v>0.20565149136577709</v>
      </c>
      <c r="I23">
        <f t="shared" si="1"/>
        <v>1.6982916923446192E-5</v>
      </c>
      <c r="J23">
        <f t="shared" si="2"/>
        <v>16.98291692344619</v>
      </c>
      <c r="K23">
        <v>964.37446249999994</v>
      </c>
      <c r="L23">
        <f t="shared" si="3"/>
        <v>1.6377891379730571</v>
      </c>
    </row>
    <row r="24" spans="1:12" x14ac:dyDescent="0.35">
      <c r="A24" s="6">
        <v>44805</v>
      </c>
      <c r="B24" s="3">
        <v>0.625</v>
      </c>
      <c r="C24" t="s">
        <v>27</v>
      </c>
      <c r="D24" t="s">
        <v>14</v>
      </c>
      <c r="E24">
        <v>0.64200000000000002</v>
      </c>
      <c r="F24" t="s">
        <v>6</v>
      </c>
      <c r="G24">
        <v>0.76800000000000002</v>
      </c>
      <c r="H24">
        <f t="shared" si="0"/>
        <v>0.19626168224299065</v>
      </c>
      <c r="I24">
        <f t="shared" si="1"/>
        <v>1.6033468499438111E-5</v>
      </c>
      <c r="J24">
        <f t="shared" si="2"/>
        <v>16.033468499438111</v>
      </c>
      <c r="K24">
        <v>964.37446249999994</v>
      </c>
      <c r="L24">
        <f t="shared" si="3"/>
        <v>1.5462267566156309</v>
      </c>
    </row>
    <row r="25" spans="1:12" x14ac:dyDescent="0.35">
      <c r="A25" s="6">
        <v>44805</v>
      </c>
      <c r="B25" s="3">
        <v>0.64583333333333337</v>
      </c>
      <c r="C25" t="s">
        <v>27</v>
      </c>
      <c r="D25" t="s">
        <v>14</v>
      </c>
      <c r="E25">
        <v>0.65</v>
      </c>
      <c r="F25" t="s">
        <v>6</v>
      </c>
      <c r="G25">
        <v>0.76800000000000002</v>
      </c>
      <c r="H25">
        <f t="shared" si="0"/>
        <v>0.18153846153846151</v>
      </c>
      <c r="I25">
        <f t="shared" si="1"/>
        <v>1.4565901553339199E-5</v>
      </c>
      <c r="J25">
        <f t="shared" si="2"/>
        <v>14.565901553339199</v>
      </c>
      <c r="K25">
        <v>964.37446249999994</v>
      </c>
      <c r="L25">
        <f t="shared" si="3"/>
        <v>1.4046983481329403</v>
      </c>
    </row>
    <row r="26" spans="1:12" x14ac:dyDescent="0.35">
      <c r="A26" s="6">
        <v>44805</v>
      </c>
      <c r="B26" s="3">
        <v>0.66666666666666663</v>
      </c>
      <c r="C26" t="s">
        <v>27</v>
      </c>
      <c r="D26" t="s">
        <v>14</v>
      </c>
      <c r="E26">
        <v>0.65400000000000003</v>
      </c>
      <c r="F26" t="s">
        <v>6</v>
      </c>
      <c r="G26">
        <v>0.76800000000000002</v>
      </c>
      <c r="H26">
        <f t="shared" si="0"/>
        <v>0.17431192660550457</v>
      </c>
      <c r="I26">
        <f t="shared" si="1"/>
        <v>1.3855449673073322E-5</v>
      </c>
      <c r="J26">
        <f t="shared" si="2"/>
        <v>13.855449673073322</v>
      </c>
      <c r="K26">
        <v>964.37446249999994</v>
      </c>
      <c r="L26">
        <f t="shared" si="3"/>
        <v>1.3361841831165884</v>
      </c>
    </row>
    <row r="27" spans="1:12" x14ac:dyDescent="0.35">
      <c r="A27" s="6">
        <v>44805</v>
      </c>
      <c r="B27" s="3">
        <v>0.6875</v>
      </c>
      <c r="C27" t="s">
        <v>27</v>
      </c>
      <c r="D27" t="s">
        <v>14</v>
      </c>
      <c r="E27">
        <v>0.65700000000000003</v>
      </c>
      <c r="F27" t="s">
        <v>6</v>
      </c>
      <c r="G27">
        <v>0.76800000000000002</v>
      </c>
      <c r="H27">
        <f t="shared" si="0"/>
        <v>0.16894977168949768</v>
      </c>
      <c r="I27">
        <f t="shared" si="1"/>
        <v>1.3332653067042573E-5</v>
      </c>
      <c r="J27">
        <f t="shared" si="2"/>
        <v>13.332653067042573</v>
      </c>
      <c r="K27">
        <v>964.37446249999994</v>
      </c>
      <c r="L27">
        <f t="shared" si="3"/>
        <v>1.2857670135228156</v>
      </c>
    </row>
    <row r="28" spans="1:12" x14ac:dyDescent="0.35">
      <c r="A28" s="6">
        <v>44805</v>
      </c>
      <c r="B28" s="3">
        <v>0.70833333333333337</v>
      </c>
      <c r="C28" t="s">
        <v>27</v>
      </c>
      <c r="D28" t="s">
        <v>14</v>
      </c>
      <c r="E28">
        <v>0.66600000000000004</v>
      </c>
      <c r="F28" t="s">
        <v>6</v>
      </c>
      <c r="G28">
        <v>0.76800000000000002</v>
      </c>
      <c r="H28">
        <f t="shared" si="0"/>
        <v>0.15315315315315312</v>
      </c>
      <c r="I28">
        <f t="shared" si="1"/>
        <v>1.1815088981349361E-5</v>
      </c>
      <c r="J28">
        <f t="shared" si="2"/>
        <v>11.81508898134936</v>
      </c>
      <c r="K28">
        <v>964.37446249999994</v>
      </c>
      <c r="L28">
        <f t="shared" si="3"/>
        <v>1.1394170085778461</v>
      </c>
    </row>
    <row r="29" spans="1:12" x14ac:dyDescent="0.35">
      <c r="A29" s="6">
        <v>44805</v>
      </c>
      <c r="B29" s="3">
        <v>0</v>
      </c>
      <c r="C29" t="s">
        <v>31</v>
      </c>
      <c r="D29" t="s">
        <v>9</v>
      </c>
      <c r="E29">
        <v>0.83899999999999997</v>
      </c>
      <c r="F29" t="s">
        <v>6</v>
      </c>
      <c r="G29">
        <f>MAX(E29:E55)</f>
        <v>0.86099999999999999</v>
      </c>
      <c r="H29">
        <f t="shared" si="0"/>
        <v>2.6221692491060811E-2</v>
      </c>
      <c r="I29">
        <f t="shared" si="1"/>
        <v>1.3456072168730604E-6</v>
      </c>
      <c r="J29">
        <f t="shared" si="2"/>
        <v>1.3456072168730604</v>
      </c>
      <c r="K29">
        <v>923.54464999999982</v>
      </c>
      <c r="L29">
        <f t="shared" si="3"/>
        <v>0.12427283461445045</v>
      </c>
    </row>
    <row r="30" spans="1:12" x14ac:dyDescent="0.35">
      <c r="A30" s="6">
        <v>44805</v>
      </c>
      <c r="B30" s="3">
        <v>2.0833333333333332E-2</v>
      </c>
      <c r="C30" t="s">
        <v>31</v>
      </c>
      <c r="D30" t="s">
        <v>9</v>
      </c>
      <c r="E30">
        <v>0.84499999999999997</v>
      </c>
      <c r="F30" t="s">
        <v>6</v>
      </c>
      <c r="G30">
        <v>0.86099999999999999</v>
      </c>
      <c r="H30">
        <f t="shared" si="0"/>
        <v>1.8934911242603568E-2</v>
      </c>
      <c r="I30">
        <f t="shared" si="1"/>
        <v>9.0127650822069874E-7</v>
      </c>
      <c r="J30">
        <f t="shared" si="2"/>
        <v>0.90127650822069871</v>
      </c>
      <c r="K30">
        <v>923.54464999999982</v>
      </c>
      <c r="L30">
        <f t="shared" si="3"/>
        <v>8.323690973379072E-2</v>
      </c>
    </row>
    <row r="31" spans="1:12" x14ac:dyDescent="0.35">
      <c r="A31" s="6">
        <v>44805</v>
      </c>
      <c r="B31" s="3">
        <v>4.1666666666666664E-2</v>
      </c>
      <c r="C31" t="s">
        <v>31</v>
      </c>
      <c r="D31" t="s">
        <v>9</v>
      </c>
      <c r="E31">
        <v>0.85199999999999998</v>
      </c>
      <c r="F31" t="s">
        <v>6</v>
      </c>
      <c r="G31">
        <v>0.86099999999999999</v>
      </c>
      <c r="H31">
        <f t="shared" si="0"/>
        <v>1.0563380281690151E-2</v>
      </c>
      <c r="I31">
        <f t="shared" si="1"/>
        <v>4.3938815934769809E-7</v>
      </c>
      <c r="J31">
        <f t="shared" si="2"/>
        <v>0.43938815934769809</v>
      </c>
      <c r="K31">
        <v>923.54464999999982</v>
      </c>
      <c r="L31">
        <f t="shared" si="3"/>
        <v>4.0579458383891397E-2</v>
      </c>
    </row>
    <row r="32" spans="1:12" x14ac:dyDescent="0.35">
      <c r="A32" s="6">
        <v>44805</v>
      </c>
      <c r="B32" s="3">
        <v>6.25E-2</v>
      </c>
      <c r="C32" t="s">
        <v>31</v>
      </c>
      <c r="D32" t="s">
        <v>9</v>
      </c>
      <c r="E32">
        <v>0.85499999999999998</v>
      </c>
      <c r="F32" t="s">
        <v>6</v>
      </c>
      <c r="G32">
        <v>0.86099999999999999</v>
      </c>
      <c r="H32">
        <f t="shared" si="0"/>
        <v>7.017543859649129E-3</v>
      </c>
      <c r="I32">
        <f t="shared" si="1"/>
        <v>2.6558336143813726E-7</v>
      </c>
      <c r="J32">
        <f t="shared" si="2"/>
        <v>0.26558336143813727</v>
      </c>
      <c r="K32">
        <v>923.54464999999982</v>
      </c>
      <c r="L32">
        <f t="shared" si="3"/>
        <v>2.4527809258520793E-2</v>
      </c>
    </row>
    <row r="33" spans="1:12" x14ac:dyDescent="0.35">
      <c r="A33" s="6">
        <v>44805</v>
      </c>
      <c r="B33" s="3">
        <v>8.3333333333333329E-2</v>
      </c>
      <c r="C33" t="s">
        <v>31</v>
      </c>
      <c r="D33" t="s">
        <v>9</v>
      </c>
      <c r="E33">
        <v>0.85599999999999998</v>
      </c>
      <c r="F33" t="s">
        <v>6</v>
      </c>
      <c r="G33">
        <v>0.86099999999999999</v>
      </c>
      <c r="H33">
        <f t="shared" si="0"/>
        <v>5.8411214953271078E-3</v>
      </c>
      <c r="I33">
        <f t="shared" si="1"/>
        <v>2.1188676598588165E-7</v>
      </c>
      <c r="J33">
        <f t="shared" si="2"/>
        <v>0.21188676598588166</v>
      </c>
      <c r="K33">
        <v>923.54464999999982</v>
      </c>
      <c r="L33">
        <f t="shared" si="3"/>
        <v>1.9568688913206296E-2</v>
      </c>
    </row>
    <row r="34" spans="1:12" x14ac:dyDescent="0.35">
      <c r="A34" s="6">
        <v>44805</v>
      </c>
      <c r="B34" s="3">
        <v>0.10416666666666667</v>
      </c>
      <c r="C34" t="s">
        <v>31</v>
      </c>
      <c r="D34" t="s">
        <v>9</v>
      </c>
      <c r="E34">
        <v>0.85599999999999998</v>
      </c>
      <c r="F34" t="s">
        <v>6</v>
      </c>
      <c r="G34">
        <v>0.86099999999999999</v>
      </c>
      <c r="H34">
        <f t="shared" si="0"/>
        <v>5.8411214953271078E-3</v>
      </c>
      <c r="I34">
        <f t="shared" si="1"/>
        <v>2.1188676598588165E-7</v>
      </c>
      <c r="J34">
        <f t="shared" si="2"/>
        <v>0.21188676598588166</v>
      </c>
      <c r="K34">
        <v>923.54464999999982</v>
      </c>
      <c r="L34">
        <f t="shared" si="3"/>
        <v>1.9568688913206296E-2</v>
      </c>
    </row>
    <row r="35" spans="1:12" x14ac:dyDescent="0.35">
      <c r="A35" s="6">
        <v>44805</v>
      </c>
      <c r="B35" s="3">
        <v>0.125</v>
      </c>
      <c r="C35" t="s">
        <v>31</v>
      </c>
      <c r="D35" t="s">
        <v>9</v>
      </c>
      <c r="E35">
        <v>0.85699999999999998</v>
      </c>
      <c r="F35" t="s">
        <v>6</v>
      </c>
      <c r="G35">
        <v>0.86099999999999999</v>
      </c>
      <c r="H35">
        <f t="shared" si="0"/>
        <v>4.6674445740956865E-3</v>
      </c>
      <c r="I35">
        <f t="shared" si="1"/>
        <v>1.6076200682098302E-7</v>
      </c>
      <c r="J35">
        <f t="shared" si="2"/>
        <v>0.16076200682098302</v>
      </c>
      <c r="K35">
        <v>923.54464999999982</v>
      </c>
      <c r="L35">
        <f t="shared" si="3"/>
        <v>1.4847089132278234E-2</v>
      </c>
    </row>
    <row r="36" spans="1:12" x14ac:dyDescent="0.35">
      <c r="A36" s="6">
        <v>44805</v>
      </c>
      <c r="B36" s="3">
        <v>0.14583333333333334</v>
      </c>
      <c r="C36" t="s">
        <v>31</v>
      </c>
      <c r="D36" t="s">
        <v>9</v>
      </c>
      <c r="E36">
        <v>0.86</v>
      </c>
      <c r="F36" t="s">
        <v>6</v>
      </c>
      <c r="G36">
        <v>0.86099999999999999</v>
      </c>
      <c r="H36">
        <f t="shared" si="0"/>
        <v>1.1627906976744197E-3</v>
      </c>
      <c r="I36">
        <f t="shared" si="1"/>
        <v>2.9052222922255133E-8</v>
      </c>
      <c r="J36">
        <f t="shared" si="2"/>
        <v>2.9052222922255132E-2</v>
      </c>
      <c r="K36">
        <v>923.54464999999982</v>
      </c>
      <c r="L36">
        <f t="shared" si="3"/>
        <v>2.6831025050456088E-3</v>
      </c>
    </row>
    <row r="37" spans="1:12" x14ac:dyDescent="0.35">
      <c r="A37" s="6">
        <v>44805</v>
      </c>
      <c r="B37" s="3">
        <v>0.16666666666666666</v>
      </c>
      <c r="C37" t="s">
        <v>31</v>
      </c>
      <c r="D37" t="s">
        <v>9</v>
      </c>
      <c r="E37">
        <v>0.86099999999999999</v>
      </c>
      <c r="F37" t="s">
        <v>6</v>
      </c>
      <c r="G37">
        <v>0.86099999999999999</v>
      </c>
      <c r="H37">
        <f t="shared" si="0"/>
        <v>0</v>
      </c>
      <c r="I37">
        <f t="shared" si="1"/>
        <v>0</v>
      </c>
      <c r="J37">
        <f t="shared" si="2"/>
        <v>0</v>
      </c>
      <c r="K37">
        <v>923.54464999999982</v>
      </c>
      <c r="L37">
        <f t="shared" si="3"/>
        <v>0</v>
      </c>
    </row>
    <row r="38" spans="1:12" x14ac:dyDescent="0.35">
      <c r="A38" s="6">
        <v>44805</v>
      </c>
      <c r="B38" s="3">
        <v>0.1875</v>
      </c>
      <c r="C38" t="s">
        <v>31</v>
      </c>
      <c r="D38" t="s">
        <v>9</v>
      </c>
      <c r="E38">
        <v>0.86</v>
      </c>
      <c r="F38" t="s">
        <v>6</v>
      </c>
      <c r="G38">
        <v>0.86099999999999999</v>
      </c>
      <c r="H38">
        <f t="shared" si="0"/>
        <v>1.1627906976744197E-3</v>
      </c>
      <c r="I38">
        <f t="shared" si="1"/>
        <v>2.9052222922255133E-8</v>
      </c>
      <c r="J38">
        <f t="shared" si="2"/>
        <v>2.9052222922255132E-2</v>
      </c>
      <c r="K38">
        <v>923.54464999999982</v>
      </c>
      <c r="L38">
        <f t="shared" si="3"/>
        <v>2.6831025050456088E-3</v>
      </c>
    </row>
    <row r="39" spans="1:12" x14ac:dyDescent="0.35">
      <c r="A39" s="6">
        <v>44805</v>
      </c>
      <c r="B39" s="3">
        <v>0.20833333333333334</v>
      </c>
      <c r="C39" t="s">
        <v>31</v>
      </c>
      <c r="D39" t="s">
        <v>9</v>
      </c>
      <c r="E39">
        <v>0.85899999999999999</v>
      </c>
      <c r="F39" t="s">
        <v>6</v>
      </c>
      <c r="G39">
        <v>0.86099999999999999</v>
      </c>
      <c r="H39">
        <f t="shared" si="0"/>
        <v>2.3282887077997693E-3</v>
      </c>
      <c r="I39">
        <f t="shared" si="1"/>
        <v>6.829191661492841E-8</v>
      </c>
      <c r="J39">
        <f t="shared" si="2"/>
        <v>6.8291916614928408E-2</v>
      </c>
      <c r="K39">
        <v>923.54464999999982</v>
      </c>
      <c r="L39">
        <f t="shared" si="3"/>
        <v>6.307063422796323E-3</v>
      </c>
    </row>
    <row r="40" spans="1:12" x14ac:dyDescent="0.35">
      <c r="A40" s="6">
        <v>44805</v>
      </c>
      <c r="B40" s="3">
        <v>0.22916666666666666</v>
      </c>
      <c r="C40" t="s">
        <v>31</v>
      </c>
      <c r="D40" t="s">
        <v>9</v>
      </c>
      <c r="E40">
        <v>0.86099999999999999</v>
      </c>
      <c r="F40" t="s">
        <v>6</v>
      </c>
      <c r="G40">
        <v>0.86099999999999999</v>
      </c>
      <c r="H40">
        <f t="shared" si="0"/>
        <v>0</v>
      </c>
      <c r="I40">
        <f t="shared" si="1"/>
        <v>0</v>
      </c>
      <c r="J40">
        <f t="shared" si="2"/>
        <v>0</v>
      </c>
      <c r="K40">
        <v>923.54464999999982</v>
      </c>
      <c r="L40">
        <f t="shared" si="3"/>
        <v>0</v>
      </c>
    </row>
    <row r="41" spans="1:12" x14ac:dyDescent="0.35">
      <c r="A41" s="6">
        <v>44805</v>
      </c>
      <c r="B41" s="3">
        <v>0.35416666666666669</v>
      </c>
      <c r="C41" t="s">
        <v>31</v>
      </c>
      <c r="D41" t="s">
        <v>9</v>
      </c>
      <c r="E41">
        <v>0.85599999999999998</v>
      </c>
      <c r="F41" t="s">
        <v>6</v>
      </c>
      <c r="G41">
        <v>0.86099999999999999</v>
      </c>
      <c r="H41">
        <f t="shared" si="0"/>
        <v>5.8411214953271078E-3</v>
      </c>
      <c r="I41">
        <f t="shared" si="1"/>
        <v>2.1188676598588165E-7</v>
      </c>
      <c r="J41">
        <f t="shared" si="2"/>
        <v>0.21188676598588166</v>
      </c>
      <c r="K41">
        <v>923.54464999999982</v>
      </c>
      <c r="L41">
        <f t="shared" si="3"/>
        <v>1.9568688913206296E-2</v>
      </c>
    </row>
    <row r="42" spans="1:12" x14ac:dyDescent="0.35">
      <c r="A42" s="6">
        <v>44805</v>
      </c>
      <c r="B42" s="3">
        <v>0.375</v>
      </c>
      <c r="C42" t="s">
        <v>31</v>
      </c>
      <c r="D42" t="s">
        <v>9</v>
      </c>
      <c r="E42">
        <v>0.83799999999999997</v>
      </c>
      <c r="F42" t="s">
        <v>6</v>
      </c>
      <c r="G42">
        <v>0.86099999999999999</v>
      </c>
      <c r="H42">
        <f t="shared" si="0"/>
        <v>2.7446300715990479E-2</v>
      </c>
      <c r="I42">
        <f t="shared" si="1"/>
        <v>1.4233789556759833E-6</v>
      </c>
      <c r="J42">
        <f t="shared" si="2"/>
        <v>1.4233789556759833</v>
      </c>
      <c r="K42">
        <v>923.54464999999982</v>
      </c>
      <c r="L42">
        <f t="shared" si="3"/>
        <v>0.13145540194371413</v>
      </c>
    </row>
    <row r="43" spans="1:12" x14ac:dyDescent="0.35">
      <c r="A43" s="6">
        <v>44805</v>
      </c>
      <c r="B43" s="3">
        <v>0.39583333333333331</v>
      </c>
      <c r="C43" t="s">
        <v>31</v>
      </c>
      <c r="D43" t="s">
        <v>9</v>
      </c>
      <c r="E43">
        <v>0.81599999999999995</v>
      </c>
      <c r="F43" t="s">
        <v>6</v>
      </c>
      <c r="G43">
        <v>0.86099999999999999</v>
      </c>
      <c r="H43">
        <f t="shared" si="0"/>
        <v>5.5147058823529466E-2</v>
      </c>
      <c r="I43">
        <f t="shared" si="1"/>
        <v>3.3601679137539762E-6</v>
      </c>
      <c r="J43">
        <f t="shared" si="2"/>
        <v>3.3601679137539762</v>
      </c>
      <c r="K43">
        <v>923.54464999999982</v>
      </c>
      <c r="L43">
        <f t="shared" si="3"/>
        <v>0.31032650998491457</v>
      </c>
    </row>
    <row r="44" spans="1:12" x14ac:dyDescent="0.35">
      <c r="A44" s="6">
        <v>44805</v>
      </c>
      <c r="B44" s="3">
        <v>0.41666666666666669</v>
      </c>
      <c r="C44" t="s">
        <v>31</v>
      </c>
      <c r="D44" t="s">
        <v>9</v>
      </c>
      <c r="E44">
        <v>0.76500000000000001</v>
      </c>
      <c r="F44" t="s">
        <v>6</v>
      </c>
      <c r="G44">
        <v>0.86099999999999999</v>
      </c>
      <c r="H44">
        <f t="shared" si="0"/>
        <v>0.12549019607843134</v>
      </c>
      <c r="I44">
        <f t="shared" si="1"/>
        <v>9.2456111195869526E-6</v>
      </c>
      <c r="J44">
        <f t="shared" si="2"/>
        <v>9.2456111195869521</v>
      </c>
      <c r="K44">
        <v>923.54464999999982</v>
      </c>
      <c r="L44">
        <f t="shared" si="3"/>
        <v>0.85387346854750379</v>
      </c>
    </row>
    <row r="45" spans="1:12" x14ac:dyDescent="0.35">
      <c r="A45" s="6">
        <v>44805</v>
      </c>
      <c r="B45" s="3">
        <v>0.4375</v>
      </c>
      <c r="C45" t="s">
        <v>31</v>
      </c>
      <c r="D45" t="s">
        <v>9</v>
      </c>
      <c r="E45">
        <v>0.745</v>
      </c>
      <c r="F45" t="s">
        <v>6</v>
      </c>
      <c r="G45">
        <v>0.86099999999999999</v>
      </c>
      <c r="H45">
        <f t="shared" si="0"/>
        <v>0.15570469798657718</v>
      </c>
      <c r="I45">
        <f t="shared" si="1"/>
        <v>1.2057863811338564E-5</v>
      </c>
      <c r="J45">
        <f t="shared" si="2"/>
        <v>12.057863811338564</v>
      </c>
      <c r="K45">
        <v>923.54464999999982</v>
      </c>
      <c r="L45">
        <f t="shared" si="3"/>
        <v>1.1135975613390339</v>
      </c>
    </row>
    <row r="46" spans="1:12" x14ac:dyDescent="0.35">
      <c r="A46" s="6">
        <v>44805</v>
      </c>
      <c r="B46" s="3">
        <v>0.45833333333333331</v>
      </c>
      <c r="C46" t="s">
        <v>31</v>
      </c>
      <c r="D46" t="s">
        <v>9</v>
      </c>
      <c r="E46">
        <v>0.73199999999999998</v>
      </c>
      <c r="F46" t="s">
        <v>6</v>
      </c>
      <c r="G46">
        <v>0.86099999999999999</v>
      </c>
      <c r="H46">
        <f t="shared" si="0"/>
        <v>0.17622950819672131</v>
      </c>
      <c r="I46">
        <f t="shared" si="1"/>
        <v>1.4043318768600457E-5</v>
      </c>
      <c r="J46">
        <f t="shared" si="2"/>
        <v>14.043318768600457</v>
      </c>
      <c r="K46">
        <v>923.54464999999982</v>
      </c>
      <c r="L46">
        <f t="shared" si="3"/>
        <v>1.2969631916985538</v>
      </c>
    </row>
    <row r="47" spans="1:12" x14ac:dyDescent="0.35">
      <c r="A47" s="6">
        <v>44805</v>
      </c>
      <c r="B47" s="3">
        <v>0.47916666666666669</v>
      </c>
      <c r="C47" t="s">
        <v>31</v>
      </c>
      <c r="D47" t="s">
        <v>9</v>
      </c>
      <c r="E47">
        <v>0.73599999999999999</v>
      </c>
      <c r="F47" t="s">
        <v>6</v>
      </c>
      <c r="G47">
        <v>0.86099999999999999</v>
      </c>
      <c r="H47">
        <f t="shared" si="0"/>
        <v>0.16983695652173914</v>
      </c>
      <c r="I47">
        <f t="shared" si="1"/>
        <v>1.3418890158642597E-5</v>
      </c>
      <c r="J47">
        <f t="shared" si="2"/>
        <v>13.418890158642597</v>
      </c>
      <c r="K47">
        <v>923.54464999999982</v>
      </c>
      <c r="L47">
        <f t="shared" si="3"/>
        <v>1.239294421495202</v>
      </c>
    </row>
    <row r="48" spans="1:12" x14ac:dyDescent="0.35">
      <c r="A48" s="6">
        <v>44805</v>
      </c>
      <c r="B48" s="3">
        <v>0.5</v>
      </c>
      <c r="C48" t="s">
        <v>31</v>
      </c>
      <c r="D48" t="s">
        <v>9</v>
      </c>
      <c r="E48">
        <v>0.73599999999999999</v>
      </c>
      <c r="F48" t="s">
        <v>6</v>
      </c>
      <c r="G48">
        <v>0.86099999999999999</v>
      </c>
      <c r="H48">
        <f t="shared" si="0"/>
        <v>0.16983695652173914</v>
      </c>
      <c r="I48">
        <f t="shared" si="1"/>
        <v>1.3418890158642597E-5</v>
      </c>
      <c r="J48">
        <f t="shared" si="2"/>
        <v>13.418890158642597</v>
      </c>
      <c r="K48">
        <v>923.54464999999982</v>
      </c>
      <c r="L48">
        <f t="shared" si="3"/>
        <v>1.239294421495202</v>
      </c>
    </row>
    <row r="49" spans="1:12" x14ac:dyDescent="0.35">
      <c r="A49" s="6">
        <v>44805</v>
      </c>
      <c r="B49" s="3">
        <v>0.58333333333333337</v>
      </c>
      <c r="C49" t="s">
        <v>31</v>
      </c>
      <c r="D49" t="s">
        <v>9</v>
      </c>
      <c r="E49">
        <v>0.72599999999999998</v>
      </c>
      <c r="F49" t="s">
        <v>6</v>
      </c>
      <c r="G49">
        <v>0.86099999999999999</v>
      </c>
      <c r="H49">
        <f t="shared" si="0"/>
        <v>0.18595041322314051</v>
      </c>
      <c r="I49">
        <f t="shared" si="1"/>
        <v>1.5002887418135989E-5</v>
      </c>
      <c r="J49">
        <f t="shared" si="2"/>
        <v>15.002887418135989</v>
      </c>
      <c r="K49">
        <v>923.54464999999982</v>
      </c>
      <c r="L49">
        <f t="shared" si="3"/>
        <v>1.3855836409571802</v>
      </c>
    </row>
    <row r="50" spans="1:12" x14ac:dyDescent="0.35">
      <c r="A50" s="6">
        <v>44805</v>
      </c>
      <c r="B50" s="3">
        <v>0.60416666666666663</v>
      </c>
      <c r="C50" t="s">
        <v>31</v>
      </c>
      <c r="D50" t="s">
        <v>9</v>
      </c>
      <c r="E50">
        <v>0.73</v>
      </c>
      <c r="F50" t="s">
        <v>6</v>
      </c>
      <c r="G50">
        <v>0.86099999999999999</v>
      </c>
      <c r="H50">
        <f t="shared" si="0"/>
        <v>0.17945205479452056</v>
      </c>
      <c r="I50">
        <f t="shared" si="1"/>
        <v>1.4360100704487497E-5</v>
      </c>
      <c r="J50">
        <f t="shared" si="2"/>
        <v>14.360100704487497</v>
      </c>
      <c r="K50">
        <v>923.54464999999982</v>
      </c>
      <c r="L50">
        <f t="shared" si="3"/>
        <v>1.3262194179090656</v>
      </c>
    </row>
    <row r="51" spans="1:12" x14ac:dyDescent="0.35">
      <c r="A51" s="6">
        <v>44805</v>
      </c>
      <c r="B51" s="3">
        <v>0.625</v>
      </c>
      <c r="C51" t="s">
        <v>31</v>
      </c>
      <c r="D51" t="s">
        <v>9</v>
      </c>
      <c r="E51">
        <v>0.74099999999999999</v>
      </c>
      <c r="F51" t="s">
        <v>6</v>
      </c>
      <c r="G51">
        <v>0.86099999999999999</v>
      </c>
      <c r="H51">
        <f t="shared" si="0"/>
        <v>0.16194331983805668</v>
      </c>
      <c r="I51">
        <f t="shared" si="1"/>
        <v>1.2655312136129728E-5</v>
      </c>
      <c r="J51">
        <f t="shared" si="2"/>
        <v>12.655312136129728</v>
      </c>
      <c r="K51">
        <v>923.54464999999982</v>
      </c>
      <c r="L51">
        <f t="shared" si="3"/>
        <v>1.1687745817402679</v>
      </c>
    </row>
    <row r="52" spans="1:12" x14ac:dyDescent="0.35">
      <c r="A52" s="6">
        <v>44805</v>
      </c>
      <c r="B52" s="3">
        <v>0.64583333333333337</v>
      </c>
      <c r="C52" t="s">
        <v>31</v>
      </c>
      <c r="D52" t="s">
        <v>9</v>
      </c>
      <c r="E52">
        <v>0.751</v>
      </c>
      <c r="F52" t="s">
        <v>6</v>
      </c>
      <c r="G52">
        <v>0.86099999999999999</v>
      </c>
      <c r="H52">
        <f t="shared" si="0"/>
        <v>0.14647137150466044</v>
      </c>
      <c r="I52">
        <f t="shared" si="1"/>
        <v>1.1183779460280599E-5</v>
      </c>
      <c r="J52">
        <f t="shared" si="2"/>
        <v>11.183779460280599</v>
      </c>
      <c r="K52">
        <v>923.54464999999982</v>
      </c>
      <c r="L52">
        <f t="shared" si="3"/>
        <v>1.0328719687322032</v>
      </c>
    </row>
    <row r="53" spans="1:12" x14ac:dyDescent="0.35">
      <c r="A53" s="6">
        <v>44805</v>
      </c>
      <c r="B53" s="3">
        <v>0.66666666666666663</v>
      </c>
      <c r="C53" t="s">
        <v>31</v>
      </c>
      <c r="D53" t="s">
        <v>9</v>
      </c>
      <c r="E53">
        <v>0.76300000000000001</v>
      </c>
      <c r="F53" t="s">
        <v>6</v>
      </c>
      <c r="G53">
        <v>0.86099999999999999</v>
      </c>
      <c r="H53">
        <f t="shared" si="0"/>
        <v>0.12844036697247704</v>
      </c>
      <c r="I53">
        <f t="shared" si="1"/>
        <v>9.5138993884002607E-6</v>
      </c>
      <c r="J53">
        <f t="shared" si="2"/>
        <v>9.5138993884002616</v>
      </c>
      <c r="K53">
        <v>923.54464999999982</v>
      </c>
      <c r="L53">
        <f t="shared" si="3"/>
        <v>0.87865108807953318</v>
      </c>
    </row>
    <row r="54" spans="1:12" x14ac:dyDescent="0.35">
      <c r="A54" s="6">
        <v>44805</v>
      </c>
      <c r="B54" s="3">
        <v>0.6875</v>
      </c>
      <c r="C54" t="s">
        <v>31</v>
      </c>
      <c r="D54" t="s">
        <v>9</v>
      </c>
      <c r="E54">
        <v>0.77600000000000002</v>
      </c>
      <c r="F54" t="s">
        <v>6</v>
      </c>
      <c r="G54">
        <v>0.86099999999999999</v>
      </c>
      <c r="H54">
        <f t="shared" si="0"/>
        <v>0.10953608247422676</v>
      </c>
      <c r="I54">
        <f t="shared" si="1"/>
        <v>7.8206325302361758E-6</v>
      </c>
      <c r="J54">
        <f t="shared" si="2"/>
        <v>7.8206325302361757</v>
      </c>
      <c r="K54">
        <v>923.54464999999982</v>
      </c>
      <c r="L54">
        <f t="shared" si="3"/>
        <v>0.72227033329155821</v>
      </c>
    </row>
    <row r="55" spans="1:12" x14ac:dyDescent="0.35">
      <c r="A55" s="6">
        <v>44805</v>
      </c>
      <c r="B55" s="3">
        <v>0.70833333333333337</v>
      </c>
      <c r="C55" t="s">
        <v>31</v>
      </c>
      <c r="D55" t="s">
        <v>9</v>
      </c>
      <c r="E55">
        <v>0.79200000000000004</v>
      </c>
      <c r="F55" t="s">
        <v>6</v>
      </c>
      <c r="G55">
        <v>0.86099999999999999</v>
      </c>
      <c r="H55">
        <f t="shared" si="0"/>
        <v>8.7121212121212058E-2</v>
      </c>
      <c r="I55">
        <f t="shared" si="1"/>
        <v>5.8998299410604823E-6</v>
      </c>
      <c r="J55">
        <f t="shared" si="2"/>
        <v>5.8998299410604824</v>
      </c>
      <c r="K55">
        <v>923.54464999999982</v>
      </c>
      <c r="L55">
        <f t="shared" si="3"/>
        <v>0.54487563779762227</v>
      </c>
    </row>
    <row r="56" spans="1:12" x14ac:dyDescent="0.35">
      <c r="A56" s="6">
        <v>44805</v>
      </c>
      <c r="B56" s="3">
        <v>0</v>
      </c>
      <c r="C56" t="s">
        <v>33</v>
      </c>
      <c r="D56" t="s">
        <v>5</v>
      </c>
      <c r="E56">
        <v>0.92900000000000005</v>
      </c>
      <c r="F56" t="s">
        <v>6</v>
      </c>
      <c r="G56">
        <f>MAX(E56:E82)</f>
        <v>0.94799999999999995</v>
      </c>
      <c r="H56">
        <f t="shared" si="0"/>
        <v>2.045209903121626E-2</v>
      </c>
      <c r="I56">
        <f t="shared" si="1"/>
        <v>9.9098093694833852E-7</v>
      </c>
      <c r="J56">
        <f t="shared" si="2"/>
        <v>0.99098093694833855</v>
      </c>
      <c r="K56">
        <v>5011.4478500000014</v>
      </c>
      <c r="L56">
        <f t="shared" si="3"/>
        <v>0.49662492858607382</v>
      </c>
    </row>
    <row r="57" spans="1:12" x14ac:dyDescent="0.35">
      <c r="A57" s="6">
        <v>44805</v>
      </c>
      <c r="B57" s="3">
        <v>2.0833333333333332E-2</v>
      </c>
      <c r="C57" t="s">
        <v>33</v>
      </c>
      <c r="D57" t="s">
        <v>5</v>
      </c>
      <c r="E57">
        <v>0.93500000000000005</v>
      </c>
      <c r="F57" t="s">
        <v>6</v>
      </c>
      <c r="G57">
        <v>0.94799999999999995</v>
      </c>
      <c r="H57">
        <f t="shared" si="0"/>
        <v>1.3903743315507915E-2</v>
      </c>
      <c r="I57">
        <f t="shared" si="1"/>
        <v>6.1622900362174949E-7</v>
      </c>
      <c r="J57">
        <f t="shared" si="2"/>
        <v>0.61622900362174948</v>
      </c>
      <c r="K57">
        <v>5011.4478500000014</v>
      </c>
      <c r="L57">
        <f t="shared" si="3"/>
        <v>0.30881995153078595</v>
      </c>
    </row>
    <row r="58" spans="1:12" x14ac:dyDescent="0.35">
      <c r="A58" s="6">
        <v>44805</v>
      </c>
      <c r="B58" s="3">
        <v>4.1666666666666664E-2</v>
      </c>
      <c r="C58" t="s">
        <v>33</v>
      </c>
      <c r="D58" t="s">
        <v>5</v>
      </c>
      <c r="E58">
        <v>0.94099999999999995</v>
      </c>
      <c r="F58" t="s">
        <v>6</v>
      </c>
      <c r="G58">
        <v>0.94799999999999995</v>
      </c>
      <c r="H58">
        <f t="shared" si="0"/>
        <v>7.438894792773652E-3</v>
      </c>
      <c r="I58">
        <f t="shared" si="1"/>
        <v>2.8534733591876009E-7</v>
      </c>
      <c r="J58">
        <f t="shared" si="2"/>
        <v>0.2853473359187601</v>
      </c>
      <c r="K58">
        <v>5011.4478500000014</v>
      </c>
      <c r="L58">
        <f t="shared" si="3"/>
        <v>0.14300032930932985</v>
      </c>
    </row>
    <row r="59" spans="1:12" x14ac:dyDescent="0.35">
      <c r="A59" s="6">
        <v>44805</v>
      </c>
      <c r="B59" s="3">
        <v>6.25E-2</v>
      </c>
      <c r="C59" t="s">
        <v>33</v>
      </c>
      <c r="D59" t="s">
        <v>5</v>
      </c>
      <c r="E59">
        <v>0.94399999999999995</v>
      </c>
      <c r="F59" t="s">
        <v>6</v>
      </c>
      <c r="G59">
        <v>0.94799999999999995</v>
      </c>
      <c r="H59">
        <f t="shared" si="0"/>
        <v>4.2372881355932247E-3</v>
      </c>
      <c r="I59">
        <f t="shared" si="1"/>
        <v>1.4272244785102298E-7</v>
      </c>
      <c r="J59">
        <f t="shared" si="2"/>
        <v>0.14272244785102298</v>
      </c>
      <c r="K59">
        <v>5011.4478500000014</v>
      </c>
      <c r="L59">
        <f t="shared" si="3"/>
        <v>7.1524610442974645E-2</v>
      </c>
    </row>
    <row r="60" spans="1:12" x14ac:dyDescent="0.35">
      <c r="A60" s="6">
        <v>44805</v>
      </c>
      <c r="B60" s="3">
        <v>8.3333333333333329E-2</v>
      </c>
      <c r="C60" t="s">
        <v>33</v>
      </c>
      <c r="D60" t="s">
        <v>5</v>
      </c>
      <c r="E60">
        <v>0.94799999999999995</v>
      </c>
      <c r="F60" t="s">
        <v>6</v>
      </c>
      <c r="G60">
        <v>0.94799999999999995</v>
      </c>
      <c r="H60">
        <f t="shared" si="0"/>
        <v>0</v>
      </c>
      <c r="I60">
        <f t="shared" si="1"/>
        <v>0</v>
      </c>
      <c r="J60">
        <f t="shared" si="2"/>
        <v>0</v>
      </c>
      <c r="K60">
        <v>5011.4478500000014</v>
      </c>
      <c r="L60">
        <f t="shared" si="3"/>
        <v>0</v>
      </c>
    </row>
    <row r="61" spans="1:12" x14ac:dyDescent="0.35">
      <c r="A61" s="6">
        <v>44805</v>
      </c>
      <c r="B61" s="3">
        <v>0.10416666666666667</v>
      </c>
      <c r="C61" t="s">
        <v>33</v>
      </c>
      <c r="D61" t="s">
        <v>5</v>
      </c>
      <c r="E61">
        <v>0.94299999999999995</v>
      </c>
      <c r="F61" t="s">
        <v>6</v>
      </c>
      <c r="G61">
        <v>0.94799999999999995</v>
      </c>
      <c r="H61">
        <f t="shared" si="0"/>
        <v>5.302226935312836E-3</v>
      </c>
      <c r="I61">
        <f t="shared" si="1"/>
        <v>1.880854250853038E-7</v>
      </c>
      <c r="J61">
        <f t="shared" si="2"/>
        <v>0.18808542508530379</v>
      </c>
      <c r="K61">
        <v>5011.4478500000014</v>
      </c>
      <c r="L61">
        <f t="shared" si="3"/>
        <v>9.4258029916008207E-2</v>
      </c>
    </row>
    <row r="62" spans="1:12" x14ac:dyDescent="0.35">
      <c r="A62" s="6">
        <v>44805</v>
      </c>
      <c r="B62" s="3">
        <v>0.125</v>
      </c>
      <c r="C62" t="s">
        <v>33</v>
      </c>
      <c r="D62" t="s">
        <v>5</v>
      </c>
      <c r="E62">
        <v>0.94099999999999995</v>
      </c>
      <c r="F62" t="s">
        <v>6</v>
      </c>
      <c r="G62">
        <v>0.94799999999999995</v>
      </c>
      <c r="H62">
        <f t="shared" si="0"/>
        <v>7.438894792773652E-3</v>
      </c>
      <c r="I62">
        <f t="shared" si="1"/>
        <v>2.8534733591876009E-7</v>
      </c>
      <c r="J62">
        <f t="shared" si="2"/>
        <v>0.2853473359187601</v>
      </c>
      <c r="K62">
        <v>5011.4478500000014</v>
      </c>
      <c r="L62">
        <f t="shared" si="3"/>
        <v>0.14300032930932985</v>
      </c>
    </row>
    <row r="63" spans="1:12" x14ac:dyDescent="0.35">
      <c r="A63" s="6">
        <v>44805</v>
      </c>
      <c r="B63" s="3">
        <v>0.14583333333333334</v>
      </c>
      <c r="C63" t="s">
        <v>33</v>
      </c>
      <c r="D63" t="s">
        <v>5</v>
      </c>
      <c r="E63">
        <v>0.94799999999999995</v>
      </c>
      <c r="F63" t="s">
        <v>6</v>
      </c>
      <c r="G63">
        <v>0.94799999999999995</v>
      </c>
      <c r="H63">
        <f t="shared" si="0"/>
        <v>0</v>
      </c>
      <c r="I63">
        <f t="shared" si="1"/>
        <v>0</v>
      </c>
      <c r="J63">
        <f t="shared" si="2"/>
        <v>0</v>
      </c>
      <c r="K63">
        <v>5011.4478500000014</v>
      </c>
      <c r="L63">
        <f t="shared" si="3"/>
        <v>0</v>
      </c>
    </row>
    <row r="64" spans="1:12" x14ac:dyDescent="0.35">
      <c r="A64" s="6">
        <v>44805</v>
      </c>
      <c r="B64" s="3">
        <v>0.16666666666666666</v>
      </c>
      <c r="C64" t="s">
        <v>33</v>
      </c>
      <c r="D64" t="s">
        <v>5</v>
      </c>
      <c r="E64">
        <v>0.94399999999999995</v>
      </c>
      <c r="F64" t="s">
        <v>6</v>
      </c>
      <c r="G64">
        <v>0.94799999999999995</v>
      </c>
      <c r="H64">
        <f t="shared" si="0"/>
        <v>4.2372881355932247E-3</v>
      </c>
      <c r="I64">
        <f t="shared" si="1"/>
        <v>1.4272244785102298E-7</v>
      </c>
      <c r="J64">
        <f t="shared" si="2"/>
        <v>0.14272244785102298</v>
      </c>
      <c r="K64">
        <v>5011.4478500000014</v>
      </c>
      <c r="L64">
        <f t="shared" si="3"/>
        <v>7.1524610442974645E-2</v>
      </c>
    </row>
    <row r="65" spans="1:12" x14ac:dyDescent="0.35">
      <c r="A65" s="6">
        <v>44805</v>
      </c>
      <c r="B65" s="3">
        <v>0.1875</v>
      </c>
      <c r="C65" t="s">
        <v>33</v>
      </c>
      <c r="D65" t="s">
        <v>5</v>
      </c>
      <c r="E65">
        <v>0.93799999999999994</v>
      </c>
      <c r="F65" t="s">
        <v>6</v>
      </c>
      <c r="G65">
        <v>0.94799999999999995</v>
      </c>
      <c r="H65">
        <f t="shared" si="0"/>
        <v>1.0660980810234552E-2</v>
      </c>
      <c r="I65">
        <f t="shared" si="1"/>
        <v>4.4439101280178385E-7</v>
      </c>
      <c r="J65">
        <f t="shared" si="2"/>
        <v>0.44439101280178384</v>
      </c>
      <c r="K65">
        <v>5011.4478500000014</v>
      </c>
      <c r="L65">
        <f t="shared" si="3"/>
        <v>0.22270423856648228</v>
      </c>
    </row>
    <row r="66" spans="1:12" x14ac:dyDescent="0.35">
      <c r="A66" s="6">
        <v>44805</v>
      </c>
      <c r="B66" s="3">
        <v>0.20833333333333334</v>
      </c>
      <c r="C66" t="s">
        <v>33</v>
      </c>
      <c r="D66" t="s">
        <v>5</v>
      </c>
      <c r="E66">
        <v>0.93700000000000006</v>
      </c>
      <c r="F66" t="s">
        <v>6</v>
      </c>
      <c r="G66">
        <v>0.94799999999999995</v>
      </c>
      <c r="H66">
        <f t="shared" ref="H66:H129" si="4">(G66-E66)/E66</f>
        <v>1.1739594450373423E-2</v>
      </c>
      <c r="I66">
        <f t="shared" ref="I66:I129" si="5">119*10^-6*(H66^1.231)</f>
        <v>5.0036845271612667E-7</v>
      </c>
      <c r="J66">
        <f t="shared" ref="J66:J129" si="6">I66*10^6</f>
        <v>0.50036845271612662</v>
      </c>
      <c r="K66">
        <v>5011.4478500000014</v>
      </c>
      <c r="L66">
        <f t="shared" si="3"/>
        <v>0.250757040657206</v>
      </c>
    </row>
    <row r="67" spans="1:12" x14ac:dyDescent="0.35">
      <c r="A67" s="6">
        <v>44805</v>
      </c>
      <c r="B67" s="3">
        <v>0.22916666666666666</v>
      </c>
      <c r="C67" t="s">
        <v>33</v>
      </c>
      <c r="D67" t="s">
        <v>5</v>
      </c>
      <c r="E67">
        <v>0.94199999999999995</v>
      </c>
      <c r="F67" t="s">
        <v>6</v>
      </c>
      <c r="G67">
        <v>0.94799999999999995</v>
      </c>
      <c r="H67">
        <f t="shared" si="4"/>
        <v>6.3694267515923631E-3</v>
      </c>
      <c r="I67">
        <f t="shared" si="5"/>
        <v>2.3571894532983646E-7</v>
      </c>
      <c r="J67">
        <f t="shared" si="6"/>
        <v>0.23571894532983648</v>
      </c>
      <c r="K67">
        <v>5011.4478500000014</v>
      </c>
      <c r="L67">
        <f t="shared" ref="L67:L130" si="7">J67*(K67/10000)</f>
        <v>0.11812932017774769</v>
      </c>
    </row>
    <row r="68" spans="1:12" x14ac:dyDescent="0.35">
      <c r="A68" s="6">
        <v>44805</v>
      </c>
      <c r="B68" s="3">
        <v>0.35416666666666669</v>
      </c>
      <c r="C68" t="s">
        <v>33</v>
      </c>
      <c r="D68" t="s">
        <v>5</v>
      </c>
      <c r="E68">
        <v>0.93799999999999994</v>
      </c>
      <c r="F68" t="s">
        <v>6</v>
      </c>
      <c r="G68">
        <v>0.94799999999999995</v>
      </c>
      <c r="H68">
        <f t="shared" si="4"/>
        <v>1.0660980810234552E-2</v>
      </c>
      <c r="I68">
        <f t="shared" si="5"/>
        <v>4.4439101280178385E-7</v>
      </c>
      <c r="J68">
        <f t="shared" si="6"/>
        <v>0.44439101280178384</v>
      </c>
      <c r="K68">
        <v>5011.4478500000014</v>
      </c>
      <c r="L68">
        <f t="shared" si="7"/>
        <v>0.22270423856648228</v>
      </c>
    </row>
    <row r="69" spans="1:12" x14ac:dyDescent="0.35">
      <c r="A69" s="6">
        <v>44805</v>
      </c>
      <c r="B69" s="3">
        <v>0.375</v>
      </c>
      <c r="C69" t="s">
        <v>33</v>
      </c>
      <c r="D69" t="s">
        <v>5</v>
      </c>
      <c r="E69">
        <v>0.92400000000000004</v>
      </c>
      <c r="F69" t="s">
        <v>6</v>
      </c>
      <c r="G69">
        <v>0.94799999999999995</v>
      </c>
      <c r="H69">
        <f t="shared" si="4"/>
        <v>2.5974025974025875E-2</v>
      </c>
      <c r="I69">
        <f t="shared" si="5"/>
        <v>1.3299790604390473E-6</v>
      </c>
      <c r="J69">
        <f t="shared" si="6"/>
        <v>1.3299790604390473</v>
      </c>
      <c r="K69">
        <v>5011.4478500000014</v>
      </c>
      <c r="L69">
        <f t="shared" si="7"/>
        <v>0.66651207029822856</v>
      </c>
    </row>
    <row r="70" spans="1:12" x14ac:dyDescent="0.35">
      <c r="A70" s="6">
        <v>44805</v>
      </c>
      <c r="B70" s="3">
        <v>0.39583333333333331</v>
      </c>
      <c r="C70" t="s">
        <v>33</v>
      </c>
      <c r="D70" t="s">
        <v>5</v>
      </c>
      <c r="E70">
        <v>0.92500000000000004</v>
      </c>
      <c r="F70" t="s">
        <v>6</v>
      </c>
      <c r="G70">
        <v>0.94799999999999995</v>
      </c>
      <c r="H70">
        <f t="shared" si="4"/>
        <v>2.4864864864864767E-2</v>
      </c>
      <c r="I70">
        <f t="shared" si="5"/>
        <v>1.2604146851843335E-6</v>
      </c>
      <c r="J70">
        <f t="shared" si="6"/>
        <v>1.2604146851843334</v>
      </c>
      <c r="K70">
        <v>5011.4478500000014</v>
      </c>
      <c r="L70">
        <f t="shared" si="7"/>
        <v>0.63165024641754564</v>
      </c>
    </row>
    <row r="71" spans="1:12" x14ac:dyDescent="0.35">
      <c r="A71" s="6">
        <v>44805</v>
      </c>
      <c r="B71" s="3">
        <v>0.41666666666666669</v>
      </c>
      <c r="C71" t="s">
        <v>33</v>
      </c>
      <c r="D71" t="s">
        <v>5</v>
      </c>
      <c r="E71">
        <v>0.91300000000000003</v>
      </c>
      <c r="F71" t="s">
        <v>6</v>
      </c>
      <c r="G71">
        <v>0.94799999999999995</v>
      </c>
      <c r="H71">
        <f t="shared" si="4"/>
        <v>3.8335158817086441E-2</v>
      </c>
      <c r="I71">
        <f t="shared" si="5"/>
        <v>2.1476089087493028E-6</v>
      </c>
      <c r="J71">
        <f t="shared" si="6"/>
        <v>2.1476089087493029</v>
      </c>
      <c r="K71">
        <v>5011.4478500000014</v>
      </c>
      <c r="L71">
        <f t="shared" si="7"/>
        <v>1.0762630048392543</v>
      </c>
    </row>
    <row r="72" spans="1:12" x14ac:dyDescent="0.35">
      <c r="A72" s="6">
        <v>44805</v>
      </c>
      <c r="B72" s="3">
        <v>0.4375</v>
      </c>
      <c r="C72" t="s">
        <v>33</v>
      </c>
      <c r="D72" t="s">
        <v>5</v>
      </c>
      <c r="E72">
        <v>0.90800000000000003</v>
      </c>
      <c r="F72" t="s">
        <v>6</v>
      </c>
      <c r="G72">
        <v>0.94799999999999995</v>
      </c>
      <c r="H72">
        <f t="shared" si="4"/>
        <v>4.405286343612326E-2</v>
      </c>
      <c r="I72">
        <f t="shared" si="5"/>
        <v>2.5484676859120222E-6</v>
      </c>
      <c r="J72">
        <f t="shared" si="6"/>
        <v>2.5484676859120223</v>
      </c>
      <c r="K72">
        <v>5011.4478500000014</v>
      </c>
      <c r="L72">
        <f t="shared" si="7"/>
        <v>1.2771512905358284</v>
      </c>
    </row>
    <row r="73" spans="1:12" x14ac:dyDescent="0.35">
      <c r="A73" s="6">
        <v>44805</v>
      </c>
      <c r="B73" s="3">
        <v>0.45833333333333331</v>
      </c>
      <c r="C73" t="s">
        <v>33</v>
      </c>
      <c r="D73" t="s">
        <v>5</v>
      </c>
      <c r="E73">
        <v>0.89700000000000002</v>
      </c>
      <c r="F73" t="s">
        <v>6</v>
      </c>
      <c r="G73">
        <v>0.94799999999999995</v>
      </c>
      <c r="H73">
        <f t="shared" si="4"/>
        <v>5.6856187290969827E-2</v>
      </c>
      <c r="I73">
        <f t="shared" si="5"/>
        <v>3.4888182927138195E-6</v>
      </c>
      <c r="J73">
        <f t="shared" si="6"/>
        <v>3.4888182927138196</v>
      </c>
      <c r="K73">
        <v>5011.4478500000014</v>
      </c>
      <c r="L73">
        <f t="shared" si="7"/>
        <v>1.7484030932061347</v>
      </c>
    </row>
    <row r="74" spans="1:12" x14ac:dyDescent="0.35">
      <c r="A74" s="6">
        <v>44805</v>
      </c>
      <c r="B74" s="3">
        <v>0.47916666666666669</v>
      </c>
      <c r="C74" t="s">
        <v>33</v>
      </c>
      <c r="D74" t="s">
        <v>5</v>
      </c>
      <c r="E74">
        <v>0.89200000000000002</v>
      </c>
      <c r="F74" t="s">
        <v>6</v>
      </c>
      <c r="G74">
        <v>0.94799999999999995</v>
      </c>
      <c r="H74">
        <f t="shared" si="4"/>
        <v>6.2780269058295896E-2</v>
      </c>
      <c r="I74">
        <f t="shared" si="5"/>
        <v>3.9415522397364627E-6</v>
      </c>
      <c r="J74">
        <f t="shared" si="6"/>
        <v>3.9415522397364628</v>
      </c>
      <c r="K74">
        <v>5011.4478500000014</v>
      </c>
      <c r="L74">
        <f t="shared" si="7"/>
        <v>1.9752883497489988</v>
      </c>
    </row>
    <row r="75" spans="1:12" x14ac:dyDescent="0.35">
      <c r="A75" s="6">
        <v>44805</v>
      </c>
      <c r="B75" s="3">
        <v>0.5</v>
      </c>
      <c r="C75" t="s">
        <v>33</v>
      </c>
      <c r="D75" t="s">
        <v>5</v>
      </c>
      <c r="E75">
        <v>0.88500000000000001</v>
      </c>
      <c r="F75" t="s">
        <v>6</v>
      </c>
      <c r="G75">
        <v>0.94799999999999995</v>
      </c>
      <c r="H75">
        <f t="shared" si="4"/>
        <v>7.1186440677966034E-2</v>
      </c>
      <c r="I75">
        <f t="shared" si="5"/>
        <v>4.6009552744550039E-6</v>
      </c>
      <c r="J75">
        <f t="shared" si="6"/>
        <v>4.6009552744550035</v>
      </c>
      <c r="K75">
        <v>5011.4478500000014</v>
      </c>
      <c r="L75">
        <f t="shared" si="7"/>
        <v>2.3057447418113695</v>
      </c>
    </row>
    <row r="76" spans="1:12" x14ac:dyDescent="0.35">
      <c r="A76" s="6">
        <v>44805</v>
      </c>
      <c r="B76" s="3">
        <v>0.58333333333333337</v>
      </c>
      <c r="C76" t="s">
        <v>33</v>
      </c>
      <c r="D76" t="s">
        <v>5</v>
      </c>
      <c r="E76">
        <v>0.86499999999999999</v>
      </c>
      <c r="F76" t="s">
        <v>6</v>
      </c>
      <c r="G76">
        <v>0.94799999999999995</v>
      </c>
      <c r="H76">
        <f t="shared" si="4"/>
        <v>9.5953757225433478E-2</v>
      </c>
      <c r="I76">
        <f t="shared" si="5"/>
        <v>6.6445452723657543E-6</v>
      </c>
      <c r="J76">
        <f t="shared" si="6"/>
        <v>6.6445452723657539</v>
      </c>
      <c r="K76">
        <v>5011.4478500000014</v>
      </c>
      <c r="L76">
        <f t="shared" si="7"/>
        <v>3.3298792119425031</v>
      </c>
    </row>
    <row r="77" spans="1:12" x14ac:dyDescent="0.35">
      <c r="A77" s="6">
        <v>44805</v>
      </c>
      <c r="B77" s="3">
        <v>0.60416666666666663</v>
      </c>
      <c r="C77" t="s">
        <v>33</v>
      </c>
      <c r="D77" t="s">
        <v>5</v>
      </c>
      <c r="E77">
        <v>0.875</v>
      </c>
      <c r="F77" t="s">
        <v>6</v>
      </c>
      <c r="G77">
        <v>0.94799999999999995</v>
      </c>
      <c r="H77">
        <f t="shared" si="4"/>
        <v>8.342857142857138E-2</v>
      </c>
      <c r="I77">
        <f t="shared" si="5"/>
        <v>5.5935237822372624E-6</v>
      </c>
      <c r="J77">
        <f t="shared" si="6"/>
        <v>5.5935237822372628</v>
      </c>
      <c r="K77">
        <v>5011.4478500000014</v>
      </c>
      <c r="L77">
        <f t="shared" si="7"/>
        <v>2.8031652732416807</v>
      </c>
    </row>
    <row r="78" spans="1:12" x14ac:dyDescent="0.35">
      <c r="A78" s="6">
        <v>44805</v>
      </c>
      <c r="B78" s="3">
        <v>0.625</v>
      </c>
      <c r="C78" t="s">
        <v>33</v>
      </c>
      <c r="D78" t="s">
        <v>5</v>
      </c>
      <c r="E78">
        <v>0.877</v>
      </c>
      <c r="F78" t="s">
        <v>6</v>
      </c>
      <c r="G78">
        <v>0.94799999999999995</v>
      </c>
      <c r="H78">
        <f t="shared" si="4"/>
        <v>8.0957810718357989E-2</v>
      </c>
      <c r="I78">
        <f t="shared" si="5"/>
        <v>5.3903068572212548E-6</v>
      </c>
      <c r="J78">
        <f t="shared" si="6"/>
        <v>5.3903068572212547</v>
      </c>
      <c r="K78">
        <v>5011.4478500000014</v>
      </c>
      <c r="L78">
        <f t="shared" si="7"/>
        <v>2.7013241710461724</v>
      </c>
    </row>
    <row r="79" spans="1:12" x14ac:dyDescent="0.35">
      <c r="A79" s="6">
        <v>44805</v>
      </c>
      <c r="B79" s="3">
        <v>0.64583333333333337</v>
      </c>
      <c r="C79" t="s">
        <v>33</v>
      </c>
      <c r="D79" t="s">
        <v>5</v>
      </c>
      <c r="E79">
        <v>0.87</v>
      </c>
      <c r="F79" t="s">
        <v>6</v>
      </c>
      <c r="G79">
        <v>0.94799999999999995</v>
      </c>
      <c r="H79">
        <f t="shared" si="4"/>
        <v>8.9655172413793061E-2</v>
      </c>
      <c r="I79">
        <f t="shared" si="5"/>
        <v>6.1117730250875971E-6</v>
      </c>
      <c r="J79">
        <f t="shared" si="6"/>
        <v>6.1117730250875972</v>
      </c>
      <c r="K79">
        <v>5011.4478500000014</v>
      </c>
      <c r="L79">
        <f t="shared" si="7"/>
        <v>3.0628831786263246</v>
      </c>
    </row>
    <row r="80" spans="1:12" x14ac:dyDescent="0.35">
      <c r="A80" s="6">
        <v>44805</v>
      </c>
      <c r="B80" s="3">
        <v>0.66666666666666663</v>
      </c>
      <c r="C80" t="s">
        <v>33</v>
      </c>
      <c r="D80" t="s">
        <v>5</v>
      </c>
      <c r="E80">
        <v>0.86699999999999999</v>
      </c>
      <c r="F80" t="s">
        <v>6</v>
      </c>
      <c r="G80">
        <v>0.94799999999999995</v>
      </c>
      <c r="H80">
        <f t="shared" si="4"/>
        <v>9.342560553633214E-2</v>
      </c>
      <c r="I80">
        <f t="shared" si="5"/>
        <v>6.4296970502727011E-6</v>
      </c>
      <c r="J80">
        <f t="shared" si="6"/>
        <v>6.4296970502727016</v>
      </c>
      <c r="K80">
        <v>5011.4478500000014</v>
      </c>
      <c r="L80">
        <f t="shared" si="7"/>
        <v>3.2222091458740483</v>
      </c>
    </row>
    <row r="81" spans="1:12" x14ac:dyDescent="0.35">
      <c r="A81" s="6">
        <v>44805</v>
      </c>
      <c r="B81" s="3">
        <v>0.6875</v>
      </c>
      <c r="C81" t="s">
        <v>33</v>
      </c>
      <c r="D81" t="s">
        <v>5</v>
      </c>
      <c r="E81">
        <v>0.872</v>
      </c>
      <c r="F81" t="s">
        <v>6</v>
      </c>
      <c r="G81">
        <v>0.94799999999999995</v>
      </c>
      <c r="H81">
        <f t="shared" si="4"/>
        <v>8.7155963302752243E-2</v>
      </c>
      <c r="I81">
        <f t="shared" si="5"/>
        <v>5.9027270392745511E-6</v>
      </c>
      <c r="J81">
        <f t="shared" si="6"/>
        <v>5.9027270392745512</v>
      </c>
      <c r="K81">
        <v>5011.4478500000014</v>
      </c>
      <c r="L81">
        <f t="shared" si="7"/>
        <v>2.9581208730109325</v>
      </c>
    </row>
    <row r="82" spans="1:12" x14ac:dyDescent="0.35">
      <c r="A82" s="6">
        <v>44805</v>
      </c>
      <c r="B82" s="3">
        <v>0.70833333333333337</v>
      </c>
      <c r="C82" t="s">
        <v>33</v>
      </c>
      <c r="D82" t="s">
        <v>5</v>
      </c>
      <c r="E82">
        <v>0.88</v>
      </c>
      <c r="F82" t="s">
        <v>6</v>
      </c>
      <c r="G82">
        <v>0.94799999999999995</v>
      </c>
      <c r="H82">
        <f t="shared" si="4"/>
        <v>7.7272727272727215E-2</v>
      </c>
      <c r="I82">
        <f t="shared" si="5"/>
        <v>5.0898767192627023E-6</v>
      </c>
      <c r="J82">
        <f t="shared" si="6"/>
        <v>5.0898767192627021</v>
      </c>
      <c r="K82">
        <v>5011.4478500000014</v>
      </c>
      <c r="L82">
        <f t="shared" si="7"/>
        <v>2.550765174151413</v>
      </c>
    </row>
    <row r="83" spans="1:12" x14ac:dyDescent="0.35">
      <c r="A83" s="6">
        <v>44806</v>
      </c>
      <c r="B83" s="3">
        <v>0</v>
      </c>
      <c r="C83" t="s">
        <v>23</v>
      </c>
      <c r="D83" t="s">
        <v>35</v>
      </c>
      <c r="E83">
        <v>0.69599999999999995</v>
      </c>
      <c r="F83" t="s">
        <v>6</v>
      </c>
      <c r="G83">
        <f>MAX(E83:E109)</f>
        <v>0.73</v>
      </c>
      <c r="H83">
        <f t="shared" si="4"/>
        <v>4.8850574712643723E-2</v>
      </c>
      <c r="I83">
        <f t="shared" si="5"/>
        <v>2.8943132601360307E-6</v>
      </c>
      <c r="J83">
        <f t="shared" si="6"/>
        <v>2.8943132601360309</v>
      </c>
      <c r="K83">
        <v>1139.51385</v>
      </c>
      <c r="L83">
        <f t="shared" si="7"/>
        <v>0.32981100461636603</v>
      </c>
    </row>
    <row r="84" spans="1:12" x14ac:dyDescent="0.35">
      <c r="A84" s="6">
        <v>44806</v>
      </c>
      <c r="B84" s="3">
        <v>2.0833333333333332E-2</v>
      </c>
      <c r="C84" t="s">
        <v>23</v>
      </c>
      <c r="D84" t="s">
        <v>35</v>
      </c>
      <c r="E84">
        <v>0.70399999999999996</v>
      </c>
      <c r="F84" t="s">
        <v>6</v>
      </c>
      <c r="G84">
        <v>0.73</v>
      </c>
      <c r="H84">
        <f t="shared" si="4"/>
        <v>3.6931818181818218E-2</v>
      </c>
      <c r="I84">
        <f t="shared" si="5"/>
        <v>2.0512434597295649E-6</v>
      </c>
      <c r="J84">
        <f t="shared" si="6"/>
        <v>2.051243459729565</v>
      </c>
      <c r="K84">
        <v>1139.51385</v>
      </c>
      <c r="L84">
        <f t="shared" si="7"/>
        <v>0.23374203320837567</v>
      </c>
    </row>
    <row r="85" spans="1:12" x14ac:dyDescent="0.35">
      <c r="A85" s="6">
        <v>44806</v>
      </c>
      <c r="B85" s="3">
        <v>4.1666666666666664E-2</v>
      </c>
      <c r="C85" t="s">
        <v>23</v>
      </c>
      <c r="D85" t="s">
        <v>35</v>
      </c>
      <c r="E85">
        <v>0.71099999999999997</v>
      </c>
      <c r="F85" t="s">
        <v>6</v>
      </c>
      <c r="G85">
        <v>0.73</v>
      </c>
      <c r="H85">
        <f t="shared" si="4"/>
        <v>2.6722925457102698E-2</v>
      </c>
      <c r="I85">
        <f t="shared" si="5"/>
        <v>1.3773400172566998E-6</v>
      </c>
      <c r="J85">
        <f t="shared" si="6"/>
        <v>1.3773400172566999</v>
      </c>
      <c r="K85">
        <v>1139.51385</v>
      </c>
      <c r="L85">
        <f t="shared" si="7"/>
        <v>0.15694980258232485</v>
      </c>
    </row>
    <row r="86" spans="1:12" x14ac:dyDescent="0.35">
      <c r="A86" s="6">
        <v>44806</v>
      </c>
      <c r="B86" s="3">
        <v>6.25E-2</v>
      </c>
      <c r="C86" t="s">
        <v>23</v>
      </c>
      <c r="D86" t="s">
        <v>35</v>
      </c>
      <c r="E86">
        <v>0.71599999999999997</v>
      </c>
      <c r="F86" t="s">
        <v>6</v>
      </c>
      <c r="G86">
        <v>0.73</v>
      </c>
      <c r="H86">
        <f t="shared" si="4"/>
        <v>1.9553072625698342E-2</v>
      </c>
      <c r="I86">
        <f t="shared" si="5"/>
        <v>9.3763247949417523E-7</v>
      </c>
      <c r="J86">
        <f t="shared" si="6"/>
        <v>0.93763247949417527</v>
      </c>
      <c r="K86">
        <v>1139.51385</v>
      </c>
      <c r="L86">
        <f t="shared" si="7"/>
        <v>0.10684451965934537</v>
      </c>
    </row>
    <row r="87" spans="1:12" x14ac:dyDescent="0.35">
      <c r="A87" s="6">
        <v>44806</v>
      </c>
      <c r="B87" s="3">
        <v>8.3333333333333329E-2</v>
      </c>
      <c r="C87" t="s">
        <v>23</v>
      </c>
      <c r="D87" t="s">
        <v>35</v>
      </c>
      <c r="E87">
        <v>0.72</v>
      </c>
      <c r="F87" t="s">
        <v>6</v>
      </c>
      <c r="G87">
        <v>0.73</v>
      </c>
      <c r="H87">
        <f t="shared" si="4"/>
        <v>1.3888888888888902E-2</v>
      </c>
      <c r="I87">
        <f t="shared" si="5"/>
        <v>6.1541865717812096E-7</v>
      </c>
      <c r="J87">
        <f t="shared" si="6"/>
        <v>0.61541865717812094</v>
      </c>
      <c r="K87">
        <v>1139.51385</v>
      </c>
      <c r="L87">
        <f t="shared" si="7"/>
        <v>7.0127808340287076E-2</v>
      </c>
    </row>
    <row r="88" spans="1:12" x14ac:dyDescent="0.35">
      <c r="A88" s="6">
        <v>44806</v>
      </c>
      <c r="B88" s="3">
        <v>0.10416666666666667</v>
      </c>
      <c r="C88" t="s">
        <v>23</v>
      </c>
      <c r="D88" t="s">
        <v>35</v>
      </c>
      <c r="E88">
        <v>0.72299999999999998</v>
      </c>
      <c r="F88" t="s">
        <v>6</v>
      </c>
      <c r="G88">
        <v>0.73</v>
      </c>
      <c r="H88">
        <f t="shared" si="4"/>
        <v>9.681881051175666E-3</v>
      </c>
      <c r="I88">
        <f t="shared" si="5"/>
        <v>3.9469661760699685E-7</v>
      </c>
      <c r="J88">
        <f t="shared" si="6"/>
        <v>0.39469661760699687</v>
      </c>
      <c r="K88">
        <v>1139.51385</v>
      </c>
      <c r="L88">
        <f t="shared" si="7"/>
        <v>4.4976226231132677E-2</v>
      </c>
    </row>
    <row r="89" spans="1:12" x14ac:dyDescent="0.35">
      <c r="A89" s="6">
        <v>44806</v>
      </c>
      <c r="B89" s="3">
        <v>0.125</v>
      </c>
      <c r="C89" t="s">
        <v>23</v>
      </c>
      <c r="D89" t="s">
        <v>35</v>
      </c>
      <c r="E89">
        <v>0.72499999999999998</v>
      </c>
      <c r="F89" t="s">
        <v>6</v>
      </c>
      <c r="G89">
        <v>0.73</v>
      </c>
      <c r="H89">
        <f t="shared" si="4"/>
        <v>6.896551724137937E-3</v>
      </c>
      <c r="I89">
        <f t="shared" si="5"/>
        <v>2.599578584967607E-7</v>
      </c>
      <c r="J89">
        <f t="shared" si="6"/>
        <v>0.25995785849676067</v>
      </c>
      <c r="K89">
        <v>1139.51385</v>
      </c>
      <c r="L89">
        <f t="shared" si="7"/>
        <v>2.9622558017339897E-2</v>
      </c>
    </row>
    <row r="90" spans="1:12" x14ac:dyDescent="0.35">
      <c r="A90" s="6">
        <v>44806</v>
      </c>
      <c r="B90" s="3">
        <v>0.14583333333333334</v>
      </c>
      <c r="C90" t="s">
        <v>23</v>
      </c>
      <c r="D90" t="s">
        <v>35</v>
      </c>
      <c r="E90">
        <v>0.72599999999999998</v>
      </c>
      <c r="F90" t="s">
        <v>6</v>
      </c>
      <c r="G90">
        <v>0.73</v>
      </c>
      <c r="H90">
        <f t="shared" si="4"/>
        <v>5.5096418732782423E-3</v>
      </c>
      <c r="I90">
        <f t="shared" si="5"/>
        <v>1.9718316382502315E-7</v>
      </c>
      <c r="J90">
        <f t="shared" si="6"/>
        <v>0.19718316382502316</v>
      </c>
      <c r="K90">
        <v>1139.51385</v>
      </c>
      <c r="L90">
        <f t="shared" si="7"/>
        <v>2.2469294616543286E-2</v>
      </c>
    </row>
    <row r="91" spans="1:12" x14ac:dyDescent="0.35">
      <c r="A91" s="6">
        <v>44806</v>
      </c>
      <c r="B91" s="3">
        <v>0.16666666666666666</v>
      </c>
      <c r="C91" t="s">
        <v>23</v>
      </c>
      <c r="D91" t="s">
        <v>35</v>
      </c>
      <c r="E91">
        <v>0.72799999999999998</v>
      </c>
      <c r="F91" t="s">
        <v>6</v>
      </c>
      <c r="G91">
        <v>0.73</v>
      </c>
      <c r="H91">
        <f t="shared" si="4"/>
        <v>2.7472527472527496E-3</v>
      </c>
      <c r="I91">
        <f t="shared" si="5"/>
        <v>8.3720373681289935E-8</v>
      </c>
      <c r="J91">
        <f t="shared" si="6"/>
        <v>8.3720373681289942E-2</v>
      </c>
      <c r="K91">
        <v>1139.51385</v>
      </c>
      <c r="L91">
        <f t="shared" si="7"/>
        <v>9.5400525337005371E-3</v>
      </c>
    </row>
    <row r="92" spans="1:12" x14ac:dyDescent="0.35">
      <c r="A92" s="6">
        <v>44806</v>
      </c>
      <c r="B92" s="3">
        <v>0.1875</v>
      </c>
      <c r="C92" t="s">
        <v>23</v>
      </c>
      <c r="D92" t="s">
        <v>35</v>
      </c>
      <c r="E92">
        <v>0.72799999999999998</v>
      </c>
      <c r="F92" t="s">
        <v>6</v>
      </c>
      <c r="G92">
        <v>0.73</v>
      </c>
      <c r="H92">
        <f t="shared" si="4"/>
        <v>2.7472527472527496E-3</v>
      </c>
      <c r="I92">
        <f t="shared" si="5"/>
        <v>8.3720373681289935E-8</v>
      </c>
      <c r="J92">
        <f t="shared" si="6"/>
        <v>8.3720373681289942E-2</v>
      </c>
      <c r="K92">
        <v>1139.51385</v>
      </c>
      <c r="L92">
        <f t="shared" si="7"/>
        <v>9.5400525337005371E-3</v>
      </c>
    </row>
    <row r="93" spans="1:12" x14ac:dyDescent="0.35">
      <c r="A93" s="6">
        <v>44806</v>
      </c>
      <c r="B93" s="3">
        <v>0.20833333333333334</v>
      </c>
      <c r="C93" t="s">
        <v>23</v>
      </c>
      <c r="D93" t="s">
        <v>35</v>
      </c>
      <c r="E93">
        <v>0.72799999999999998</v>
      </c>
      <c r="F93" t="s">
        <v>6</v>
      </c>
      <c r="G93">
        <v>0.73</v>
      </c>
      <c r="H93">
        <f t="shared" si="4"/>
        <v>2.7472527472527496E-3</v>
      </c>
      <c r="I93">
        <f t="shared" si="5"/>
        <v>8.3720373681289935E-8</v>
      </c>
      <c r="J93">
        <f t="shared" si="6"/>
        <v>8.3720373681289942E-2</v>
      </c>
      <c r="K93">
        <v>1139.51385</v>
      </c>
      <c r="L93">
        <f t="shared" si="7"/>
        <v>9.5400525337005371E-3</v>
      </c>
    </row>
    <row r="94" spans="1:12" x14ac:dyDescent="0.35">
      <c r="A94" s="6">
        <v>44806</v>
      </c>
      <c r="B94" s="3">
        <v>0.22916666666666666</v>
      </c>
      <c r="C94" t="s">
        <v>23</v>
      </c>
      <c r="D94" t="s">
        <v>35</v>
      </c>
      <c r="E94">
        <v>0.72699999999999998</v>
      </c>
      <c r="F94" t="s">
        <v>6</v>
      </c>
      <c r="G94">
        <v>0.73</v>
      </c>
      <c r="H94">
        <f t="shared" si="4"/>
        <v>4.1265474552957399E-3</v>
      </c>
      <c r="I94">
        <f t="shared" si="5"/>
        <v>1.3814474407698539E-7</v>
      </c>
      <c r="J94">
        <f t="shared" si="6"/>
        <v>0.1381447440769854</v>
      </c>
      <c r="K94">
        <v>1139.51385</v>
      </c>
      <c r="L94">
        <f t="shared" si="7"/>
        <v>1.5741784918043032E-2</v>
      </c>
    </row>
    <row r="95" spans="1:12" x14ac:dyDescent="0.35">
      <c r="A95" s="6">
        <v>44806</v>
      </c>
      <c r="B95" s="3">
        <v>0.33333333333333331</v>
      </c>
      <c r="C95" t="s">
        <v>23</v>
      </c>
      <c r="D95" t="s">
        <v>35</v>
      </c>
      <c r="E95">
        <v>0.73</v>
      </c>
      <c r="F95" t="s">
        <v>6</v>
      </c>
      <c r="G95">
        <v>0.73</v>
      </c>
      <c r="H95">
        <f t="shared" si="4"/>
        <v>0</v>
      </c>
      <c r="I95">
        <f t="shared" si="5"/>
        <v>0</v>
      </c>
      <c r="J95">
        <f t="shared" si="6"/>
        <v>0</v>
      </c>
      <c r="K95">
        <v>1139.51385</v>
      </c>
      <c r="L95">
        <f t="shared" si="7"/>
        <v>0</v>
      </c>
    </row>
    <row r="96" spans="1:12" x14ac:dyDescent="0.35">
      <c r="A96" s="6">
        <v>44806</v>
      </c>
      <c r="B96" s="3">
        <v>0.35416666666666669</v>
      </c>
      <c r="C96" t="s">
        <v>23</v>
      </c>
      <c r="D96" t="s">
        <v>35</v>
      </c>
      <c r="E96">
        <v>0.71</v>
      </c>
      <c r="F96" t="s">
        <v>6</v>
      </c>
      <c r="G96">
        <v>0.73</v>
      </c>
      <c r="H96">
        <f t="shared" si="4"/>
        <v>2.8169014084507067E-2</v>
      </c>
      <c r="I96">
        <f t="shared" si="5"/>
        <v>1.4696565642645615E-6</v>
      </c>
      <c r="J96">
        <f t="shared" si="6"/>
        <v>1.4696565642645616</v>
      </c>
      <c r="K96">
        <v>1139.51385</v>
      </c>
      <c r="L96">
        <f t="shared" si="7"/>
        <v>0.1674694009722883</v>
      </c>
    </row>
    <row r="97" spans="1:12" x14ac:dyDescent="0.35">
      <c r="A97" s="6">
        <v>44806</v>
      </c>
      <c r="B97" s="3">
        <v>0.375</v>
      </c>
      <c r="C97" t="s">
        <v>23</v>
      </c>
      <c r="D97" t="s">
        <v>35</v>
      </c>
      <c r="E97">
        <v>0.65600000000000003</v>
      </c>
      <c r="F97" t="s">
        <v>6</v>
      </c>
      <c r="G97">
        <v>0.73</v>
      </c>
      <c r="H97">
        <f t="shared" si="4"/>
        <v>0.11280487804878041</v>
      </c>
      <c r="I97">
        <f t="shared" si="5"/>
        <v>8.1089119018152686E-6</v>
      </c>
      <c r="J97">
        <f t="shared" si="6"/>
        <v>8.1089119018152687</v>
      </c>
      <c r="K97">
        <v>1139.51385</v>
      </c>
      <c r="L97">
        <f t="shared" si="7"/>
        <v>0.92402174205483389</v>
      </c>
    </row>
    <row r="98" spans="1:12" x14ac:dyDescent="0.35">
      <c r="A98" s="6">
        <v>44806</v>
      </c>
      <c r="B98" s="3">
        <v>0.39583333333333331</v>
      </c>
      <c r="C98" t="s">
        <v>23</v>
      </c>
      <c r="D98" t="s">
        <v>35</v>
      </c>
      <c r="E98">
        <v>0.59799999999999998</v>
      </c>
      <c r="F98" t="s">
        <v>6</v>
      </c>
      <c r="G98">
        <v>0.73</v>
      </c>
      <c r="H98">
        <f t="shared" si="4"/>
        <v>0.22073578595317728</v>
      </c>
      <c r="I98">
        <f t="shared" si="5"/>
        <v>1.8529099489913918E-5</v>
      </c>
      <c r="J98">
        <f t="shared" si="6"/>
        <v>18.529099489913918</v>
      </c>
      <c r="K98">
        <v>1139.51385</v>
      </c>
      <c r="L98">
        <f t="shared" si="7"/>
        <v>2.1114165496784847</v>
      </c>
    </row>
    <row r="99" spans="1:12" x14ac:dyDescent="0.35">
      <c r="A99" s="6">
        <v>44806</v>
      </c>
      <c r="B99" s="3">
        <v>0.41666666666666669</v>
      </c>
      <c r="C99" t="s">
        <v>23</v>
      </c>
      <c r="D99" t="s">
        <v>35</v>
      </c>
      <c r="E99">
        <v>0.57299999999999995</v>
      </c>
      <c r="F99" t="s">
        <v>6</v>
      </c>
      <c r="G99">
        <v>0.73</v>
      </c>
      <c r="H99">
        <f t="shared" si="4"/>
        <v>0.27399650959860389</v>
      </c>
      <c r="I99">
        <f t="shared" si="5"/>
        <v>2.4177483404822857E-5</v>
      </c>
      <c r="J99">
        <f t="shared" si="6"/>
        <v>24.177483404822855</v>
      </c>
      <c r="K99">
        <v>1139.51385</v>
      </c>
      <c r="L99">
        <f t="shared" si="7"/>
        <v>2.7550577197940802</v>
      </c>
    </row>
    <row r="100" spans="1:12" x14ac:dyDescent="0.35">
      <c r="A100" s="6">
        <v>44806</v>
      </c>
      <c r="B100" s="3">
        <v>0.4375</v>
      </c>
      <c r="C100" t="s">
        <v>23</v>
      </c>
      <c r="D100" t="s">
        <v>35</v>
      </c>
      <c r="E100">
        <v>0.57699999999999996</v>
      </c>
      <c r="F100" t="s">
        <v>6</v>
      </c>
      <c r="G100">
        <v>0.73</v>
      </c>
      <c r="H100">
        <f t="shared" si="4"/>
        <v>0.26516464471403817</v>
      </c>
      <c r="I100">
        <f t="shared" si="5"/>
        <v>2.3221736177966677E-5</v>
      </c>
      <c r="J100">
        <f t="shared" si="6"/>
        <v>23.221736177966676</v>
      </c>
      <c r="K100">
        <v>1139.51385</v>
      </c>
      <c r="L100">
        <f t="shared" si="7"/>
        <v>2.6461489995839091</v>
      </c>
    </row>
    <row r="101" spans="1:12" x14ac:dyDescent="0.35">
      <c r="A101" s="6">
        <v>44806</v>
      </c>
      <c r="B101" s="3">
        <v>0.45833333333333331</v>
      </c>
      <c r="C101" t="s">
        <v>23</v>
      </c>
      <c r="D101" t="s">
        <v>35</v>
      </c>
      <c r="E101">
        <v>0.58399999999999996</v>
      </c>
      <c r="F101" t="s">
        <v>6</v>
      </c>
      <c r="G101">
        <v>0.73</v>
      </c>
      <c r="H101">
        <f t="shared" si="4"/>
        <v>0.25000000000000006</v>
      </c>
      <c r="I101">
        <f t="shared" si="5"/>
        <v>2.1597879413570434E-5</v>
      </c>
      <c r="J101">
        <f t="shared" si="6"/>
        <v>21.597879413570436</v>
      </c>
      <c r="K101">
        <v>1139.51385</v>
      </c>
      <c r="L101">
        <f t="shared" si="7"/>
        <v>2.4611082722393389</v>
      </c>
    </row>
    <row r="102" spans="1:12" x14ac:dyDescent="0.35">
      <c r="A102" s="6">
        <v>44806</v>
      </c>
      <c r="B102" s="3">
        <v>0.47916666666666669</v>
      </c>
      <c r="C102" t="s">
        <v>23</v>
      </c>
      <c r="D102" t="s">
        <v>35</v>
      </c>
      <c r="E102">
        <v>0.58599999999999997</v>
      </c>
      <c r="F102" t="s">
        <v>6</v>
      </c>
      <c r="G102">
        <v>0.73</v>
      </c>
      <c r="H102">
        <f t="shared" si="4"/>
        <v>0.24573378839590448</v>
      </c>
      <c r="I102">
        <f t="shared" si="5"/>
        <v>2.1145074705328829E-5</v>
      </c>
      <c r="J102">
        <f t="shared" si="6"/>
        <v>21.145074705328827</v>
      </c>
      <c r="K102">
        <v>1139.51385</v>
      </c>
      <c r="L102">
        <f t="shared" si="7"/>
        <v>2.4095105486006867</v>
      </c>
    </row>
    <row r="103" spans="1:12" x14ac:dyDescent="0.35">
      <c r="A103" s="6">
        <v>44806</v>
      </c>
      <c r="B103" s="3">
        <v>0.5625</v>
      </c>
      <c r="C103" t="s">
        <v>23</v>
      </c>
      <c r="D103" t="s">
        <v>35</v>
      </c>
      <c r="E103">
        <v>0.58099999999999996</v>
      </c>
      <c r="F103" t="s">
        <v>6</v>
      </c>
      <c r="G103">
        <v>0.73</v>
      </c>
      <c r="H103">
        <f t="shared" si="4"/>
        <v>0.25645438898450951</v>
      </c>
      <c r="I103">
        <f t="shared" si="5"/>
        <v>2.228632393874279E-5</v>
      </c>
      <c r="J103">
        <f t="shared" si="6"/>
        <v>22.28632393874279</v>
      </c>
      <c r="K103">
        <v>1139.51385</v>
      </c>
      <c r="L103">
        <f t="shared" si="7"/>
        <v>2.5395574793783959</v>
      </c>
    </row>
    <row r="104" spans="1:12" x14ac:dyDescent="0.35">
      <c r="A104" s="6">
        <v>44806</v>
      </c>
      <c r="B104" s="3">
        <v>0.58333333333333337</v>
      </c>
      <c r="C104" t="s">
        <v>23</v>
      </c>
      <c r="D104" t="s">
        <v>35</v>
      </c>
      <c r="E104">
        <v>0.58699999999999997</v>
      </c>
      <c r="F104" t="s">
        <v>6</v>
      </c>
      <c r="G104">
        <v>0.73</v>
      </c>
      <c r="H104">
        <f t="shared" si="4"/>
        <v>0.24361158432708693</v>
      </c>
      <c r="I104">
        <f t="shared" si="5"/>
        <v>2.0920502934484575E-5</v>
      </c>
      <c r="J104">
        <f t="shared" si="6"/>
        <v>20.920502934484574</v>
      </c>
      <c r="K104">
        <v>1139.51385</v>
      </c>
      <c r="L104">
        <f t="shared" si="7"/>
        <v>2.3839202842810816</v>
      </c>
    </row>
    <row r="105" spans="1:12" x14ac:dyDescent="0.35">
      <c r="A105" s="6">
        <v>44806</v>
      </c>
      <c r="B105" s="3">
        <v>0.60416666666666663</v>
      </c>
      <c r="C105" t="s">
        <v>23</v>
      </c>
      <c r="D105" t="s">
        <v>35</v>
      </c>
      <c r="E105">
        <v>0.59099999999999997</v>
      </c>
      <c r="F105" t="s">
        <v>6</v>
      </c>
      <c r="G105">
        <v>0.73</v>
      </c>
      <c r="H105">
        <f t="shared" si="4"/>
        <v>0.23519458544839258</v>
      </c>
      <c r="I105">
        <f t="shared" si="5"/>
        <v>2.0034291640645442E-5</v>
      </c>
      <c r="J105">
        <f t="shared" si="6"/>
        <v>20.034291640645442</v>
      </c>
      <c r="K105">
        <v>1139.51385</v>
      </c>
      <c r="L105">
        <f t="shared" si="7"/>
        <v>2.2829352799454705</v>
      </c>
    </row>
    <row r="106" spans="1:12" x14ac:dyDescent="0.35">
      <c r="A106" s="6">
        <v>44806</v>
      </c>
      <c r="B106" s="3">
        <v>0.625</v>
      </c>
      <c r="C106" t="s">
        <v>23</v>
      </c>
      <c r="D106" t="s">
        <v>35</v>
      </c>
      <c r="E106">
        <v>0.60399999999999998</v>
      </c>
      <c r="F106" t="s">
        <v>6</v>
      </c>
      <c r="G106">
        <v>0.73</v>
      </c>
      <c r="H106">
        <f t="shared" si="4"/>
        <v>0.20860927152317882</v>
      </c>
      <c r="I106">
        <f t="shared" si="5"/>
        <v>1.7284094454576067E-5</v>
      </c>
      <c r="J106">
        <f t="shared" si="6"/>
        <v>17.284094454576067</v>
      </c>
      <c r="K106">
        <v>1139.51385</v>
      </c>
      <c r="L106">
        <f t="shared" si="7"/>
        <v>1.9695465015697624</v>
      </c>
    </row>
    <row r="107" spans="1:12" x14ac:dyDescent="0.35">
      <c r="A107" s="6">
        <v>44806</v>
      </c>
      <c r="B107" s="3">
        <v>0.64583333333333337</v>
      </c>
      <c r="C107" t="s">
        <v>23</v>
      </c>
      <c r="D107" t="s">
        <v>35</v>
      </c>
      <c r="E107">
        <v>0.622</v>
      </c>
      <c r="F107" t="s">
        <v>6</v>
      </c>
      <c r="G107">
        <v>0.73</v>
      </c>
      <c r="H107">
        <f t="shared" si="4"/>
        <v>0.17363344051446944</v>
      </c>
      <c r="I107">
        <f t="shared" si="5"/>
        <v>1.3789091099810207E-5</v>
      </c>
      <c r="J107">
        <f t="shared" si="6"/>
        <v>13.789091099810207</v>
      </c>
      <c r="K107">
        <v>1139.51385</v>
      </c>
      <c r="L107">
        <f t="shared" si="7"/>
        <v>1.5712860287145465</v>
      </c>
    </row>
    <row r="108" spans="1:12" x14ac:dyDescent="0.35">
      <c r="A108" s="6">
        <v>44806</v>
      </c>
      <c r="B108" s="3">
        <v>0.66666666666666663</v>
      </c>
      <c r="C108" t="s">
        <v>23</v>
      </c>
      <c r="D108" t="s">
        <v>35</v>
      </c>
      <c r="E108">
        <v>0.64200000000000002</v>
      </c>
      <c r="F108" t="s">
        <v>6</v>
      </c>
      <c r="G108">
        <v>0.73</v>
      </c>
      <c r="H108">
        <f t="shared" si="4"/>
        <v>0.13707165109034261</v>
      </c>
      <c r="I108">
        <f t="shared" si="5"/>
        <v>1.0306934384168911E-5</v>
      </c>
      <c r="J108">
        <f t="shared" si="6"/>
        <v>10.30693438416891</v>
      </c>
      <c r="K108">
        <v>1139.51385</v>
      </c>
      <c r="L108">
        <f t="shared" si="7"/>
        <v>1.1744894481801693</v>
      </c>
    </row>
    <row r="109" spans="1:12" x14ac:dyDescent="0.35">
      <c r="A109" s="6">
        <v>44806</v>
      </c>
      <c r="B109" s="3">
        <v>0</v>
      </c>
      <c r="C109" t="s">
        <v>20</v>
      </c>
      <c r="D109" t="s">
        <v>16</v>
      </c>
      <c r="E109">
        <v>0.6</v>
      </c>
      <c r="F109" t="s">
        <v>6</v>
      </c>
      <c r="G109">
        <f>MAX(E109:E135)</f>
        <v>0.82399999999999995</v>
      </c>
      <c r="H109">
        <f t="shared" si="4"/>
        <v>0.37333333333333329</v>
      </c>
      <c r="I109">
        <f t="shared" si="5"/>
        <v>3.5383279476149718E-5</v>
      </c>
      <c r="J109">
        <f t="shared" si="6"/>
        <v>35.383279476149717</v>
      </c>
      <c r="K109">
        <v>2448.5896625000005</v>
      </c>
      <c r="L109">
        <f t="shared" si="7"/>
        <v>8.6639132350648627</v>
      </c>
    </row>
    <row r="110" spans="1:12" x14ac:dyDescent="0.35">
      <c r="A110" s="6">
        <v>44806</v>
      </c>
      <c r="B110" s="3">
        <v>2.0833333333333332E-2</v>
      </c>
      <c r="C110" t="s">
        <v>20</v>
      </c>
      <c r="D110" t="s">
        <v>16</v>
      </c>
      <c r="E110">
        <v>0.60099999999999998</v>
      </c>
      <c r="F110" t="s">
        <v>6</v>
      </c>
      <c r="G110">
        <v>0.82399999999999995</v>
      </c>
      <c r="H110">
        <f t="shared" si="4"/>
        <v>0.37104825291181359</v>
      </c>
      <c r="I110">
        <f t="shared" si="5"/>
        <v>3.5116867807924405E-5</v>
      </c>
      <c r="J110">
        <f t="shared" si="6"/>
        <v>35.116867807924407</v>
      </c>
      <c r="K110">
        <v>2448.5896625000005</v>
      </c>
      <c r="L110">
        <f t="shared" si="7"/>
        <v>8.5986799493862769</v>
      </c>
    </row>
    <row r="111" spans="1:12" x14ac:dyDescent="0.35">
      <c r="A111" s="6">
        <v>44806</v>
      </c>
      <c r="B111" s="3">
        <v>4.1666666666666664E-2</v>
      </c>
      <c r="C111" t="s">
        <v>20</v>
      </c>
      <c r="D111" t="s">
        <v>16</v>
      </c>
      <c r="E111">
        <v>0.60399999999999998</v>
      </c>
      <c r="F111" t="s">
        <v>6</v>
      </c>
      <c r="G111">
        <v>0.82399999999999995</v>
      </c>
      <c r="H111">
        <f t="shared" si="4"/>
        <v>0.36423841059602646</v>
      </c>
      <c r="I111">
        <f t="shared" si="5"/>
        <v>3.4325178949031104E-5</v>
      </c>
      <c r="J111">
        <f t="shared" si="6"/>
        <v>34.325178949031105</v>
      </c>
      <c r="K111">
        <v>2448.5896625000005</v>
      </c>
      <c r="L111">
        <f t="shared" si="7"/>
        <v>8.4048278338060207</v>
      </c>
    </row>
    <row r="112" spans="1:12" x14ac:dyDescent="0.35">
      <c r="A112" s="6">
        <v>44806</v>
      </c>
      <c r="B112" s="3">
        <v>6.25E-2</v>
      </c>
      <c r="C112" t="s">
        <v>20</v>
      </c>
      <c r="D112" t="s">
        <v>16</v>
      </c>
      <c r="E112">
        <v>0.60699999999999998</v>
      </c>
      <c r="F112" t="s">
        <v>6</v>
      </c>
      <c r="G112">
        <v>0.82399999999999995</v>
      </c>
      <c r="H112">
        <f t="shared" si="4"/>
        <v>0.35749588138385496</v>
      </c>
      <c r="I112">
        <f t="shared" si="5"/>
        <v>3.3544677047427416E-5</v>
      </c>
      <c r="J112">
        <f t="shared" si="6"/>
        <v>33.544677047427413</v>
      </c>
      <c r="K112">
        <v>2448.5896625000005</v>
      </c>
      <c r="L112">
        <f t="shared" si="7"/>
        <v>8.213714945023181</v>
      </c>
    </row>
    <row r="113" spans="1:12" x14ac:dyDescent="0.35">
      <c r="A113" s="6">
        <v>44806</v>
      </c>
      <c r="B113" s="3">
        <v>8.3333333333333329E-2</v>
      </c>
      <c r="C113" t="s">
        <v>20</v>
      </c>
      <c r="D113" t="s">
        <v>16</v>
      </c>
      <c r="E113">
        <v>0.60899999999999999</v>
      </c>
      <c r="F113" t="s">
        <v>6</v>
      </c>
      <c r="G113">
        <v>0.82399999999999995</v>
      </c>
      <c r="H113">
        <f t="shared" si="4"/>
        <v>0.35303776683087024</v>
      </c>
      <c r="I113">
        <f t="shared" si="5"/>
        <v>3.3030474934620291E-5</v>
      </c>
      <c r="J113">
        <f t="shared" si="6"/>
        <v>33.030474934620294</v>
      </c>
      <c r="K113">
        <v>2448.5896625000005</v>
      </c>
      <c r="L113">
        <f t="shared" si="7"/>
        <v>8.0878079472376641</v>
      </c>
    </row>
    <row r="114" spans="1:12" x14ac:dyDescent="0.35">
      <c r="A114" s="6">
        <v>44806</v>
      </c>
      <c r="B114" s="3">
        <v>0.10416666666666667</v>
      </c>
      <c r="C114" t="s">
        <v>20</v>
      </c>
      <c r="D114" t="s">
        <v>16</v>
      </c>
      <c r="E114">
        <v>0.61199999999999999</v>
      </c>
      <c r="F114" t="s">
        <v>6</v>
      </c>
      <c r="G114">
        <v>0.82399999999999995</v>
      </c>
      <c r="H114">
        <f t="shared" si="4"/>
        <v>0.34640522875816987</v>
      </c>
      <c r="I114">
        <f t="shared" si="5"/>
        <v>3.2268249445039436E-5</v>
      </c>
      <c r="J114">
        <f t="shared" si="6"/>
        <v>32.268249445039437</v>
      </c>
      <c r="K114">
        <v>2448.5896625000005</v>
      </c>
      <c r="L114">
        <f t="shared" si="7"/>
        <v>7.9011702018094949</v>
      </c>
    </row>
    <row r="115" spans="1:12" x14ac:dyDescent="0.35">
      <c r="A115" s="6">
        <v>44806</v>
      </c>
      <c r="B115" s="3">
        <v>0.125</v>
      </c>
      <c r="C115" t="s">
        <v>20</v>
      </c>
      <c r="D115" t="s">
        <v>16</v>
      </c>
      <c r="E115">
        <v>0.61199999999999999</v>
      </c>
      <c r="F115" t="s">
        <v>6</v>
      </c>
      <c r="G115">
        <v>0.82399999999999995</v>
      </c>
      <c r="H115">
        <f t="shared" si="4"/>
        <v>0.34640522875816987</v>
      </c>
      <c r="I115">
        <f t="shared" si="5"/>
        <v>3.2268249445039436E-5</v>
      </c>
      <c r="J115">
        <f t="shared" si="6"/>
        <v>32.268249445039437</v>
      </c>
      <c r="K115">
        <v>2448.5896625000005</v>
      </c>
      <c r="L115">
        <f t="shared" si="7"/>
        <v>7.9011702018094949</v>
      </c>
    </row>
    <row r="116" spans="1:12" x14ac:dyDescent="0.35">
      <c r="A116" s="6">
        <v>44806</v>
      </c>
      <c r="B116" s="3">
        <v>0.14583333333333334</v>
      </c>
      <c r="C116" t="s">
        <v>20</v>
      </c>
      <c r="D116" t="s">
        <v>16</v>
      </c>
      <c r="E116">
        <v>0.61399999999999999</v>
      </c>
      <c r="F116" t="s">
        <v>6</v>
      </c>
      <c r="G116">
        <v>0.82399999999999995</v>
      </c>
      <c r="H116">
        <f t="shared" si="4"/>
        <v>0.3420195439739413</v>
      </c>
      <c r="I116">
        <f t="shared" si="5"/>
        <v>3.1766081685187159E-5</v>
      </c>
      <c r="J116">
        <f t="shared" si="6"/>
        <v>31.76608168518716</v>
      </c>
      <c r="K116">
        <v>2448.5896625000005</v>
      </c>
      <c r="L116">
        <f t="shared" si="7"/>
        <v>7.7782099232479878</v>
      </c>
    </row>
    <row r="117" spans="1:12" x14ac:dyDescent="0.35">
      <c r="A117" s="6">
        <v>44806</v>
      </c>
      <c r="B117" s="3">
        <v>0.16666666666666666</v>
      </c>
      <c r="C117" t="s">
        <v>20</v>
      </c>
      <c r="D117" t="s">
        <v>16</v>
      </c>
      <c r="E117">
        <v>0.61499999999999999</v>
      </c>
      <c r="F117" t="s">
        <v>6</v>
      </c>
      <c r="G117">
        <v>0.82399999999999995</v>
      </c>
      <c r="H117">
        <f t="shared" si="4"/>
        <v>0.33983739837398369</v>
      </c>
      <c r="I117">
        <f t="shared" si="5"/>
        <v>3.15167750581546E-5</v>
      </c>
      <c r="J117">
        <f t="shared" si="6"/>
        <v>31.5167750581546</v>
      </c>
      <c r="K117">
        <v>2448.5896625000005</v>
      </c>
      <c r="L117">
        <f t="shared" si="7"/>
        <v>7.7171649602735206</v>
      </c>
    </row>
    <row r="118" spans="1:12" x14ac:dyDescent="0.35">
      <c r="A118" s="6">
        <v>44806</v>
      </c>
      <c r="B118" s="3">
        <v>0.1875</v>
      </c>
      <c r="C118" t="s">
        <v>20</v>
      </c>
      <c r="D118" t="s">
        <v>16</v>
      </c>
      <c r="E118">
        <v>0.61599999999999999</v>
      </c>
      <c r="F118" t="s">
        <v>6</v>
      </c>
      <c r="G118">
        <v>0.82399999999999995</v>
      </c>
      <c r="H118">
        <f t="shared" si="4"/>
        <v>0.33766233766233761</v>
      </c>
      <c r="I118">
        <f t="shared" si="5"/>
        <v>3.1268645589431394E-5</v>
      </c>
      <c r="J118">
        <f t="shared" si="6"/>
        <v>31.268645589431394</v>
      </c>
      <c r="K118">
        <v>2448.5896625000005</v>
      </c>
      <c r="L118">
        <f t="shared" si="7"/>
        <v>7.6564082350657952</v>
      </c>
    </row>
    <row r="119" spans="1:12" x14ac:dyDescent="0.35">
      <c r="A119" s="6">
        <v>44806</v>
      </c>
      <c r="B119" s="3">
        <v>0.20833333333333334</v>
      </c>
      <c r="C119" t="s">
        <v>20</v>
      </c>
      <c r="D119" t="s">
        <v>16</v>
      </c>
      <c r="E119">
        <v>0.61599999999999999</v>
      </c>
      <c r="F119" t="s">
        <v>6</v>
      </c>
      <c r="G119">
        <v>0.82399999999999995</v>
      </c>
      <c r="H119">
        <f t="shared" si="4"/>
        <v>0.33766233766233761</v>
      </c>
      <c r="I119">
        <f t="shared" si="5"/>
        <v>3.1268645589431394E-5</v>
      </c>
      <c r="J119">
        <f t="shared" si="6"/>
        <v>31.268645589431394</v>
      </c>
      <c r="K119">
        <v>2448.5896625000005</v>
      </c>
      <c r="L119">
        <f t="shared" si="7"/>
        <v>7.6564082350657952</v>
      </c>
    </row>
    <row r="120" spans="1:12" x14ac:dyDescent="0.35">
      <c r="A120" s="6">
        <v>44806</v>
      </c>
      <c r="B120" s="3">
        <v>0.22916666666666666</v>
      </c>
      <c r="C120" t="s">
        <v>20</v>
      </c>
      <c r="D120" t="s">
        <v>16</v>
      </c>
      <c r="E120">
        <v>0.61499999999999999</v>
      </c>
      <c r="F120" t="s">
        <v>6</v>
      </c>
      <c r="G120">
        <v>0.82399999999999995</v>
      </c>
      <c r="H120">
        <f t="shared" si="4"/>
        <v>0.33983739837398369</v>
      </c>
      <c r="I120">
        <f t="shared" si="5"/>
        <v>3.15167750581546E-5</v>
      </c>
      <c r="J120">
        <f t="shared" si="6"/>
        <v>31.5167750581546</v>
      </c>
      <c r="K120">
        <v>2448.5896625000005</v>
      </c>
      <c r="L120">
        <f t="shared" si="7"/>
        <v>7.7171649602735206</v>
      </c>
    </row>
    <row r="121" spans="1:12" x14ac:dyDescent="0.35">
      <c r="A121" s="6">
        <v>44806</v>
      </c>
      <c r="B121" s="3">
        <v>0.33333333333333331</v>
      </c>
      <c r="C121" t="s">
        <v>20</v>
      </c>
      <c r="D121" t="s">
        <v>16</v>
      </c>
      <c r="E121">
        <v>0.57599999999999996</v>
      </c>
      <c r="F121" t="s">
        <v>6</v>
      </c>
      <c r="G121">
        <v>0.82399999999999995</v>
      </c>
      <c r="H121">
        <f t="shared" si="4"/>
        <v>0.43055555555555558</v>
      </c>
      <c r="I121">
        <f t="shared" si="5"/>
        <v>4.2173233785601918E-5</v>
      </c>
      <c r="J121">
        <f t="shared" si="6"/>
        <v>42.173233785601916</v>
      </c>
      <c r="K121">
        <v>2448.5896625000005</v>
      </c>
      <c r="L121">
        <f t="shared" si="7"/>
        <v>10.326494428162063</v>
      </c>
    </row>
    <row r="122" spans="1:12" x14ac:dyDescent="0.35">
      <c r="A122" s="6">
        <v>44806</v>
      </c>
      <c r="B122" s="3">
        <v>0.35416666666666669</v>
      </c>
      <c r="C122" t="s">
        <v>20</v>
      </c>
      <c r="D122" t="s">
        <v>16</v>
      </c>
      <c r="E122">
        <v>0.499</v>
      </c>
      <c r="F122" t="s">
        <v>6</v>
      </c>
      <c r="G122">
        <v>0.82399999999999995</v>
      </c>
      <c r="H122">
        <f t="shared" si="4"/>
        <v>0.65130260521042072</v>
      </c>
      <c r="I122">
        <f t="shared" si="5"/>
        <v>7.019620071437412E-5</v>
      </c>
      <c r="J122">
        <f t="shared" si="6"/>
        <v>70.196200714374115</v>
      </c>
      <c r="K122">
        <v>2448.5896625000005</v>
      </c>
      <c r="L122">
        <f t="shared" si="7"/>
        <v>17.188169141599161</v>
      </c>
    </row>
    <row r="123" spans="1:12" x14ac:dyDescent="0.35">
      <c r="A123" s="6">
        <v>44806</v>
      </c>
      <c r="B123" s="3">
        <v>0.375</v>
      </c>
      <c r="C123" t="s">
        <v>20</v>
      </c>
      <c r="D123" t="s">
        <v>16</v>
      </c>
      <c r="E123">
        <v>0.433</v>
      </c>
      <c r="F123" t="s">
        <v>6</v>
      </c>
      <c r="G123">
        <v>0.82399999999999995</v>
      </c>
      <c r="H123">
        <f t="shared" si="4"/>
        <v>0.9030023094688221</v>
      </c>
      <c r="I123">
        <f t="shared" si="5"/>
        <v>1.0495423062142663E-4</v>
      </c>
      <c r="J123">
        <f t="shared" si="6"/>
        <v>104.95423062142663</v>
      </c>
      <c r="K123">
        <v>2448.5896625000005</v>
      </c>
      <c r="L123">
        <f t="shared" si="7"/>
        <v>25.698984413526627</v>
      </c>
    </row>
    <row r="124" spans="1:12" x14ac:dyDescent="0.35">
      <c r="A124" s="6">
        <v>44806</v>
      </c>
      <c r="B124" s="3">
        <v>0.39583333333333331</v>
      </c>
      <c r="C124" t="s">
        <v>20</v>
      </c>
      <c r="D124" t="s">
        <v>16</v>
      </c>
      <c r="E124">
        <v>0.42699999999999999</v>
      </c>
      <c r="F124" t="s">
        <v>6</v>
      </c>
      <c r="G124">
        <v>0.82399999999999995</v>
      </c>
      <c r="H124">
        <f t="shared" si="4"/>
        <v>0.92974238875878212</v>
      </c>
      <c r="I124">
        <f t="shared" si="5"/>
        <v>1.0879310229117247E-4</v>
      </c>
      <c r="J124">
        <f t="shared" si="6"/>
        <v>108.79310229117247</v>
      </c>
      <c r="K124">
        <v>2448.5896625000005</v>
      </c>
      <c r="L124">
        <f t="shared" si="7"/>
        <v>26.638966562147004</v>
      </c>
    </row>
    <row r="125" spans="1:12" x14ac:dyDescent="0.35">
      <c r="A125" s="6">
        <v>44806</v>
      </c>
      <c r="B125" s="3">
        <v>0.41666666666666669</v>
      </c>
      <c r="C125" t="s">
        <v>20</v>
      </c>
      <c r="D125" t="s">
        <v>16</v>
      </c>
      <c r="E125">
        <v>0.41899999999999998</v>
      </c>
      <c r="F125" t="s">
        <v>6</v>
      </c>
      <c r="G125">
        <v>0.82399999999999995</v>
      </c>
      <c r="H125">
        <f t="shared" si="4"/>
        <v>0.96658711217183768</v>
      </c>
      <c r="I125">
        <f t="shared" si="5"/>
        <v>1.1412443295769627E-4</v>
      </c>
      <c r="J125">
        <f t="shared" si="6"/>
        <v>114.12443295769627</v>
      </c>
      <c r="K125">
        <v>2448.5896625000005</v>
      </c>
      <c r="L125">
        <f t="shared" si="7"/>
        <v>27.944390677888947</v>
      </c>
    </row>
    <row r="126" spans="1:12" x14ac:dyDescent="0.35">
      <c r="A126" s="6">
        <v>44806</v>
      </c>
      <c r="B126" s="3">
        <v>0.4375</v>
      </c>
      <c r="C126" t="s">
        <v>20</v>
      </c>
      <c r="D126" t="s">
        <v>16</v>
      </c>
      <c r="E126">
        <v>0.40699999999999997</v>
      </c>
      <c r="F126" t="s">
        <v>6</v>
      </c>
      <c r="G126">
        <v>0.82399999999999995</v>
      </c>
      <c r="H126">
        <f t="shared" si="4"/>
        <v>1.0245700245700247</v>
      </c>
      <c r="I126">
        <f t="shared" si="5"/>
        <v>1.2260938874429324E-4</v>
      </c>
      <c r="J126">
        <f t="shared" si="6"/>
        <v>122.60938874429324</v>
      </c>
      <c r="K126">
        <v>2448.5896625000005</v>
      </c>
      <c r="L126">
        <f t="shared" si="7"/>
        <v>30.022008180472035</v>
      </c>
    </row>
    <row r="127" spans="1:12" x14ac:dyDescent="0.35">
      <c r="A127" s="6">
        <v>44806</v>
      </c>
      <c r="B127" s="3">
        <v>0.45833333333333331</v>
      </c>
      <c r="C127" t="s">
        <v>20</v>
      </c>
      <c r="D127" t="s">
        <v>16</v>
      </c>
      <c r="E127">
        <v>0.41599999999999998</v>
      </c>
      <c r="F127" t="s">
        <v>6</v>
      </c>
      <c r="G127">
        <v>0.82399999999999995</v>
      </c>
      <c r="H127">
        <f t="shared" si="4"/>
        <v>0.98076923076923073</v>
      </c>
      <c r="I127">
        <f t="shared" si="5"/>
        <v>1.1618919216007478E-4</v>
      </c>
      <c r="J127">
        <f t="shared" si="6"/>
        <v>116.18919216007478</v>
      </c>
      <c r="K127">
        <v>2448.5896625000005</v>
      </c>
      <c r="L127">
        <f t="shared" si="7"/>
        <v>28.449965481738523</v>
      </c>
    </row>
    <row r="128" spans="1:12" x14ac:dyDescent="0.35">
      <c r="A128" s="6">
        <v>44806</v>
      </c>
      <c r="B128" s="3">
        <v>0.47916666666666669</v>
      </c>
      <c r="C128" t="s">
        <v>20</v>
      </c>
      <c r="D128" t="s">
        <v>16</v>
      </c>
      <c r="E128">
        <v>0.43</v>
      </c>
      <c r="F128" t="s">
        <v>6</v>
      </c>
      <c r="G128">
        <v>0.82399999999999995</v>
      </c>
      <c r="H128">
        <f t="shared" si="4"/>
        <v>0.91627906976744178</v>
      </c>
      <c r="I128">
        <f t="shared" si="5"/>
        <v>1.0685704044997334E-4</v>
      </c>
      <c r="J128">
        <f t="shared" si="6"/>
        <v>106.85704044997334</v>
      </c>
      <c r="K128">
        <v>2448.5896625000005</v>
      </c>
      <c r="L128">
        <f t="shared" si="7"/>
        <v>26.164904461114912</v>
      </c>
    </row>
    <row r="129" spans="1:12" x14ac:dyDescent="0.35">
      <c r="A129" s="6">
        <v>44806</v>
      </c>
      <c r="B129" s="3">
        <v>0.5625</v>
      </c>
      <c r="C129" t="s">
        <v>20</v>
      </c>
      <c r="D129" t="s">
        <v>16</v>
      </c>
      <c r="E129">
        <v>0.44800000000000001</v>
      </c>
      <c r="F129" t="s">
        <v>6</v>
      </c>
      <c r="G129">
        <v>0.82399999999999995</v>
      </c>
      <c r="H129">
        <f t="shared" si="4"/>
        <v>0.83928571428571419</v>
      </c>
      <c r="I129">
        <f t="shared" si="5"/>
        <v>9.5913549482029608E-5</v>
      </c>
      <c r="J129">
        <f t="shared" si="6"/>
        <v>95.913549482029609</v>
      </c>
      <c r="K129">
        <v>2448.5896625000005</v>
      </c>
      <c r="L129">
        <f t="shared" si="7"/>
        <v>23.485292575537997</v>
      </c>
    </row>
    <row r="130" spans="1:12" x14ac:dyDescent="0.35">
      <c r="A130" s="6">
        <v>44806</v>
      </c>
      <c r="B130" s="3">
        <v>0.58333333333333337</v>
      </c>
      <c r="C130" t="s">
        <v>20</v>
      </c>
      <c r="D130" t="s">
        <v>16</v>
      </c>
      <c r="E130">
        <v>0.45200000000000001</v>
      </c>
      <c r="F130" t="s">
        <v>6</v>
      </c>
      <c r="G130">
        <v>0.82399999999999995</v>
      </c>
      <c r="H130">
        <f t="shared" ref="H130:H193" si="8">(G130-E130)/E130</f>
        <v>0.82300884955752196</v>
      </c>
      <c r="I130">
        <f t="shared" ref="I130:I193" si="9">119*10^-6*(H130^1.231)</f>
        <v>9.3628896988684832E-5</v>
      </c>
      <c r="J130">
        <f t="shared" ref="J130:J193" si="10">I130*10^6</f>
        <v>93.628896988684829</v>
      </c>
      <c r="K130">
        <v>2448.5896625000005</v>
      </c>
      <c r="L130">
        <f t="shared" si="7"/>
        <v>22.925874927777112</v>
      </c>
    </row>
    <row r="131" spans="1:12" x14ac:dyDescent="0.35">
      <c r="A131" s="6">
        <v>44806</v>
      </c>
      <c r="B131" s="3">
        <v>0.60416666666666663</v>
      </c>
      <c r="C131" t="s">
        <v>20</v>
      </c>
      <c r="D131" t="s">
        <v>16</v>
      </c>
      <c r="E131">
        <v>0.45900000000000002</v>
      </c>
      <c r="F131" t="s">
        <v>6</v>
      </c>
      <c r="G131">
        <v>0.82399999999999995</v>
      </c>
      <c r="H131">
        <f t="shared" si="8"/>
        <v>0.79520697167755972</v>
      </c>
      <c r="I131">
        <f t="shared" si="9"/>
        <v>8.9750744875915451E-5</v>
      </c>
      <c r="J131">
        <f t="shared" si="10"/>
        <v>89.750744875915444</v>
      </c>
      <c r="K131">
        <v>2448.5896625000005</v>
      </c>
      <c r="L131">
        <f t="shared" ref="L131:L194" si="11">J131*(K131/10000)</f>
        <v>21.976274610484147</v>
      </c>
    </row>
    <row r="132" spans="1:12" x14ac:dyDescent="0.35">
      <c r="A132" s="6">
        <v>44806</v>
      </c>
      <c r="B132" s="3">
        <v>0.625</v>
      </c>
      <c r="C132" t="s">
        <v>20</v>
      </c>
      <c r="D132" t="s">
        <v>16</v>
      </c>
      <c r="E132">
        <v>0.47599999999999998</v>
      </c>
      <c r="F132" t="s">
        <v>6</v>
      </c>
      <c r="G132">
        <v>0.82399999999999995</v>
      </c>
      <c r="H132">
        <f t="shared" si="8"/>
        <v>0.73109243697478987</v>
      </c>
      <c r="I132">
        <f t="shared" si="9"/>
        <v>8.0927635555125976E-5</v>
      </c>
      <c r="J132">
        <f t="shared" si="10"/>
        <v>80.927635555125974</v>
      </c>
      <c r="K132">
        <v>2448.5896625000005</v>
      </c>
      <c r="L132">
        <f t="shared" si="11"/>
        <v>19.815857183084894</v>
      </c>
    </row>
    <row r="133" spans="1:12" x14ac:dyDescent="0.35">
      <c r="A133" s="6">
        <v>44806</v>
      </c>
      <c r="B133" s="3">
        <v>0.64583333333333337</v>
      </c>
      <c r="C133" t="s">
        <v>20</v>
      </c>
      <c r="D133" t="s">
        <v>16</v>
      </c>
      <c r="E133">
        <v>0.496</v>
      </c>
      <c r="F133" t="s">
        <v>6</v>
      </c>
      <c r="G133">
        <v>0.82399999999999995</v>
      </c>
      <c r="H133">
        <f t="shared" si="8"/>
        <v>0.66129032258064513</v>
      </c>
      <c r="I133">
        <f t="shared" si="9"/>
        <v>7.1523658224889442E-5</v>
      </c>
      <c r="J133">
        <f t="shared" si="10"/>
        <v>71.523658224889445</v>
      </c>
      <c r="K133">
        <v>2448.5896625000005</v>
      </c>
      <c r="L133">
        <f t="shared" si="11"/>
        <v>17.513209015364744</v>
      </c>
    </row>
    <row r="134" spans="1:12" x14ac:dyDescent="0.35">
      <c r="A134" s="6">
        <v>44806</v>
      </c>
      <c r="B134" s="3">
        <v>0.66666666666666663</v>
      </c>
      <c r="C134" t="s">
        <v>20</v>
      </c>
      <c r="D134" t="s">
        <v>16</v>
      </c>
      <c r="E134">
        <v>0.50800000000000001</v>
      </c>
      <c r="F134" t="s">
        <v>6</v>
      </c>
      <c r="G134">
        <v>0.82399999999999995</v>
      </c>
      <c r="H134">
        <f t="shared" si="8"/>
        <v>0.62204724409448808</v>
      </c>
      <c r="I134">
        <f t="shared" si="9"/>
        <v>6.6335121704871571E-5</v>
      </c>
      <c r="J134">
        <f t="shared" si="10"/>
        <v>66.335121704871568</v>
      </c>
      <c r="K134">
        <v>2448.5896625000005</v>
      </c>
      <c r="L134">
        <f t="shared" si="11"/>
        <v>16.242749326722794</v>
      </c>
    </row>
    <row r="135" spans="1:12" x14ac:dyDescent="0.35">
      <c r="A135" s="6">
        <v>44806</v>
      </c>
      <c r="B135" s="3">
        <v>0</v>
      </c>
      <c r="C135" t="s">
        <v>25</v>
      </c>
      <c r="D135" t="s">
        <v>16</v>
      </c>
      <c r="E135">
        <v>0.82399999999999995</v>
      </c>
      <c r="F135" t="s">
        <v>6</v>
      </c>
      <c r="G135">
        <v>0.82399999999999995</v>
      </c>
      <c r="H135">
        <f t="shared" si="8"/>
        <v>0</v>
      </c>
      <c r="I135">
        <f t="shared" si="9"/>
        <v>0</v>
      </c>
      <c r="J135">
        <f t="shared" si="10"/>
        <v>0</v>
      </c>
      <c r="K135">
        <v>2510.3534624999998</v>
      </c>
      <c r="L135">
        <f t="shared" si="11"/>
        <v>0</v>
      </c>
    </row>
    <row r="136" spans="1:12" x14ac:dyDescent="0.35">
      <c r="A136" s="6">
        <v>44806</v>
      </c>
      <c r="B136" s="3">
        <v>2.0833333333333332E-2</v>
      </c>
      <c r="C136" t="s">
        <v>25</v>
      </c>
      <c r="D136" t="s">
        <v>16</v>
      </c>
      <c r="E136">
        <v>0.82899999999999996</v>
      </c>
      <c r="F136" t="s">
        <v>6</v>
      </c>
      <c r="G136">
        <v>0.82399999999999995</v>
      </c>
      <c r="H136">
        <f t="shared" si="8"/>
        <v>-6.031363088057907E-3</v>
      </c>
      <c r="I136" t="e">
        <f t="shared" si="9"/>
        <v>#NUM!</v>
      </c>
      <c r="J136" t="e">
        <f t="shared" si="10"/>
        <v>#NUM!</v>
      </c>
      <c r="K136">
        <v>2510.3534624999998</v>
      </c>
      <c r="L136" t="e">
        <f t="shared" si="11"/>
        <v>#NUM!</v>
      </c>
    </row>
    <row r="137" spans="1:12" x14ac:dyDescent="0.35">
      <c r="A137" s="6">
        <v>44806</v>
      </c>
      <c r="B137" s="3">
        <v>4.1666666666666664E-2</v>
      </c>
      <c r="C137" t="s">
        <v>25</v>
      </c>
      <c r="D137" t="s">
        <v>16</v>
      </c>
      <c r="E137">
        <v>0.83199999999999996</v>
      </c>
      <c r="F137" t="s">
        <v>6</v>
      </c>
      <c r="G137">
        <v>0.82399999999999995</v>
      </c>
      <c r="H137">
        <f t="shared" si="8"/>
        <v>-9.6153846153846246E-3</v>
      </c>
      <c r="I137" t="e">
        <f t="shared" si="9"/>
        <v>#NUM!</v>
      </c>
      <c r="J137" t="e">
        <f t="shared" si="10"/>
        <v>#NUM!</v>
      </c>
      <c r="K137">
        <v>2510.3534624999998</v>
      </c>
      <c r="L137" t="e">
        <f t="shared" si="11"/>
        <v>#NUM!</v>
      </c>
    </row>
    <row r="138" spans="1:12" x14ac:dyDescent="0.35">
      <c r="A138" s="6">
        <v>44806</v>
      </c>
      <c r="B138" s="3">
        <v>6.25E-2</v>
      </c>
      <c r="C138" t="s">
        <v>25</v>
      </c>
      <c r="D138" t="s">
        <v>16</v>
      </c>
      <c r="E138">
        <v>0.83399999999999996</v>
      </c>
      <c r="F138" t="s">
        <v>6</v>
      </c>
      <c r="G138">
        <v>0.82399999999999995</v>
      </c>
      <c r="H138">
        <f t="shared" si="8"/>
        <v>-1.1990407673860922E-2</v>
      </c>
      <c r="I138" t="e">
        <f t="shared" si="9"/>
        <v>#NUM!</v>
      </c>
      <c r="J138" t="e">
        <f t="shared" si="10"/>
        <v>#NUM!</v>
      </c>
      <c r="K138">
        <v>2510.3534624999998</v>
      </c>
      <c r="L138" t="e">
        <f t="shared" si="11"/>
        <v>#NUM!</v>
      </c>
    </row>
    <row r="139" spans="1:12" x14ac:dyDescent="0.35">
      <c r="A139" s="6">
        <v>44806</v>
      </c>
      <c r="B139" s="3">
        <v>8.3333333333333329E-2</v>
      </c>
      <c r="C139" t="s">
        <v>25</v>
      </c>
      <c r="D139" t="s">
        <v>16</v>
      </c>
      <c r="E139">
        <v>0.83499999999999996</v>
      </c>
      <c r="F139" t="s">
        <v>6</v>
      </c>
      <c r="G139">
        <v>0.82399999999999995</v>
      </c>
      <c r="H139">
        <f t="shared" si="8"/>
        <v>-1.317365269461079E-2</v>
      </c>
      <c r="I139" t="e">
        <f t="shared" si="9"/>
        <v>#NUM!</v>
      </c>
      <c r="J139" t="e">
        <f t="shared" si="10"/>
        <v>#NUM!</v>
      </c>
      <c r="K139">
        <v>2510.3534624999998</v>
      </c>
      <c r="L139" t="e">
        <f t="shared" si="11"/>
        <v>#NUM!</v>
      </c>
    </row>
    <row r="140" spans="1:12" x14ac:dyDescent="0.35">
      <c r="A140" s="6">
        <v>44806</v>
      </c>
      <c r="B140" s="3">
        <v>0.10416666666666667</v>
      </c>
      <c r="C140" t="s">
        <v>25</v>
      </c>
      <c r="D140" t="s">
        <v>16</v>
      </c>
      <c r="E140">
        <v>0.83699999999999997</v>
      </c>
      <c r="F140" t="s">
        <v>6</v>
      </c>
      <c r="G140">
        <v>0.82399999999999995</v>
      </c>
      <c r="H140">
        <f t="shared" si="8"/>
        <v>-1.5531660692951029E-2</v>
      </c>
      <c r="I140" t="e">
        <f t="shared" si="9"/>
        <v>#NUM!</v>
      </c>
      <c r="J140" t="e">
        <f t="shared" si="10"/>
        <v>#NUM!</v>
      </c>
      <c r="K140">
        <v>2510.3534624999998</v>
      </c>
      <c r="L140" t="e">
        <f t="shared" si="11"/>
        <v>#NUM!</v>
      </c>
    </row>
    <row r="141" spans="1:12" x14ac:dyDescent="0.35">
      <c r="A141" s="6">
        <v>44806</v>
      </c>
      <c r="B141" s="3">
        <v>0.125</v>
      </c>
      <c r="C141" t="s">
        <v>25</v>
      </c>
      <c r="D141" t="s">
        <v>16</v>
      </c>
      <c r="E141">
        <v>0.83699999999999997</v>
      </c>
      <c r="F141" t="s">
        <v>6</v>
      </c>
      <c r="G141">
        <v>0.82399999999999995</v>
      </c>
      <c r="H141">
        <f t="shared" si="8"/>
        <v>-1.5531660692951029E-2</v>
      </c>
      <c r="I141" t="e">
        <f t="shared" si="9"/>
        <v>#NUM!</v>
      </c>
      <c r="J141" t="e">
        <f t="shared" si="10"/>
        <v>#NUM!</v>
      </c>
      <c r="K141">
        <v>2510.3534624999998</v>
      </c>
      <c r="L141" t="e">
        <f t="shared" si="11"/>
        <v>#NUM!</v>
      </c>
    </row>
    <row r="142" spans="1:12" x14ac:dyDescent="0.35">
      <c r="A142" s="6">
        <v>44806</v>
      </c>
      <c r="B142" s="3">
        <v>0.14583333333333334</v>
      </c>
      <c r="C142" t="s">
        <v>25</v>
      </c>
      <c r="D142" t="s">
        <v>16</v>
      </c>
      <c r="E142">
        <v>0.83699999999999997</v>
      </c>
      <c r="F142" t="s">
        <v>6</v>
      </c>
      <c r="G142">
        <v>0.82399999999999995</v>
      </c>
      <c r="H142">
        <f t="shared" si="8"/>
        <v>-1.5531660692951029E-2</v>
      </c>
      <c r="I142" t="e">
        <f t="shared" si="9"/>
        <v>#NUM!</v>
      </c>
      <c r="J142" t="e">
        <f t="shared" si="10"/>
        <v>#NUM!</v>
      </c>
      <c r="K142">
        <v>2510.3534624999998</v>
      </c>
      <c r="L142" t="e">
        <f t="shared" si="11"/>
        <v>#NUM!</v>
      </c>
    </row>
    <row r="143" spans="1:12" x14ac:dyDescent="0.35">
      <c r="A143" s="6">
        <v>44806</v>
      </c>
      <c r="B143" s="3">
        <v>0.16666666666666666</v>
      </c>
      <c r="C143" t="s">
        <v>25</v>
      </c>
      <c r="D143" t="s">
        <v>16</v>
      </c>
      <c r="E143">
        <v>0.83699999999999997</v>
      </c>
      <c r="F143" t="s">
        <v>6</v>
      </c>
      <c r="G143">
        <v>0.82399999999999995</v>
      </c>
      <c r="H143">
        <f t="shared" si="8"/>
        <v>-1.5531660692951029E-2</v>
      </c>
      <c r="I143" t="e">
        <f t="shared" si="9"/>
        <v>#NUM!</v>
      </c>
      <c r="J143" t="e">
        <f t="shared" si="10"/>
        <v>#NUM!</v>
      </c>
      <c r="K143">
        <v>2510.3534624999998</v>
      </c>
      <c r="L143" t="e">
        <f t="shared" si="11"/>
        <v>#NUM!</v>
      </c>
    </row>
    <row r="144" spans="1:12" x14ac:dyDescent="0.35">
      <c r="A144" s="6">
        <v>44806</v>
      </c>
      <c r="B144" s="3">
        <v>0.1875</v>
      </c>
      <c r="C144" t="s">
        <v>25</v>
      </c>
      <c r="D144" t="s">
        <v>16</v>
      </c>
      <c r="E144">
        <v>0.83699999999999997</v>
      </c>
      <c r="F144" t="s">
        <v>6</v>
      </c>
      <c r="G144">
        <v>0.82399999999999995</v>
      </c>
      <c r="H144">
        <f t="shared" si="8"/>
        <v>-1.5531660692951029E-2</v>
      </c>
      <c r="I144" t="e">
        <f t="shared" si="9"/>
        <v>#NUM!</v>
      </c>
      <c r="J144" t="e">
        <f t="shared" si="10"/>
        <v>#NUM!</v>
      </c>
      <c r="K144">
        <v>2510.3534624999998</v>
      </c>
      <c r="L144" t="e">
        <f t="shared" si="11"/>
        <v>#NUM!</v>
      </c>
    </row>
    <row r="145" spans="1:12" x14ac:dyDescent="0.35">
      <c r="A145" s="6">
        <v>44806</v>
      </c>
      <c r="B145" s="3">
        <v>0.20833333333333334</v>
      </c>
      <c r="C145" t="s">
        <v>25</v>
      </c>
      <c r="D145" t="s">
        <v>16</v>
      </c>
      <c r="E145">
        <v>0.83699999999999997</v>
      </c>
      <c r="F145" t="s">
        <v>6</v>
      </c>
      <c r="G145">
        <v>0.82399999999999995</v>
      </c>
      <c r="H145">
        <f t="shared" si="8"/>
        <v>-1.5531660692951029E-2</v>
      </c>
      <c r="I145" t="e">
        <f t="shared" si="9"/>
        <v>#NUM!</v>
      </c>
      <c r="J145" t="e">
        <f t="shared" si="10"/>
        <v>#NUM!</v>
      </c>
      <c r="K145">
        <v>2510.3534624999998</v>
      </c>
      <c r="L145" t="e">
        <f t="shared" si="11"/>
        <v>#NUM!</v>
      </c>
    </row>
    <row r="146" spans="1:12" x14ac:dyDescent="0.35">
      <c r="A146" s="6">
        <v>44806</v>
      </c>
      <c r="B146" s="3">
        <v>0.22916666666666666</v>
      </c>
      <c r="C146" t="s">
        <v>25</v>
      </c>
      <c r="D146" t="s">
        <v>16</v>
      </c>
      <c r="E146">
        <v>0.83699999999999997</v>
      </c>
      <c r="F146" t="s">
        <v>6</v>
      </c>
      <c r="G146">
        <v>0.82399999999999995</v>
      </c>
      <c r="H146">
        <f t="shared" si="8"/>
        <v>-1.5531660692951029E-2</v>
      </c>
      <c r="I146" t="e">
        <f t="shared" si="9"/>
        <v>#NUM!</v>
      </c>
      <c r="J146" t="e">
        <f t="shared" si="10"/>
        <v>#NUM!</v>
      </c>
      <c r="K146">
        <v>2510.3534624999998</v>
      </c>
      <c r="L146" t="e">
        <f t="shared" si="11"/>
        <v>#NUM!</v>
      </c>
    </row>
    <row r="147" spans="1:12" x14ac:dyDescent="0.35">
      <c r="A147" s="6">
        <v>44806</v>
      </c>
      <c r="B147" s="3">
        <v>0.33333333333333331</v>
      </c>
      <c r="C147" t="s">
        <v>25</v>
      </c>
      <c r="D147" t="s">
        <v>16</v>
      </c>
      <c r="E147">
        <v>0.82299999999999995</v>
      </c>
      <c r="F147" t="s">
        <v>6</v>
      </c>
      <c r="G147">
        <v>0.82399999999999995</v>
      </c>
      <c r="H147">
        <f t="shared" si="8"/>
        <v>1.2150668286755784E-3</v>
      </c>
      <c r="I147">
        <f t="shared" si="9"/>
        <v>3.0668304331223212E-8</v>
      </c>
      <c r="J147">
        <f t="shared" si="10"/>
        <v>3.0668304331223212E-2</v>
      </c>
      <c r="K147">
        <v>2510.3534624999998</v>
      </c>
      <c r="L147">
        <f t="shared" si="11"/>
        <v>7.6988283966889929E-3</v>
      </c>
    </row>
    <row r="148" spans="1:12" x14ac:dyDescent="0.35">
      <c r="A148" s="6">
        <v>44806</v>
      </c>
      <c r="B148" s="3">
        <v>0.35416666666666669</v>
      </c>
      <c r="C148" t="s">
        <v>25</v>
      </c>
      <c r="D148" t="s">
        <v>16</v>
      </c>
      <c r="E148">
        <v>0.80600000000000005</v>
      </c>
      <c r="F148" t="s">
        <v>6</v>
      </c>
      <c r="G148">
        <v>0.82399999999999995</v>
      </c>
      <c r="H148">
        <f t="shared" si="8"/>
        <v>2.2332506203473827E-2</v>
      </c>
      <c r="I148">
        <f t="shared" si="9"/>
        <v>1.1043048478711802E-6</v>
      </c>
      <c r="J148">
        <f t="shared" si="10"/>
        <v>1.1043048478711803</v>
      </c>
      <c r="K148">
        <v>2510.3534624999998</v>
      </c>
      <c r="L148">
        <f t="shared" si="11"/>
        <v>0.27721954985089531</v>
      </c>
    </row>
    <row r="149" spans="1:12" x14ac:dyDescent="0.35">
      <c r="A149" s="6">
        <v>44806</v>
      </c>
      <c r="B149" s="3">
        <v>0.375</v>
      </c>
      <c r="C149" t="s">
        <v>25</v>
      </c>
      <c r="D149" t="s">
        <v>16</v>
      </c>
      <c r="E149">
        <v>0.755</v>
      </c>
      <c r="F149" t="s">
        <v>6</v>
      </c>
      <c r="G149">
        <v>0.82399999999999995</v>
      </c>
      <c r="H149">
        <f t="shared" si="8"/>
        <v>9.1390728476821129E-2</v>
      </c>
      <c r="I149">
        <f t="shared" si="9"/>
        <v>6.2577397082746698E-6</v>
      </c>
      <c r="J149">
        <f t="shared" si="10"/>
        <v>6.25773970827467</v>
      </c>
      <c r="K149">
        <v>2510.3534624999998</v>
      </c>
      <c r="L149">
        <f t="shared" si="11"/>
        <v>1.5709138544091055</v>
      </c>
    </row>
    <row r="150" spans="1:12" x14ac:dyDescent="0.35">
      <c r="A150" s="6">
        <v>44806</v>
      </c>
      <c r="B150" s="3">
        <v>0.39583333333333331</v>
      </c>
      <c r="C150" t="s">
        <v>25</v>
      </c>
      <c r="D150" t="s">
        <v>16</v>
      </c>
      <c r="E150">
        <v>0.68600000000000005</v>
      </c>
      <c r="F150" t="s">
        <v>6</v>
      </c>
      <c r="G150">
        <v>0.82399999999999995</v>
      </c>
      <c r="H150">
        <f t="shared" si="8"/>
        <v>0.20116618075801734</v>
      </c>
      <c r="I150">
        <f t="shared" si="9"/>
        <v>1.6528107555189349E-5</v>
      </c>
      <c r="J150">
        <f t="shared" si="10"/>
        <v>16.528107555189347</v>
      </c>
      <c r="K150">
        <v>2510.3534624999998</v>
      </c>
      <c r="L150">
        <f t="shared" si="11"/>
        <v>4.1491392029741982</v>
      </c>
    </row>
    <row r="151" spans="1:12" x14ac:dyDescent="0.35">
      <c r="A151" s="6">
        <v>44806</v>
      </c>
      <c r="B151" s="3">
        <v>0.41666666666666669</v>
      </c>
      <c r="C151" t="s">
        <v>25</v>
      </c>
      <c r="D151" t="s">
        <v>16</v>
      </c>
      <c r="E151">
        <v>0.63</v>
      </c>
      <c r="F151" t="s">
        <v>6</v>
      </c>
      <c r="G151">
        <v>0.82399999999999995</v>
      </c>
      <c r="H151">
        <f t="shared" si="8"/>
        <v>0.30793650793650784</v>
      </c>
      <c r="I151">
        <f t="shared" si="9"/>
        <v>2.791532410878009E-5</v>
      </c>
      <c r="J151">
        <f t="shared" si="10"/>
        <v>27.915324108780091</v>
      </c>
      <c r="K151">
        <v>2510.3534624999998</v>
      </c>
      <c r="L151">
        <f t="shared" si="11"/>
        <v>7.0077330533285815</v>
      </c>
    </row>
    <row r="152" spans="1:12" x14ac:dyDescent="0.35">
      <c r="A152" s="6">
        <v>44806</v>
      </c>
      <c r="B152" s="3">
        <v>0.4375</v>
      </c>
      <c r="C152" t="s">
        <v>25</v>
      </c>
      <c r="D152" t="s">
        <v>16</v>
      </c>
      <c r="E152">
        <v>0.60499999999999998</v>
      </c>
      <c r="F152" t="s">
        <v>6</v>
      </c>
      <c r="G152">
        <v>0.82399999999999995</v>
      </c>
      <c r="H152">
        <f t="shared" si="8"/>
        <v>0.36198347107438011</v>
      </c>
      <c r="I152">
        <f t="shared" si="9"/>
        <v>3.4063776967662743E-5</v>
      </c>
      <c r="J152">
        <f t="shared" si="10"/>
        <v>34.06377696766274</v>
      </c>
      <c r="K152">
        <v>2510.3534624999998</v>
      </c>
      <c r="L152">
        <f t="shared" si="11"/>
        <v>8.5512120456599892</v>
      </c>
    </row>
    <row r="153" spans="1:12" x14ac:dyDescent="0.35">
      <c r="A153" s="6">
        <v>44806</v>
      </c>
      <c r="B153" s="3">
        <v>0.45833333333333331</v>
      </c>
      <c r="C153" t="s">
        <v>25</v>
      </c>
      <c r="D153" t="s">
        <v>16</v>
      </c>
      <c r="E153">
        <v>0.60599999999999998</v>
      </c>
      <c r="F153" t="s">
        <v>6</v>
      </c>
      <c r="G153">
        <v>0.82399999999999995</v>
      </c>
      <c r="H153">
        <f t="shared" si="8"/>
        <v>0.3597359735973597</v>
      </c>
      <c r="I153">
        <f t="shared" si="9"/>
        <v>3.3803611725136523E-5</v>
      </c>
      <c r="J153">
        <f t="shared" si="10"/>
        <v>33.803611725136527</v>
      </c>
      <c r="K153">
        <v>2510.3534624999998</v>
      </c>
      <c r="L153">
        <f t="shared" si="11"/>
        <v>8.4859013739202069</v>
      </c>
    </row>
    <row r="154" spans="1:12" x14ac:dyDescent="0.35">
      <c r="A154" s="6">
        <v>44806</v>
      </c>
      <c r="B154" s="3">
        <v>0.47916666666666669</v>
      </c>
      <c r="C154" t="s">
        <v>25</v>
      </c>
      <c r="D154" t="s">
        <v>16</v>
      </c>
      <c r="E154">
        <v>0.60799999999999998</v>
      </c>
      <c r="F154" t="s">
        <v>6</v>
      </c>
      <c r="G154">
        <v>0.82399999999999995</v>
      </c>
      <c r="H154">
        <f t="shared" si="8"/>
        <v>0.35526315789473678</v>
      </c>
      <c r="I154">
        <f t="shared" si="9"/>
        <v>3.3286966809433787E-5</v>
      </c>
      <c r="J154">
        <f t="shared" si="10"/>
        <v>33.286966809433785</v>
      </c>
      <c r="K154">
        <v>2510.3534624999998</v>
      </c>
      <c r="L154">
        <f t="shared" si="11"/>
        <v>8.3562052386184664</v>
      </c>
    </row>
    <row r="155" spans="1:12" x14ac:dyDescent="0.35">
      <c r="A155" s="6">
        <v>44806</v>
      </c>
      <c r="B155" s="3">
        <v>0.5625</v>
      </c>
      <c r="C155" t="s">
        <v>25</v>
      </c>
      <c r="D155" t="s">
        <v>16</v>
      </c>
      <c r="E155">
        <v>0.63500000000000001</v>
      </c>
      <c r="F155" t="s">
        <v>6</v>
      </c>
      <c r="G155">
        <v>0.82399999999999995</v>
      </c>
      <c r="H155">
        <f t="shared" si="8"/>
        <v>0.29763779527559048</v>
      </c>
      <c r="I155">
        <f t="shared" si="9"/>
        <v>2.6770531054627966E-5</v>
      </c>
      <c r="J155">
        <f t="shared" si="10"/>
        <v>26.770531054627966</v>
      </c>
      <c r="K155">
        <v>2510.3534624999998</v>
      </c>
      <c r="L155">
        <f t="shared" si="11"/>
        <v>6.7203495325949083</v>
      </c>
    </row>
    <row r="156" spans="1:12" x14ac:dyDescent="0.35">
      <c r="A156" s="6">
        <v>44806</v>
      </c>
      <c r="B156" s="3">
        <v>0.58333333333333337</v>
      </c>
      <c r="C156" t="s">
        <v>25</v>
      </c>
      <c r="D156" t="s">
        <v>16</v>
      </c>
      <c r="E156">
        <v>0.64600000000000002</v>
      </c>
      <c r="F156" t="s">
        <v>6</v>
      </c>
      <c r="G156">
        <v>0.82399999999999995</v>
      </c>
      <c r="H156">
        <f t="shared" si="8"/>
        <v>0.27554179566563458</v>
      </c>
      <c r="I156">
        <f t="shared" si="9"/>
        <v>2.434544709345815E-5</v>
      </c>
      <c r="J156">
        <f t="shared" si="10"/>
        <v>24.345447093458151</v>
      </c>
      <c r="K156">
        <v>2510.3534624999998</v>
      </c>
      <c r="L156">
        <f t="shared" si="11"/>
        <v>6.1115677407173221</v>
      </c>
    </row>
    <row r="157" spans="1:12" x14ac:dyDescent="0.35">
      <c r="A157" s="6">
        <v>44806</v>
      </c>
      <c r="B157" s="3">
        <v>0.60416666666666663</v>
      </c>
      <c r="C157" t="s">
        <v>25</v>
      </c>
      <c r="D157" t="s">
        <v>16</v>
      </c>
      <c r="E157">
        <v>0.65800000000000003</v>
      </c>
      <c r="F157" t="s">
        <v>6</v>
      </c>
      <c r="G157">
        <v>0.82399999999999995</v>
      </c>
      <c r="H157">
        <f t="shared" si="8"/>
        <v>0.25227963525835856</v>
      </c>
      <c r="I157">
        <f t="shared" si="9"/>
        <v>2.1840568704411645E-5</v>
      </c>
      <c r="J157">
        <f t="shared" si="10"/>
        <v>21.840568704411645</v>
      </c>
      <c r="K157">
        <v>2510.3534624999998</v>
      </c>
      <c r="L157">
        <f t="shared" si="11"/>
        <v>5.4827547270088903</v>
      </c>
    </row>
    <row r="158" spans="1:12" x14ac:dyDescent="0.35">
      <c r="A158" s="6">
        <v>44806</v>
      </c>
      <c r="B158" s="3">
        <v>0.625</v>
      </c>
      <c r="C158" t="s">
        <v>25</v>
      </c>
      <c r="D158" t="s">
        <v>16</v>
      </c>
      <c r="E158">
        <v>0.67600000000000005</v>
      </c>
      <c r="F158" t="s">
        <v>6</v>
      </c>
      <c r="G158">
        <v>0.82399999999999995</v>
      </c>
      <c r="H158">
        <f t="shared" si="8"/>
        <v>0.21893491124260339</v>
      </c>
      <c r="I158">
        <f t="shared" si="9"/>
        <v>1.8343185176712316E-5</v>
      </c>
      <c r="J158">
        <f t="shared" si="10"/>
        <v>18.343185176712318</v>
      </c>
      <c r="K158">
        <v>2510.3534624999998</v>
      </c>
      <c r="L158">
        <f t="shared" si="11"/>
        <v>4.6047878421638435</v>
      </c>
    </row>
    <row r="159" spans="1:12" x14ac:dyDescent="0.35">
      <c r="A159" s="6">
        <v>44806</v>
      </c>
      <c r="B159" s="3">
        <v>0.64583333333333337</v>
      </c>
      <c r="C159" t="s">
        <v>25</v>
      </c>
      <c r="D159" t="s">
        <v>16</v>
      </c>
      <c r="E159">
        <v>0.69799999999999995</v>
      </c>
      <c r="F159" t="s">
        <v>6</v>
      </c>
      <c r="G159">
        <v>0.82399999999999995</v>
      </c>
      <c r="H159">
        <f t="shared" si="8"/>
        <v>0.18051575931232092</v>
      </c>
      <c r="I159">
        <f t="shared" si="9"/>
        <v>1.4464954676021788E-5</v>
      </c>
      <c r="J159">
        <f t="shared" si="10"/>
        <v>14.464954676021788</v>
      </c>
      <c r="K159">
        <v>2510.3534624999998</v>
      </c>
      <c r="L159">
        <f t="shared" si="11"/>
        <v>3.6312149055856855</v>
      </c>
    </row>
    <row r="160" spans="1:12" x14ac:dyDescent="0.35">
      <c r="A160" s="6">
        <v>44806</v>
      </c>
      <c r="B160" s="3">
        <v>0.66666666666666663</v>
      </c>
      <c r="C160" t="s">
        <v>25</v>
      </c>
      <c r="D160" t="s">
        <v>16</v>
      </c>
      <c r="E160">
        <v>0.72299999999999998</v>
      </c>
      <c r="F160" t="s">
        <v>6</v>
      </c>
      <c r="G160">
        <v>0.82399999999999995</v>
      </c>
      <c r="H160">
        <f t="shared" si="8"/>
        <v>0.13969571230982017</v>
      </c>
      <c r="I160">
        <f t="shared" si="9"/>
        <v>1.0550361205938287E-5</v>
      </c>
      <c r="J160">
        <f t="shared" si="10"/>
        <v>10.550361205938287</v>
      </c>
      <c r="K160">
        <v>2510.3534624999998</v>
      </c>
      <c r="L160">
        <f t="shared" si="11"/>
        <v>2.6485135783952849</v>
      </c>
    </row>
    <row r="161" spans="1:12" x14ac:dyDescent="0.35">
      <c r="A161" s="6">
        <v>44806</v>
      </c>
      <c r="B161" s="3">
        <v>0</v>
      </c>
      <c r="C161" t="s">
        <v>24</v>
      </c>
      <c r="D161" t="s">
        <v>17</v>
      </c>
      <c r="E161">
        <v>0.88800000000000001</v>
      </c>
      <c r="F161" t="s">
        <v>6</v>
      </c>
      <c r="G161">
        <f>MAX(E161:E187)</f>
        <v>0.93899999999999995</v>
      </c>
      <c r="H161">
        <f t="shared" si="8"/>
        <v>5.7432432432432359E-2</v>
      </c>
      <c r="I161">
        <f t="shared" si="9"/>
        <v>3.5323968376531705E-6</v>
      </c>
      <c r="J161">
        <f t="shared" si="10"/>
        <v>3.5323968376531707</v>
      </c>
      <c r="K161">
        <v>3857.4978499999997</v>
      </c>
      <c r="L161">
        <f t="shared" si="11"/>
        <v>1.3626213206593905</v>
      </c>
    </row>
    <row r="162" spans="1:12" x14ac:dyDescent="0.35">
      <c r="A162" s="6">
        <v>44806</v>
      </c>
      <c r="B162" s="3">
        <v>2.0833333333333332E-2</v>
      </c>
      <c r="C162" t="s">
        <v>24</v>
      </c>
      <c r="D162" t="s">
        <v>17</v>
      </c>
      <c r="E162">
        <v>0.89900000000000002</v>
      </c>
      <c r="F162" t="s">
        <v>6</v>
      </c>
      <c r="G162">
        <v>0.93899999999999995</v>
      </c>
      <c r="H162">
        <f t="shared" si="8"/>
        <v>4.4493882091212376E-2</v>
      </c>
      <c r="I162">
        <f t="shared" si="9"/>
        <v>2.5799104413892876E-6</v>
      </c>
      <c r="J162">
        <f t="shared" si="10"/>
        <v>2.5799104413892877</v>
      </c>
      <c r="K162">
        <v>3857.4978499999997</v>
      </c>
      <c r="L162">
        <f t="shared" si="11"/>
        <v>0.99519989808517273</v>
      </c>
    </row>
    <row r="163" spans="1:12" x14ac:dyDescent="0.35">
      <c r="A163" s="6">
        <v>44806</v>
      </c>
      <c r="B163" s="3">
        <v>4.1666666666666664E-2</v>
      </c>
      <c r="C163" t="s">
        <v>24</v>
      </c>
      <c r="D163" t="s">
        <v>17</v>
      </c>
      <c r="E163">
        <v>0.91</v>
      </c>
      <c r="F163" t="s">
        <v>6</v>
      </c>
      <c r="G163">
        <v>0.93899999999999995</v>
      </c>
      <c r="H163">
        <f t="shared" si="8"/>
        <v>3.1868131868131776E-2</v>
      </c>
      <c r="I163">
        <f t="shared" si="9"/>
        <v>1.7107200398573805E-6</v>
      </c>
      <c r="J163">
        <f t="shared" si="10"/>
        <v>1.7107200398573805</v>
      </c>
      <c r="K163">
        <v>3857.4978499999997</v>
      </c>
      <c r="L163">
        <f t="shared" si="11"/>
        <v>0.65990988757017588</v>
      </c>
    </row>
    <row r="164" spans="1:12" x14ac:dyDescent="0.35">
      <c r="A164" s="6">
        <v>44806</v>
      </c>
      <c r="B164" s="3">
        <v>6.25E-2</v>
      </c>
      <c r="C164" t="s">
        <v>24</v>
      </c>
      <c r="D164" t="s">
        <v>17</v>
      </c>
      <c r="E164">
        <v>0.91900000000000004</v>
      </c>
      <c r="F164" t="s">
        <v>6</v>
      </c>
      <c r="G164">
        <v>0.93899999999999995</v>
      </c>
      <c r="H164">
        <f t="shared" si="8"/>
        <v>2.1762785636561376E-2</v>
      </c>
      <c r="I164">
        <f t="shared" si="9"/>
        <v>1.0697283152339319E-6</v>
      </c>
      <c r="J164">
        <f t="shared" si="10"/>
        <v>1.0697283152339319</v>
      </c>
      <c r="K164">
        <v>3857.4978499999997</v>
      </c>
      <c r="L164">
        <f t="shared" si="11"/>
        <v>0.4126474676099014</v>
      </c>
    </row>
    <row r="165" spans="1:12" x14ac:dyDescent="0.35">
      <c r="A165" s="6">
        <v>44806</v>
      </c>
      <c r="B165" s="3">
        <v>8.3333333333333329E-2</v>
      </c>
      <c r="C165" t="s">
        <v>24</v>
      </c>
      <c r="D165" t="s">
        <v>17</v>
      </c>
      <c r="E165">
        <v>0.92800000000000005</v>
      </c>
      <c r="F165" t="s">
        <v>6</v>
      </c>
      <c r="G165">
        <v>0.93899999999999995</v>
      </c>
      <c r="H165">
        <f t="shared" si="8"/>
        <v>1.1853448275861959E-2</v>
      </c>
      <c r="I165">
        <f t="shared" si="9"/>
        <v>5.0634881517800384E-7</v>
      </c>
      <c r="J165">
        <f t="shared" si="10"/>
        <v>0.50634881517800379</v>
      </c>
      <c r="K165">
        <v>3857.4978499999997</v>
      </c>
      <c r="L165">
        <f t="shared" si="11"/>
        <v>0.19532394658991967</v>
      </c>
    </row>
    <row r="166" spans="1:12" x14ac:dyDescent="0.35">
      <c r="A166" s="6">
        <v>44806</v>
      </c>
      <c r="B166" s="3">
        <v>0.10416666666666667</v>
      </c>
      <c r="C166" t="s">
        <v>24</v>
      </c>
      <c r="D166" t="s">
        <v>17</v>
      </c>
      <c r="E166">
        <v>0.93300000000000005</v>
      </c>
      <c r="F166" t="s">
        <v>6</v>
      </c>
      <c r="G166">
        <v>0.93899999999999995</v>
      </c>
      <c r="H166">
        <f t="shared" si="8"/>
        <v>6.4308681672024587E-3</v>
      </c>
      <c r="I166">
        <f t="shared" si="9"/>
        <v>2.3852112396026414E-7</v>
      </c>
      <c r="J166">
        <f t="shared" si="10"/>
        <v>0.23852112396026415</v>
      </c>
      <c r="K166">
        <v>3857.4978499999997</v>
      </c>
      <c r="L166">
        <f t="shared" si="11"/>
        <v>9.2009472285630237E-2</v>
      </c>
    </row>
    <row r="167" spans="1:12" x14ac:dyDescent="0.35">
      <c r="A167" s="6">
        <v>44806</v>
      </c>
      <c r="B167" s="3">
        <v>0.125</v>
      </c>
      <c r="C167" t="s">
        <v>24</v>
      </c>
      <c r="D167" t="s">
        <v>17</v>
      </c>
      <c r="E167">
        <v>0.93600000000000005</v>
      </c>
      <c r="F167" t="s">
        <v>6</v>
      </c>
      <c r="G167">
        <v>0.93899999999999995</v>
      </c>
      <c r="H167">
        <f t="shared" si="8"/>
        <v>3.2051282051280892E-3</v>
      </c>
      <c r="I167">
        <f t="shared" si="9"/>
        <v>1.0121448185002127E-7</v>
      </c>
      <c r="J167">
        <f t="shared" si="10"/>
        <v>0.10121448185002127</v>
      </c>
      <c r="K167">
        <v>3857.4978499999997</v>
      </c>
      <c r="L167">
        <f t="shared" si="11"/>
        <v>3.9043464612532101E-2</v>
      </c>
    </row>
    <row r="168" spans="1:12" x14ac:dyDescent="0.35">
      <c r="A168" s="6">
        <v>44806</v>
      </c>
      <c r="B168" s="3">
        <v>0.14583333333333334</v>
      </c>
      <c r="C168" t="s">
        <v>24</v>
      </c>
      <c r="D168" t="s">
        <v>17</v>
      </c>
      <c r="E168">
        <v>0.93700000000000006</v>
      </c>
      <c r="F168" t="s">
        <v>6</v>
      </c>
      <c r="G168">
        <v>0.93899999999999995</v>
      </c>
      <c r="H168">
        <f t="shared" si="8"/>
        <v>2.1344717182496167E-3</v>
      </c>
      <c r="I168">
        <f t="shared" si="9"/>
        <v>6.1362557161847587E-8</v>
      </c>
      <c r="J168">
        <f t="shared" si="10"/>
        <v>6.1362557161847589E-2</v>
      </c>
      <c r="K168">
        <v>3857.4978499999997</v>
      </c>
      <c r="L168">
        <f t="shared" si="11"/>
        <v>2.3670593232232914E-2</v>
      </c>
    </row>
    <row r="169" spans="1:12" x14ac:dyDescent="0.35">
      <c r="A169" s="6">
        <v>44806</v>
      </c>
      <c r="B169" s="3">
        <v>0.16666666666666666</v>
      </c>
      <c r="C169" t="s">
        <v>24</v>
      </c>
      <c r="D169" t="s">
        <v>17</v>
      </c>
      <c r="E169">
        <v>0.93799999999999994</v>
      </c>
      <c r="F169" t="s">
        <v>6</v>
      </c>
      <c r="G169">
        <v>0.93899999999999995</v>
      </c>
      <c r="H169">
        <f t="shared" si="8"/>
        <v>1.0660980810234552E-3</v>
      </c>
      <c r="I169">
        <f t="shared" si="9"/>
        <v>2.6107498838097183E-8</v>
      </c>
      <c r="J169">
        <f t="shared" si="10"/>
        <v>2.6107498838097182E-2</v>
      </c>
      <c r="K169">
        <v>3857.4978499999997</v>
      </c>
      <c r="L169">
        <f t="shared" si="11"/>
        <v>1.0070962063683736E-2</v>
      </c>
    </row>
    <row r="170" spans="1:12" x14ac:dyDescent="0.35">
      <c r="A170" s="6">
        <v>44806</v>
      </c>
      <c r="B170" s="3">
        <v>0.1875</v>
      </c>
      <c r="C170" t="s">
        <v>24</v>
      </c>
      <c r="D170" t="s">
        <v>17</v>
      </c>
      <c r="E170">
        <v>0.93899999999999995</v>
      </c>
      <c r="F170" t="s">
        <v>6</v>
      </c>
      <c r="G170">
        <v>0.93899999999999995</v>
      </c>
      <c r="H170">
        <f t="shared" si="8"/>
        <v>0</v>
      </c>
      <c r="I170">
        <f t="shared" si="9"/>
        <v>0</v>
      </c>
      <c r="J170">
        <f t="shared" si="10"/>
        <v>0</v>
      </c>
      <c r="K170">
        <v>3857.4978499999997</v>
      </c>
      <c r="L170">
        <f t="shared" si="11"/>
        <v>0</v>
      </c>
    </row>
    <row r="171" spans="1:12" x14ac:dyDescent="0.35">
      <c r="A171" s="6">
        <v>44806</v>
      </c>
      <c r="B171" s="3">
        <v>0.20833333333333334</v>
      </c>
      <c r="C171" t="s">
        <v>24</v>
      </c>
      <c r="D171" t="s">
        <v>17</v>
      </c>
      <c r="E171">
        <v>0.93899999999999995</v>
      </c>
      <c r="F171" t="s">
        <v>6</v>
      </c>
      <c r="G171">
        <v>0.93899999999999995</v>
      </c>
      <c r="H171">
        <f t="shared" si="8"/>
        <v>0</v>
      </c>
      <c r="I171">
        <f t="shared" si="9"/>
        <v>0</v>
      </c>
      <c r="J171">
        <f t="shared" si="10"/>
        <v>0</v>
      </c>
      <c r="K171">
        <v>3857.4978499999997</v>
      </c>
      <c r="L171">
        <f t="shared" si="11"/>
        <v>0</v>
      </c>
    </row>
    <row r="172" spans="1:12" x14ac:dyDescent="0.35">
      <c r="A172" s="6">
        <v>44806</v>
      </c>
      <c r="B172" s="3">
        <v>0.22916666666666666</v>
      </c>
      <c r="C172" t="s">
        <v>24</v>
      </c>
      <c r="D172" t="s">
        <v>17</v>
      </c>
      <c r="E172">
        <v>0.93799999999999994</v>
      </c>
      <c r="F172" t="s">
        <v>6</v>
      </c>
      <c r="G172">
        <v>0.93899999999999995</v>
      </c>
      <c r="H172">
        <f t="shared" si="8"/>
        <v>1.0660980810234552E-3</v>
      </c>
      <c r="I172">
        <f t="shared" si="9"/>
        <v>2.6107498838097183E-8</v>
      </c>
      <c r="J172">
        <f t="shared" si="10"/>
        <v>2.6107498838097182E-2</v>
      </c>
      <c r="K172">
        <v>3857.4978499999997</v>
      </c>
      <c r="L172">
        <f t="shared" si="11"/>
        <v>1.0070962063683736E-2</v>
      </c>
    </row>
    <row r="173" spans="1:12" x14ac:dyDescent="0.35">
      <c r="A173" s="6">
        <v>44806</v>
      </c>
      <c r="B173" s="3">
        <v>0.33333333333333331</v>
      </c>
      <c r="C173" t="s">
        <v>24</v>
      </c>
      <c r="D173" t="s">
        <v>17</v>
      </c>
      <c r="E173">
        <v>0.92</v>
      </c>
      <c r="F173" t="s">
        <v>6</v>
      </c>
      <c r="G173">
        <v>0.93899999999999995</v>
      </c>
      <c r="H173">
        <f t="shared" si="8"/>
        <v>2.0652173913043376E-2</v>
      </c>
      <c r="I173">
        <f t="shared" si="9"/>
        <v>1.0029281673739303E-6</v>
      </c>
      <c r="J173">
        <f t="shared" si="10"/>
        <v>1.0029281673739303</v>
      </c>
      <c r="K173">
        <v>3857.4978499999997</v>
      </c>
      <c r="L173">
        <f t="shared" si="11"/>
        <v>0.3868793249349376</v>
      </c>
    </row>
    <row r="174" spans="1:12" x14ac:dyDescent="0.35">
      <c r="A174" s="6">
        <v>44806</v>
      </c>
      <c r="B174" s="3">
        <v>0.35416666666666669</v>
      </c>
      <c r="C174" t="s">
        <v>24</v>
      </c>
      <c r="D174" t="s">
        <v>17</v>
      </c>
      <c r="E174">
        <v>0.89300000000000002</v>
      </c>
      <c r="F174" t="s">
        <v>6</v>
      </c>
      <c r="G174">
        <v>0.93899999999999995</v>
      </c>
      <c r="H174">
        <f t="shared" si="8"/>
        <v>5.1511758118700929E-2</v>
      </c>
      <c r="I174">
        <f t="shared" si="9"/>
        <v>3.0896103144568688E-6</v>
      </c>
      <c r="J174">
        <f t="shared" si="10"/>
        <v>3.089610314456869</v>
      </c>
      <c r="K174">
        <v>3857.4978499999997</v>
      </c>
      <c r="L174">
        <f t="shared" si="11"/>
        <v>1.1918165145355195</v>
      </c>
    </row>
    <row r="175" spans="1:12" x14ac:dyDescent="0.35">
      <c r="A175" s="6">
        <v>44806</v>
      </c>
      <c r="B175" s="3">
        <v>0.375</v>
      </c>
      <c r="C175" t="s">
        <v>24</v>
      </c>
      <c r="D175" t="s">
        <v>17</v>
      </c>
      <c r="E175">
        <v>0.84599999999999997</v>
      </c>
      <c r="F175" t="s">
        <v>6</v>
      </c>
      <c r="G175">
        <v>0.93899999999999995</v>
      </c>
      <c r="H175">
        <f t="shared" si="8"/>
        <v>0.10992907801418436</v>
      </c>
      <c r="I175">
        <f t="shared" si="9"/>
        <v>7.8551874680987112E-6</v>
      </c>
      <c r="J175">
        <f t="shared" si="10"/>
        <v>7.8551874680987108</v>
      </c>
      <c r="K175">
        <v>3857.4978499999997</v>
      </c>
      <c r="L175">
        <f t="shared" si="11"/>
        <v>3.0301368769537715</v>
      </c>
    </row>
    <row r="176" spans="1:12" x14ac:dyDescent="0.35">
      <c r="A176" s="6">
        <v>44806</v>
      </c>
      <c r="B176" s="3">
        <v>0.39583333333333331</v>
      </c>
      <c r="C176" t="s">
        <v>24</v>
      </c>
      <c r="D176" t="s">
        <v>17</v>
      </c>
      <c r="E176">
        <v>0.80600000000000005</v>
      </c>
      <c r="F176" t="s">
        <v>6</v>
      </c>
      <c r="G176">
        <v>0.93899999999999995</v>
      </c>
      <c r="H176">
        <f t="shared" si="8"/>
        <v>0.16501240694789068</v>
      </c>
      <c r="I176">
        <f t="shared" si="9"/>
        <v>1.2951196567695299E-5</v>
      </c>
      <c r="J176">
        <f t="shared" si="10"/>
        <v>12.9511965676953</v>
      </c>
      <c r="K176">
        <v>3857.4978499999997</v>
      </c>
      <c r="L176">
        <f t="shared" si="11"/>
        <v>4.9959212914811992</v>
      </c>
    </row>
    <row r="177" spans="1:12" x14ac:dyDescent="0.35">
      <c r="A177" s="6">
        <v>44806</v>
      </c>
      <c r="B177" s="3">
        <v>0.41666666666666669</v>
      </c>
      <c r="C177" t="s">
        <v>24</v>
      </c>
      <c r="D177" t="s">
        <v>17</v>
      </c>
      <c r="E177">
        <v>0.77900000000000003</v>
      </c>
      <c r="F177" t="s">
        <v>6</v>
      </c>
      <c r="G177">
        <v>0.93899999999999995</v>
      </c>
      <c r="H177">
        <f t="shared" si="8"/>
        <v>0.20539152759948642</v>
      </c>
      <c r="I177">
        <f t="shared" si="9"/>
        <v>1.6956493574421001E-5</v>
      </c>
      <c r="J177">
        <f t="shared" si="10"/>
        <v>16.956493574421</v>
      </c>
      <c r="K177">
        <v>3857.4978499999997</v>
      </c>
      <c r="L177">
        <f t="shared" si="11"/>
        <v>6.5409637506867817</v>
      </c>
    </row>
    <row r="178" spans="1:12" x14ac:dyDescent="0.35">
      <c r="A178" s="6">
        <v>44806</v>
      </c>
      <c r="B178" s="3">
        <v>0.4375</v>
      </c>
      <c r="C178" t="s">
        <v>24</v>
      </c>
      <c r="D178" t="s">
        <v>17</v>
      </c>
      <c r="E178">
        <v>0.749</v>
      </c>
      <c r="F178" t="s">
        <v>6</v>
      </c>
      <c r="G178">
        <v>0.93899999999999995</v>
      </c>
      <c r="H178">
        <f t="shared" si="8"/>
        <v>0.25367156208277697</v>
      </c>
      <c r="I178">
        <f t="shared" si="9"/>
        <v>2.1989002394926717E-5</v>
      </c>
      <c r="J178">
        <f t="shared" si="10"/>
        <v>21.989002394926718</v>
      </c>
      <c r="K178">
        <v>3857.4978499999997</v>
      </c>
      <c r="L178">
        <f t="shared" si="11"/>
        <v>8.4822529462074652</v>
      </c>
    </row>
    <row r="179" spans="1:12" x14ac:dyDescent="0.35">
      <c r="A179" s="6">
        <v>44806</v>
      </c>
      <c r="B179" s="3">
        <v>0.45833333333333331</v>
      </c>
      <c r="C179" t="s">
        <v>24</v>
      </c>
      <c r="D179" t="s">
        <v>17</v>
      </c>
      <c r="E179">
        <v>0.71799999999999997</v>
      </c>
      <c r="F179" t="s">
        <v>6</v>
      </c>
      <c r="G179">
        <v>0.93899999999999995</v>
      </c>
      <c r="H179">
        <f t="shared" si="8"/>
        <v>0.30779944289693589</v>
      </c>
      <c r="I179">
        <f t="shared" si="9"/>
        <v>2.7900029304897539E-5</v>
      </c>
      <c r="J179">
        <f t="shared" si="10"/>
        <v>27.90002930489754</v>
      </c>
      <c r="K179">
        <v>3857.4978499999997</v>
      </c>
      <c r="L179">
        <f t="shared" si="11"/>
        <v>10.762430305857924</v>
      </c>
    </row>
    <row r="180" spans="1:12" x14ac:dyDescent="0.35">
      <c r="A180" s="6">
        <v>44806</v>
      </c>
      <c r="B180" s="3">
        <v>0.47916666666666669</v>
      </c>
      <c r="C180" t="s">
        <v>24</v>
      </c>
      <c r="D180" t="s">
        <v>17</v>
      </c>
      <c r="E180">
        <v>0.70899999999999996</v>
      </c>
      <c r="F180" t="s">
        <v>6</v>
      </c>
      <c r="G180">
        <v>0.93899999999999995</v>
      </c>
      <c r="H180">
        <f t="shared" si="8"/>
        <v>0.32440056417489421</v>
      </c>
      <c r="I180">
        <f t="shared" si="9"/>
        <v>2.9763802358764586E-5</v>
      </c>
      <c r="J180">
        <f t="shared" si="10"/>
        <v>29.763802358764586</v>
      </c>
      <c r="K180">
        <v>3857.4978499999997</v>
      </c>
      <c r="L180">
        <f t="shared" si="11"/>
        <v>11.481380360675931</v>
      </c>
    </row>
    <row r="181" spans="1:12" x14ac:dyDescent="0.35">
      <c r="A181" s="6">
        <v>44806</v>
      </c>
      <c r="B181" s="3">
        <v>0.5625</v>
      </c>
      <c r="C181" t="s">
        <v>24</v>
      </c>
      <c r="D181" t="s">
        <v>17</v>
      </c>
      <c r="E181">
        <v>0.75600000000000001</v>
      </c>
      <c r="F181" t="s">
        <v>6</v>
      </c>
      <c r="G181">
        <v>0.93899999999999995</v>
      </c>
      <c r="H181">
        <f t="shared" si="8"/>
        <v>0.24206349206349198</v>
      </c>
      <c r="I181">
        <f t="shared" si="9"/>
        <v>2.0756968324790878E-5</v>
      </c>
      <c r="J181">
        <f t="shared" si="10"/>
        <v>20.756968324790879</v>
      </c>
      <c r="K181">
        <v>3857.4978499999997</v>
      </c>
      <c r="L181">
        <f t="shared" si="11"/>
        <v>8.0069960685398911</v>
      </c>
    </row>
    <row r="182" spans="1:12" x14ac:dyDescent="0.35">
      <c r="A182" s="6">
        <v>44806</v>
      </c>
      <c r="B182" s="3">
        <v>0.58333333333333337</v>
      </c>
      <c r="C182" t="s">
        <v>24</v>
      </c>
      <c r="D182" t="s">
        <v>17</v>
      </c>
      <c r="E182">
        <v>0.77500000000000002</v>
      </c>
      <c r="F182" t="s">
        <v>6</v>
      </c>
      <c r="G182">
        <v>0.93899999999999995</v>
      </c>
      <c r="H182">
        <f t="shared" si="8"/>
        <v>0.21161290322580634</v>
      </c>
      <c r="I182">
        <f t="shared" si="9"/>
        <v>1.7590951959262344E-5</v>
      </c>
      <c r="J182">
        <f t="shared" si="10"/>
        <v>17.590951959262345</v>
      </c>
      <c r="K182">
        <v>3857.4978499999997</v>
      </c>
      <c r="L182">
        <f t="shared" si="11"/>
        <v>6.7857059362307774</v>
      </c>
    </row>
    <row r="183" spans="1:12" x14ac:dyDescent="0.35">
      <c r="A183" s="6">
        <v>44806</v>
      </c>
      <c r="B183" s="3">
        <v>0.60416666666666663</v>
      </c>
      <c r="C183" t="s">
        <v>24</v>
      </c>
      <c r="D183" t="s">
        <v>17</v>
      </c>
      <c r="E183">
        <v>0.79500000000000004</v>
      </c>
      <c r="F183" t="s">
        <v>6</v>
      </c>
      <c r="G183">
        <v>0.93899999999999995</v>
      </c>
      <c r="H183">
        <f t="shared" si="8"/>
        <v>0.18113207547169799</v>
      </c>
      <c r="I183">
        <f t="shared" si="9"/>
        <v>1.452577302672083E-5</v>
      </c>
      <c r="J183">
        <f t="shared" si="10"/>
        <v>14.525773026720831</v>
      </c>
      <c r="K183">
        <v>3857.4978499999997</v>
      </c>
      <c r="L183">
        <f t="shared" si="11"/>
        <v>5.603313822016359</v>
      </c>
    </row>
    <row r="184" spans="1:12" x14ac:dyDescent="0.35">
      <c r="A184" s="6">
        <v>44806</v>
      </c>
      <c r="B184" s="3">
        <v>0.625</v>
      </c>
      <c r="C184" t="s">
        <v>24</v>
      </c>
      <c r="D184" t="s">
        <v>17</v>
      </c>
      <c r="E184">
        <v>0.82</v>
      </c>
      <c r="F184" t="s">
        <v>6</v>
      </c>
      <c r="G184">
        <v>0.93899999999999995</v>
      </c>
      <c r="H184">
        <f t="shared" si="8"/>
        <v>0.14512195121951219</v>
      </c>
      <c r="I184">
        <f t="shared" si="9"/>
        <v>1.1057079154179497E-5</v>
      </c>
      <c r="J184">
        <f t="shared" si="10"/>
        <v>11.057079154179497</v>
      </c>
      <c r="K184">
        <v>3857.4978499999997</v>
      </c>
      <c r="L184">
        <f t="shared" si="11"/>
        <v>4.265265906452723</v>
      </c>
    </row>
    <row r="185" spans="1:12" x14ac:dyDescent="0.35">
      <c r="A185" s="6">
        <v>44806</v>
      </c>
      <c r="B185" s="3">
        <v>0.64583333333333337</v>
      </c>
      <c r="C185" t="s">
        <v>24</v>
      </c>
      <c r="D185" t="s">
        <v>17</v>
      </c>
      <c r="E185">
        <v>0.84899999999999998</v>
      </c>
      <c r="F185" t="s">
        <v>6</v>
      </c>
      <c r="G185">
        <v>0.93899999999999995</v>
      </c>
      <c r="H185">
        <f t="shared" si="8"/>
        <v>0.10600706713780915</v>
      </c>
      <c r="I185">
        <f t="shared" si="9"/>
        <v>7.511628894077746E-6</v>
      </c>
      <c r="J185">
        <f t="shared" si="10"/>
        <v>7.511628894077746</v>
      </c>
      <c r="K185">
        <v>3857.4978499999997</v>
      </c>
      <c r="L185">
        <f t="shared" si="11"/>
        <v>2.8976092308902781</v>
      </c>
    </row>
    <row r="186" spans="1:12" x14ac:dyDescent="0.35">
      <c r="A186" s="6">
        <v>44806</v>
      </c>
      <c r="B186" s="3">
        <v>0.66666666666666663</v>
      </c>
      <c r="C186" t="s">
        <v>24</v>
      </c>
      <c r="D186" t="s">
        <v>17</v>
      </c>
      <c r="E186">
        <v>0.876</v>
      </c>
      <c r="F186" t="s">
        <v>6</v>
      </c>
      <c r="G186">
        <v>0.93899999999999995</v>
      </c>
      <c r="H186">
        <f t="shared" si="8"/>
        <v>7.1917808219178023E-2</v>
      </c>
      <c r="I186">
        <f t="shared" si="9"/>
        <v>4.6592136224799973E-6</v>
      </c>
      <c r="J186">
        <f t="shared" si="10"/>
        <v>4.6592136224799976</v>
      </c>
      <c r="K186">
        <v>3857.4978499999997</v>
      </c>
      <c r="L186">
        <f t="shared" si="11"/>
        <v>1.79729065314073</v>
      </c>
    </row>
    <row r="187" spans="1:12" x14ac:dyDescent="0.35">
      <c r="A187" s="6">
        <v>44806</v>
      </c>
      <c r="B187" s="3">
        <v>0</v>
      </c>
      <c r="C187" t="s">
        <v>21</v>
      </c>
      <c r="D187" t="s">
        <v>11</v>
      </c>
      <c r="E187">
        <v>0.72299999999999998</v>
      </c>
      <c r="F187" t="s">
        <v>6</v>
      </c>
      <c r="G187">
        <f>MAX(E187:E213)</f>
        <v>0.89700000000000002</v>
      </c>
      <c r="H187">
        <f t="shared" si="8"/>
        <v>0.24066390041493782</v>
      </c>
      <c r="I187">
        <f t="shared" si="9"/>
        <v>2.0609328517864505E-5</v>
      </c>
      <c r="J187">
        <f t="shared" si="10"/>
        <v>20.609328517864505</v>
      </c>
      <c r="K187">
        <v>2061.8515625</v>
      </c>
      <c r="L187">
        <f t="shared" si="11"/>
        <v>4.2493376206634741</v>
      </c>
    </row>
    <row r="188" spans="1:12" x14ac:dyDescent="0.35">
      <c r="A188" s="6">
        <v>44806</v>
      </c>
      <c r="B188" s="3">
        <v>2.0833333333333332E-2</v>
      </c>
      <c r="C188" t="s">
        <v>21</v>
      </c>
      <c r="D188" t="s">
        <v>11</v>
      </c>
      <c r="E188">
        <v>0.72499999999999998</v>
      </c>
      <c r="F188" t="s">
        <v>6</v>
      </c>
      <c r="G188">
        <v>0.89700000000000002</v>
      </c>
      <c r="H188">
        <f t="shared" si="8"/>
        <v>0.23724137931034489</v>
      </c>
      <c r="I188">
        <f t="shared" si="9"/>
        <v>2.0249131159791932E-5</v>
      </c>
      <c r="J188">
        <f t="shared" si="10"/>
        <v>20.249131159791933</v>
      </c>
      <c r="K188">
        <v>2061.8515625</v>
      </c>
      <c r="L188">
        <f t="shared" si="11"/>
        <v>4.1750702721084432</v>
      </c>
    </row>
    <row r="189" spans="1:12" x14ac:dyDescent="0.35">
      <c r="A189" s="6">
        <v>44806</v>
      </c>
      <c r="B189" s="3">
        <v>4.1666666666666664E-2</v>
      </c>
      <c r="C189" t="s">
        <v>21</v>
      </c>
      <c r="D189" t="s">
        <v>11</v>
      </c>
      <c r="E189">
        <v>0.72899999999999998</v>
      </c>
      <c r="F189" t="s">
        <v>6</v>
      </c>
      <c r="G189">
        <v>0.89700000000000002</v>
      </c>
      <c r="H189">
        <f t="shared" si="8"/>
        <v>0.2304526748971194</v>
      </c>
      <c r="I189">
        <f t="shared" si="9"/>
        <v>1.9538224696567025E-5</v>
      </c>
      <c r="J189">
        <f t="shared" si="10"/>
        <v>19.538224696567024</v>
      </c>
      <c r="K189">
        <v>2061.8515625</v>
      </c>
      <c r="L189">
        <f t="shared" si="11"/>
        <v>4.0284919119092804</v>
      </c>
    </row>
    <row r="190" spans="1:12" x14ac:dyDescent="0.35">
      <c r="A190" s="6">
        <v>44806</v>
      </c>
      <c r="B190" s="3">
        <v>6.25E-2</v>
      </c>
      <c r="C190" t="s">
        <v>21</v>
      </c>
      <c r="D190" t="s">
        <v>11</v>
      </c>
      <c r="E190">
        <v>0.73099999999999998</v>
      </c>
      <c r="F190" t="s">
        <v>6</v>
      </c>
      <c r="G190">
        <v>0.89700000000000002</v>
      </c>
      <c r="H190">
        <f t="shared" si="8"/>
        <v>0.22708618331053357</v>
      </c>
      <c r="I190">
        <f t="shared" si="9"/>
        <v>1.9187470571751664E-5</v>
      </c>
      <c r="J190">
        <f t="shared" si="10"/>
        <v>19.187470571751664</v>
      </c>
      <c r="K190">
        <v>2061.8515625</v>
      </c>
      <c r="L190">
        <f t="shared" si="11"/>
        <v>3.9561716178788937</v>
      </c>
    </row>
    <row r="191" spans="1:12" x14ac:dyDescent="0.35">
      <c r="A191" s="6">
        <v>44806</v>
      </c>
      <c r="B191" s="3">
        <v>8.3333333333333329E-2</v>
      </c>
      <c r="C191" t="s">
        <v>21</v>
      </c>
      <c r="D191" t="s">
        <v>11</v>
      </c>
      <c r="E191">
        <v>0.73299999999999998</v>
      </c>
      <c r="F191" t="s">
        <v>6</v>
      </c>
      <c r="G191">
        <v>0.89700000000000002</v>
      </c>
      <c r="H191">
        <f t="shared" si="8"/>
        <v>0.22373806275579813</v>
      </c>
      <c r="I191">
        <f t="shared" si="9"/>
        <v>1.8839819845102787E-5</v>
      </c>
      <c r="J191">
        <f t="shared" si="10"/>
        <v>18.839819845102788</v>
      </c>
      <c r="K191">
        <v>2061.8515625</v>
      </c>
      <c r="L191">
        <f t="shared" si="11"/>
        <v>3.8844911984843691</v>
      </c>
    </row>
    <row r="192" spans="1:12" x14ac:dyDescent="0.35">
      <c r="A192" s="6">
        <v>44806</v>
      </c>
      <c r="B192" s="3">
        <v>0.10416666666666667</v>
      </c>
      <c r="C192" t="s">
        <v>21</v>
      </c>
      <c r="D192" t="s">
        <v>11</v>
      </c>
      <c r="E192">
        <v>0.73499999999999999</v>
      </c>
      <c r="F192" t="s">
        <v>6</v>
      </c>
      <c r="G192">
        <v>0.89700000000000002</v>
      </c>
      <c r="H192">
        <f t="shared" si="8"/>
        <v>0.22040816326530618</v>
      </c>
      <c r="I192">
        <f t="shared" si="9"/>
        <v>1.8495251015236288E-5</v>
      </c>
      <c r="J192">
        <f t="shared" si="10"/>
        <v>18.495251015236288</v>
      </c>
      <c r="K192">
        <v>2061.8515625</v>
      </c>
      <c r="L192">
        <f t="shared" si="11"/>
        <v>3.8134462204594652</v>
      </c>
    </row>
    <row r="193" spans="1:12" x14ac:dyDescent="0.35">
      <c r="A193" s="6">
        <v>44806</v>
      </c>
      <c r="B193" s="3">
        <v>0.125</v>
      </c>
      <c r="C193" t="s">
        <v>21</v>
      </c>
      <c r="D193" t="s">
        <v>11</v>
      </c>
      <c r="E193">
        <v>0.73499999999999999</v>
      </c>
      <c r="F193" t="s">
        <v>6</v>
      </c>
      <c r="G193">
        <v>0.89700000000000002</v>
      </c>
      <c r="H193">
        <f t="shared" si="8"/>
        <v>0.22040816326530618</v>
      </c>
      <c r="I193">
        <f t="shared" si="9"/>
        <v>1.8495251015236288E-5</v>
      </c>
      <c r="J193">
        <f t="shared" si="10"/>
        <v>18.495251015236288</v>
      </c>
      <c r="K193">
        <v>2061.8515625</v>
      </c>
      <c r="L193">
        <f t="shared" si="11"/>
        <v>3.8134462204594652</v>
      </c>
    </row>
    <row r="194" spans="1:12" x14ac:dyDescent="0.35">
      <c r="A194" s="6">
        <v>44806</v>
      </c>
      <c r="B194" s="3">
        <v>0.14583333333333334</v>
      </c>
      <c r="C194" t="s">
        <v>21</v>
      </c>
      <c r="D194" t="s">
        <v>11</v>
      </c>
      <c r="E194">
        <v>0.73599999999999999</v>
      </c>
      <c r="F194" t="s">
        <v>6</v>
      </c>
      <c r="G194">
        <v>0.89700000000000002</v>
      </c>
      <c r="H194">
        <f t="shared" ref="H194:H257" si="12">(G194-E194)/E194</f>
        <v>0.21875000000000006</v>
      </c>
      <c r="I194">
        <f t="shared" ref="I194:I257" si="13">119*10^-6*(H194^1.231)</f>
        <v>1.8324115702272947E-5</v>
      </c>
      <c r="J194">
        <f t="shared" ref="J194:J257" si="14">I194*10^6</f>
        <v>18.324115702272948</v>
      </c>
      <c r="K194">
        <v>2061.8515625</v>
      </c>
      <c r="L194">
        <f t="shared" si="11"/>
        <v>3.7781606592162262</v>
      </c>
    </row>
    <row r="195" spans="1:12" x14ac:dyDescent="0.35">
      <c r="A195" s="6">
        <v>44806</v>
      </c>
      <c r="B195" s="3">
        <v>0.16666666666666666</v>
      </c>
      <c r="C195" t="s">
        <v>21</v>
      </c>
      <c r="D195" t="s">
        <v>11</v>
      </c>
      <c r="E195">
        <v>0.73699999999999999</v>
      </c>
      <c r="F195" t="s">
        <v>6</v>
      </c>
      <c r="G195">
        <v>0.89700000000000002</v>
      </c>
      <c r="H195">
        <f t="shared" si="12"/>
        <v>0.21709633649932161</v>
      </c>
      <c r="I195">
        <f t="shared" si="13"/>
        <v>1.8153742982477229E-5</v>
      </c>
      <c r="J195">
        <f t="shared" si="14"/>
        <v>18.15374298247723</v>
      </c>
      <c r="K195">
        <v>2061.8515625</v>
      </c>
      <c r="L195">
        <f t="shared" ref="L195:L258" si="15">J195*(K195/10000)</f>
        <v>3.7430323333644084</v>
      </c>
    </row>
    <row r="196" spans="1:12" x14ac:dyDescent="0.35">
      <c r="A196" s="6">
        <v>44806</v>
      </c>
      <c r="B196" s="3">
        <v>0.1875</v>
      </c>
      <c r="C196" t="s">
        <v>21</v>
      </c>
      <c r="D196" t="s">
        <v>11</v>
      </c>
      <c r="E196">
        <v>0.74</v>
      </c>
      <c r="F196" t="s">
        <v>6</v>
      </c>
      <c r="G196">
        <v>0.89700000000000002</v>
      </c>
      <c r="H196">
        <f t="shared" si="12"/>
        <v>0.21216216216216222</v>
      </c>
      <c r="I196">
        <f t="shared" si="13"/>
        <v>1.7647174759533334E-5</v>
      </c>
      <c r="J196">
        <f t="shared" si="14"/>
        <v>17.647174759533335</v>
      </c>
      <c r="K196">
        <v>2061.8515625</v>
      </c>
      <c r="L196">
        <f t="shared" si="15"/>
        <v>3.6385854851654371</v>
      </c>
    </row>
    <row r="197" spans="1:12" x14ac:dyDescent="0.35">
      <c r="A197" s="6">
        <v>44806</v>
      </c>
      <c r="B197" s="3">
        <v>0.20833333333333334</v>
      </c>
      <c r="C197" t="s">
        <v>21</v>
      </c>
      <c r="D197" t="s">
        <v>11</v>
      </c>
      <c r="E197">
        <v>0.74</v>
      </c>
      <c r="F197" t="s">
        <v>6</v>
      </c>
      <c r="G197">
        <v>0.89700000000000002</v>
      </c>
      <c r="H197">
        <f t="shared" si="12"/>
        <v>0.21216216216216222</v>
      </c>
      <c r="I197">
        <f t="shared" si="13"/>
        <v>1.7647174759533334E-5</v>
      </c>
      <c r="J197">
        <f t="shared" si="14"/>
        <v>17.647174759533335</v>
      </c>
      <c r="K197">
        <v>2061.8515625</v>
      </c>
      <c r="L197">
        <f t="shared" si="15"/>
        <v>3.6385854851654371</v>
      </c>
    </row>
    <row r="198" spans="1:12" x14ac:dyDescent="0.35">
      <c r="A198" s="6">
        <v>44806</v>
      </c>
      <c r="B198" s="3">
        <v>0.22916666666666666</v>
      </c>
      <c r="C198" t="s">
        <v>21</v>
      </c>
      <c r="D198" t="s">
        <v>11</v>
      </c>
      <c r="E198">
        <v>0.74</v>
      </c>
      <c r="F198" t="s">
        <v>6</v>
      </c>
      <c r="G198">
        <v>0.89700000000000002</v>
      </c>
      <c r="H198">
        <f t="shared" si="12"/>
        <v>0.21216216216216222</v>
      </c>
      <c r="I198">
        <f t="shared" si="13"/>
        <v>1.7647174759533334E-5</v>
      </c>
      <c r="J198">
        <f t="shared" si="14"/>
        <v>17.647174759533335</v>
      </c>
      <c r="K198">
        <v>2061.8515625</v>
      </c>
      <c r="L198">
        <f t="shared" si="15"/>
        <v>3.6385854851654371</v>
      </c>
    </row>
    <row r="199" spans="1:12" x14ac:dyDescent="0.35">
      <c r="A199" s="6">
        <v>44806</v>
      </c>
      <c r="B199" s="3">
        <v>0.33333333333333331</v>
      </c>
      <c r="C199" t="s">
        <v>21</v>
      </c>
      <c r="D199" t="s">
        <v>11</v>
      </c>
      <c r="E199">
        <v>0.68400000000000005</v>
      </c>
      <c r="F199" t="s">
        <v>6</v>
      </c>
      <c r="G199">
        <v>0.89700000000000002</v>
      </c>
      <c r="H199">
        <f t="shared" si="12"/>
        <v>0.31140350877192974</v>
      </c>
      <c r="I199">
        <f t="shared" si="13"/>
        <v>2.8302721115173614E-5</v>
      </c>
      <c r="J199">
        <f t="shared" si="14"/>
        <v>28.302721115173615</v>
      </c>
      <c r="K199">
        <v>2061.8515625</v>
      </c>
      <c r="L199">
        <f t="shared" si="15"/>
        <v>5.8356009754322464</v>
      </c>
    </row>
    <row r="200" spans="1:12" x14ac:dyDescent="0.35">
      <c r="A200" s="6">
        <v>44806</v>
      </c>
      <c r="B200" s="3">
        <v>0.35416666666666669</v>
      </c>
      <c r="C200" t="s">
        <v>21</v>
      </c>
      <c r="D200" t="s">
        <v>11</v>
      </c>
      <c r="E200">
        <v>0.624</v>
      </c>
      <c r="F200" t="s">
        <v>6</v>
      </c>
      <c r="G200">
        <v>0.89700000000000002</v>
      </c>
      <c r="H200">
        <f t="shared" si="12"/>
        <v>0.43750000000000006</v>
      </c>
      <c r="I200">
        <f t="shared" si="13"/>
        <v>4.3012130025178742E-5</v>
      </c>
      <c r="J200">
        <f t="shared" si="14"/>
        <v>43.012130025178742</v>
      </c>
      <c r="K200">
        <v>2061.8515625</v>
      </c>
      <c r="L200">
        <f t="shared" si="15"/>
        <v>8.8684627498867954</v>
      </c>
    </row>
    <row r="201" spans="1:12" x14ac:dyDescent="0.35">
      <c r="A201" s="6">
        <v>44806</v>
      </c>
      <c r="B201" s="3">
        <v>0.375</v>
      </c>
      <c r="C201" t="s">
        <v>21</v>
      </c>
      <c r="D201" t="s">
        <v>11</v>
      </c>
      <c r="E201">
        <v>0.56000000000000005</v>
      </c>
      <c r="F201" t="s">
        <v>6</v>
      </c>
      <c r="G201">
        <v>0.89700000000000002</v>
      </c>
      <c r="H201">
        <f t="shared" si="12"/>
        <v>0.60178571428571415</v>
      </c>
      <c r="I201">
        <f t="shared" si="13"/>
        <v>6.3685403991086214E-5</v>
      </c>
      <c r="J201">
        <f t="shared" si="14"/>
        <v>63.685403991086211</v>
      </c>
      <c r="K201">
        <v>2061.8515625</v>
      </c>
      <c r="L201">
        <f t="shared" si="15"/>
        <v>13.130984972746484</v>
      </c>
    </row>
    <row r="202" spans="1:12" x14ac:dyDescent="0.35">
      <c r="A202" s="6">
        <v>44806</v>
      </c>
      <c r="B202" s="3">
        <v>0.39583333333333331</v>
      </c>
      <c r="C202" t="s">
        <v>21</v>
      </c>
      <c r="D202" t="s">
        <v>11</v>
      </c>
      <c r="E202">
        <v>0.53400000000000003</v>
      </c>
      <c r="F202" t="s">
        <v>6</v>
      </c>
      <c r="G202">
        <v>0.89700000000000002</v>
      </c>
      <c r="H202">
        <f t="shared" si="12"/>
        <v>0.6797752808988764</v>
      </c>
      <c r="I202">
        <f t="shared" si="13"/>
        <v>7.3992675185970453E-5</v>
      </c>
      <c r="J202">
        <f t="shared" si="14"/>
        <v>73.992675185970455</v>
      </c>
      <c r="K202">
        <v>2061.8515625</v>
      </c>
      <c r="L202">
        <f t="shared" si="15"/>
        <v>15.256191294574815</v>
      </c>
    </row>
    <row r="203" spans="1:12" x14ac:dyDescent="0.35">
      <c r="A203" s="6">
        <v>44806</v>
      </c>
      <c r="B203" s="3">
        <v>0.41666666666666669</v>
      </c>
      <c r="C203" t="s">
        <v>21</v>
      </c>
      <c r="D203" t="s">
        <v>11</v>
      </c>
      <c r="E203">
        <v>0.52700000000000002</v>
      </c>
      <c r="F203" t="s">
        <v>6</v>
      </c>
      <c r="G203">
        <v>0.89700000000000002</v>
      </c>
      <c r="H203">
        <f t="shared" si="12"/>
        <v>0.70208728652751418</v>
      </c>
      <c r="I203">
        <f t="shared" si="13"/>
        <v>7.6993562756792256E-5</v>
      </c>
      <c r="J203">
        <f t="shared" si="14"/>
        <v>76.993562756792258</v>
      </c>
      <c r="K203">
        <v>2061.8515625</v>
      </c>
      <c r="L203">
        <f t="shared" si="15"/>
        <v>15.874929767253393</v>
      </c>
    </row>
    <row r="204" spans="1:12" x14ac:dyDescent="0.35">
      <c r="A204" s="6">
        <v>44806</v>
      </c>
      <c r="B204" s="3">
        <v>0.4375</v>
      </c>
      <c r="C204" t="s">
        <v>21</v>
      </c>
      <c r="D204" t="s">
        <v>11</v>
      </c>
      <c r="E204">
        <v>0.52700000000000002</v>
      </c>
      <c r="F204" t="s">
        <v>6</v>
      </c>
      <c r="G204">
        <v>0.89700000000000002</v>
      </c>
      <c r="H204">
        <f t="shared" si="12"/>
        <v>0.70208728652751418</v>
      </c>
      <c r="I204">
        <f t="shared" si="13"/>
        <v>7.6993562756792256E-5</v>
      </c>
      <c r="J204">
        <f t="shared" si="14"/>
        <v>76.993562756792258</v>
      </c>
      <c r="K204">
        <v>2061.8515625</v>
      </c>
      <c r="L204">
        <f t="shared" si="15"/>
        <v>15.874929767253393</v>
      </c>
    </row>
    <row r="205" spans="1:12" x14ac:dyDescent="0.35">
      <c r="A205" s="6">
        <v>44806</v>
      </c>
      <c r="B205" s="3">
        <v>0.45833333333333331</v>
      </c>
      <c r="C205" t="s">
        <v>21</v>
      </c>
      <c r="D205" t="s">
        <v>11</v>
      </c>
      <c r="E205">
        <v>0.52800000000000002</v>
      </c>
      <c r="F205" t="s">
        <v>6</v>
      </c>
      <c r="G205">
        <v>0.89700000000000002</v>
      </c>
      <c r="H205">
        <f t="shared" si="12"/>
        <v>0.69886363636363635</v>
      </c>
      <c r="I205">
        <f t="shared" si="13"/>
        <v>7.6558613475608469E-5</v>
      </c>
      <c r="J205">
        <f t="shared" si="14"/>
        <v>76.558613475608468</v>
      </c>
      <c r="K205">
        <v>2061.8515625</v>
      </c>
      <c r="L205">
        <f t="shared" si="15"/>
        <v>15.785249681751688</v>
      </c>
    </row>
    <row r="206" spans="1:12" x14ac:dyDescent="0.35">
      <c r="A206" s="6">
        <v>44806</v>
      </c>
      <c r="B206" s="3">
        <v>0.47916666666666669</v>
      </c>
      <c r="C206" t="s">
        <v>21</v>
      </c>
      <c r="D206" t="s">
        <v>11</v>
      </c>
      <c r="E206">
        <v>0.53500000000000003</v>
      </c>
      <c r="F206" t="s">
        <v>6</v>
      </c>
      <c r="G206">
        <v>0.89700000000000002</v>
      </c>
      <c r="H206">
        <f t="shared" si="12"/>
        <v>0.67663551401869149</v>
      </c>
      <c r="I206">
        <f t="shared" si="13"/>
        <v>7.3572193779450527E-5</v>
      </c>
      <c r="J206">
        <f t="shared" si="14"/>
        <v>73.572193779450529</v>
      </c>
      <c r="K206">
        <v>2061.8515625</v>
      </c>
      <c r="L206">
        <f t="shared" si="15"/>
        <v>15.169494270071285</v>
      </c>
    </row>
    <row r="207" spans="1:12" x14ac:dyDescent="0.35">
      <c r="A207" s="6">
        <v>44806</v>
      </c>
      <c r="B207" s="3">
        <v>0.5625</v>
      </c>
      <c r="C207" t="s">
        <v>21</v>
      </c>
      <c r="D207" t="s">
        <v>11</v>
      </c>
      <c r="E207">
        <v>0.55000000000000004</v>
      </c>
      <c r="F207" t="s">
        <v>6</v>
      </c>
      <c r="G207">
        <v>0.89700000000000002</v>
      </c>
      <c r="H207">
        <f t="shared" si="12"/>
        <v>0.63090909090909086</v>
      </c>
      <c r="I207">
        <f t="shared" si="13"/>
        <v>6.7500357673375727E-5</v>
      </c>
      <c r="J207">
        <f t="shared" si="14"/>
        <v>67.500357673375731</v>
      </c>
      <c r="K207">
        <v>2061.8515625</v>
      </c>
      <c r="L207">
        <f t="shared" si="15"/>
        <v>13.917571793815862</v>
      </c>
    </row>
    <row r="208" spans="1:12" x14ac:dyDescent="0.35">
      <c r="A208" s="6">
        <v>44806</v>
      </c>
      <c r="B208" s="3">
        <v>0.58333333333333337</v>
      </c>
      <c r="C208" t="s">
        <v>21</v>
      </c>
      <c r="D208" t="s">
        <v>11</v>
      </c>
      <c r="E208">
        <v>0.54900000000000004</v>
      </c>
      <c r="F208" t="s">
        <v>6</v>
      </c>
      <c r="G208">
        <v>0.89700000000000002</v>
      </c>
      <c r="H208">
        <f t="shared" si="12"/>
        <v>0.63387978142076495</v>
      </c>
      <c r="I208">
        <f t="shared" si="13"/>
        <v>6.7891820556004686E-5</v>
      </c>
      <c r="J208">
        <f t="shared" si="14"/>
        <v>67.891820556004689</v>
      </c>
      <c r="K208">
        <v>2061.8515625</v>
      </c>
      <c r="L208">
        <f t="shared" si="15"/>
        <v>13.998285629436788</v>
      </c>
    </row>
    <row r="209" spans="1:12" x14ac:dyDescent="0.35">
      <c r="A209" s="6">
        <v>44806</v>
      </c>
      <c r="B209" s="3">
        <v>0.60416666666666663</v>
      </c>
      <c r="C209" t="s">
        <v>21</v>
      </c>
      <c r="D209" t="s">
        <v>11</v>
      </c>
      <c r="E209">
        <v>0.56200000000000006</v>
      </c>
      <c r="F209" t="s">
        <v>6</v>
      </c>
      <c r="G209">
        <v>0.89700000000000002</v>
      </c>
      <c r="H209">
        <f t="shared" si="12"/>
        <v>0.59608540925266895</v>
      </c>
      <c r="I209">
        <f t="shared" si="13"/>
        <v>6.2943619716311901E-5</v>
      </c>
      <c r="J209">
        <f t="shared" si="14"/>
        <v>62.9436197163119</v>
      </c>
      <c r="K209">
        <v>2061.8515625</v>
      </c>
      <c r="L209">
        <f t="shared" si="15"/>
        <v>12.978040066148351</v>
      </c>
    </row>
    <row r="210" spans="1:12" x14ac:dyDescent="0.35">
      <c r="A210" s="6">
        <v>44806</v>
      </c>
      <c r="B210" s="3">
        <v>0.625</v>
      </c>
      <c r="C210" t="s">
        <v>21</v>
      </c>
      <c r="D210" t="s">
        <v>11</v>
      </c>
      <c r="E210">
        <v>0.58899999999999997</v>
      </c>
      <c r="F210" t="s">
        <v>6</v>
      </c>
      <c r="G210">
        <v>0.89700000000000002</v>
      </c>
      <c r="H210">
        <f t="shared" si="12"/>
        <v>0.52292020373514447</v>
      </c>
      <c r="I210">
        <f t="shared" si="13"/>
        <v>5.3572383060027967E-5</v>
      </c>
      <c r="J210">
        <f t="shared" si="14"/>
        <v>53.572383060027967</v>
      </c>
      <c r="K210">
        <v>2061.8515625</v>
      </c>
      <c r="L210">
        <f t="shared" si="15"/>
        <v>11.04583017191672</v>
      </c>
    </row>
    <row r="211" spans="1:12" x14ac:dyDescent="0.35">
      <c r="A211" s="6">
        <v>44806</v>
      </c>
      <c r="B211" s="3">
        <v>0.64583333333333337</v>
      </c>
      <c r="C211" t="s">
        <v>21</v>
      </c>
      <c r="D211" t="s">
        <v>11</v>
      </c>
      <c r="E211">
        <v>0.61</v>
      </c>
      <c r="F211" t="s">
        <v>6</v>
      </c>
      <c r="G211">
        <v>0.89700000000000002</v>
      </c>
      <c r="H211">
        <f t="shared" si="12"/>
        <v>0.47049180327868861</v>
      </c>
      <c r="I211">
        <f t="shared" si="13"/>
        <v>4.7039050782278225E-5</v>
      </c>
      <c r="J211">
        <f t="shared" si="14"/>
        <v>47.039050782278224</v>
      </c>
      <c r="K211">
        <v>2061.8515625</v>
      </c>
      <c r="L211">
        <f t="shared" si="15"/>
        <v>9.6987540353957211</v>
      </c>
    </row>
    <row r="212" spans="1:12" x14ac:dyDescent="0.35">
      <c r="A212" s="6">
        <v>44806</v>
      </c>
      <c r="B212" s="3">
        <v>0.66666666666666663</v>
      </c>
      <c r="C212" t="s">
        <v>21</v>
      </c>
      <c r="D212" t="s">
        <v>11</v>
      </c>
      <c r="E212">
        <v>0.621</v>
      </c>
      <c r="F212" t="s">
        <v>6</v>
      </c>
      <c r="G212">
        <v>0.89700000000000002</v>
      </c>
      <c r="H212">
        <f t="shared" si="12"/>
        <v>0.44444444444444448</v>
      </c>
      <c r="I212">
        <f t="shared" si="13"/>
        <v>4.3854107978456821E-5</v>
      </c>
      <c r="J212">
        <f t="shared" si="14"/>
        <v>43.854107978456824</v>
      </c>
      <c r="K212">
        <v>2061.8515625</v>
      </c>
      <c r="L212">
        <f t="shared" si="15"/>
        <v>9.0420661057424923</v>
      </c>
    </row>
    <row r="213" spans="1:12" x14ac:dyDescent="0.35">
      <c r="A213" s="6">
        <v>44806</v>
      </c>
      <c r="B213" s="3">
        <v>0</v>
      </c>
      <c r="C213" t="s">
        <v>18</v>
      </c>
      <c r="D213" t="s">
        <v>34</v>
      </c>
      <c r="E213">
        <v>0.89700000000000002</v>
      </c>
      <c r="F213" t="s">
        <v>6</v>
      </c>
      <c r="G213">
        <f>MAX(E213:E239)</f>
        <v>0.94399999999999995</v>
      </c>
      <c r="H213">
        <f t="shared" si="12"/>
        <v>5.2396878483834924E-2</v>
      </c>
      <c r="I213">
        <f t="shared" si="13"/>
        <v>3.1550912711448366E-6</v>
      </c>
      <c r="J213">
        <f t="shared" si="14"/>
        <v>3.1550912711448365</v>
      </c>
      <c r="K213">
        <v>2964.2404625000004</v>
      </c>
      <c r="L213">
        <f t="shared" si="15"/>
        <v>0.93524492088080835</v>
      </c>
    </row>
    <row r="214" spans="1:12" x14ac:dyDescent="0.35">
      <c r="A214" s="6">
        <v>44806</v>
      </c>
      <c r="B214" s="3">
        <v>2.0833333333333332E-2</v>
      </c>
      <c r="C214" t="s">
        <v>18</v>
      </c>
      <c r="D214" t="s">
        <v>34</v>
      </c>
      <c r="E214">
        <v>0.90500000000000003</v>
      </c>
      <c r="F214" t="s">
        <v>6</v>
      </c>
      <c r="G214">
        <v>0.94399999999999995</v>
      </c>
      <c r="H214">
        <f t="shared" si="12"/>
        <v>4.3093922651933618E-2</v>
      </c>
      <c r="I214">
        <f t="shared" si="13"/>
        <v>2.4803507057864919E-6</v>
      </c>
      <c r="J214">
        <f t="shared" si="14"/>
        <v>2.480350705786492</v>
      </c>
      <c r="K214">
        <v>2964.2404625000004</v>
      </c>
      <c r="L214">
        <f t="shared" si="15"/>
        <v>0.73523559232827529</v>
      </c>
    </row>
    <row r="215" spans="1:12" x14ac:dyDescent="0.35">
      <c r="A215" s="6">
        <v>44806</v>
      </c>
      <c r="B215" s="3">
        <v>4.1666666666666664E-2</v>
      </c>
      <c r="C215" t="s">
        <v>18</v>
      </c>
      <c r="D215" t="s">
        <v>34</v>
      </c>
      <c r="E215">
        <v>0.91</v>
      </c>
      <c r="F215" t="s">
        <v>6</v>
      </c>
      <c r="G215">
        <v>0.94399999999999995</v>
      </c>
      <c r="H215">
        <f t="shared" si="12"/>
        <v>3.7362637362637272E-2</v>
      </c>
      <c r="I215">
        <f t="shared" si="13"/>
        <v>2.0807387458197344E-6</v>
      </c>
      <c r="J215">
        <f t="shared" si="14"/>
        <v>2.0807387458197346</v>
      </c>
      <c r="K215">
        <v>2964.2404625000004</v>
      </c>
      <c r="L215">
        <f t="shared" si="15"/>
        <v>0.61678099822503607</v>
      </c>
    </row>
    <row r="216" spans="1:12" x14ac:dyDescent="0.35">
      <c r="A216" s="6">
        <v>44806</v>
      </c>
      <c r="B216" s="3">
        <v>6.25E-2</v>
      </c>
      <c r="C216" t="s">
        <v>18</v>
      </c>
      <c r="D216" t="s">
        <v>34</v>
      </c>
      <c r="E216">
        <v>0.91400000000000003</v>
      </c>
      <c r="F216" t="s">
        <v>6</v>
      </c>
      <c r="G216">
        <v>0.94399999999999995</v>
      </c>
      <c r="H216">
        <f t="shared" si="12"/>
        <v>3.2822757111597281E-2</v>
      </c>
      <c r="I216">
        <f t="shared" si="13"/>
        <v>1.7740197848053272E-6</v>
      </c>
      <c r="J216">
        <f t="shared" si="14"/>
        <v>1.7740197848053272</v>
      </c>
      <c r="K216">
        <v>2964.2404625000004</v>
      </c>
      <c r="L216">
        <f t="shared" si="15"/>
        <v>0.52586212273954935</v>
      </c>
    </row>
    <row r="217" spans="1:12" x14ac:dyDescent="0.35">
      <c r="A217" s="6">
        <v>44806</v>
      </c>
      <c r="B217" s="3">
        <v>8.3333333333333329E-2</v>
      </c>
      <c r="C217" t="s">
        <v>18</v>
      </c>
      <c r="D217" t="s">
        <v>34</v>
      </c>
      <c r="E217">
        <v>0.91700000000000004</v>
      </c>
      <c r="F217" t="s">
        <v>6</v>
      </c>
      <c r="G217">
        <v>0.94399999999999995</v>
      </c>
      <c r="H217">
        <f t="shared" si="12"/>
        <v>2.9443838604143853E-2</v>
      </c>
      <c r="I217">
        <f t="shared" si="13"/>
        <v>1.5519549228986269E-6</v>
      </c>
      <c r="J217">
        <f t="shared" si="14"/>
        <v>1.5519549228986269</v>
      </c>
      <c r="K217">
        <v>2964.2404625000004</v>
      </c>
      <c r="L217">
        <f t="shared" si="15"/>
        <v>0.46003675784321779</v>
      </c>
    </row>
    <row r="218" spans="1:12" x14ac:dyDescent="0.35">
      <c r="A218" s="6">
        <v>44806</v>
      </c>
      <c r="B218" s="3">
        <v>0.10416666666666667</v>
      </c>
      <c r="C218" t="s">
        <v>18</v>
      </c>
      <c r="D218" t="s">
        <v>34</v>
      </c>
      <c r="E218">
        <v>0.92</v>
      </c>
      <c r="F218" t="s">
        <v>6</v>
      </c>
      <c r="G218">
        <v>0.94399999999999995</v>
      </c>
      <c r="H218">
        <f t="shared" si="12"/>
        <v>2.6086956521739032E-2</v>
      </c>
      <c r="I218">
        <f t="shared" si="13"/>
        <v>1.3371009103091198E-6</v>
      </c>
      <c r="J218">
        <f t="shared" si="14"/>
        <v>1.3371009103091198</v>
      </c>
      <c r="K218">
        <v>2964.2404625000004</v>
      </c>
      <c r="L218">
        <f t="shared" si="15"/>
        <v>0.39634886207838765</v>
      </c>
    </row>
    <row r="219" spans="1:12" x14ac:dyDescent="0.35">
      <c r="A219" s="6">
        <v>44806</v>
      </c>
      <c r="B219" s="3">
        <v>0.125</v>
      </c>
      <c r="C219" t="s">
        <v>18</v>
      </c>
      <c r="D219" t="s">
        <v>34</v>
      </c>
      <c r="E219">
        <v>0.92100000000000004</v>
      </c>
      <c r="F219" t="s">
        <v>6</v>
      </c>
      <c r="G219">
        <v>0.94399999999999995</v>
      </c>
      <c r="H219">
        <f t="shared" si="12"/>
        <v>2.4972855591748E-2</v>
      </c>
      <c r="I219">
        <f t="shared" si="13"/>
        <v>1.2671566957157863E-6</v>
      </c>
      <c r="J219">
        <f t="shared" si="14"/>
        <v>1.2671566957157863</v>
      </c>
      <c r="K219">
        <v>2964.2404625000004</v>
      </c>
      <c r="L219">
        <f t="shared" si="15"/>
        <v>0.37561571497685342</v>
      </c>
    </row>
    <row r="220" spans="1:12" x14ac:dyDescent="0.35">
      <c r="A220" s="6">
        <v>44806</v>
      </c>
      <c r="B220" s="3">
        <v>0.14583333333333334</v>
      </c>
      <c r="C220" t="s">
        <v>18</v>
      </c>
      <c r="D220" t="s">
        <v>34</v>
      </c>
      <c r="E220">
        <v>0.92400000000000004</v>
      </c>
      <c r="F220" t="s">
        <v>6</v>
      </c>
      <c r="G220">
        <v>0.94399999999999995</v>
      </c>
      <c r="H220">
        <f t="shared" si="12"/>
        <v>2.1645021645021544E-2</v>
      </c>
      <c r="I220">
        <f t="shared" si="13"/>
        <v>1.0626070414812894E-6</v>
      </c>
      <c r="J220">
        <f t="shared" si="14"/>
        <v>1.0626070414812894</v>
      </c>
      <c r="K220">
        <v>2964.2404625000004</v>
      </c>
      <c r="L220">
        <f t="shared" si="15"/>
        <v>0.31498227880962543</v>
      </c>
    </row>
    <row r="221" spans="1:12" x14ac:dyDescent="0.35">
      <c r="A221" s="6">
        <v>44806</v>
      </c>
      <c r="B221" s="3">
        <v>0.16666666666666666</v>
      </c>
      <c r="C221" t="s">
        <v>18</v>
      </c>
      <c r="D221" t="s">
        <v>34</v>
      </c>
      <c r="E221">
        <v>0.92500000000000004</v>
      </c>
      <c r="F221" t="s">
        <v>6</v>
      </c>
      <c r="G221">
        <v>0.94399999999999995</v>
      </c>
      <c r="H221">
        <f t="shared" si="12"/>
        <v>2.0540540540540438E-2</v>
      </c>
      <c r="I221">
        <f t="shared" si="13"/>
        <v>9.9625880137496099E-7</v>
      </c>
      <c r="J221">
        <f t="shared" si="14"/>
        <v>0.99625880137496103</v>
      </c>
      <c r="K221">
        <v>2964.2404625000004</v>
      </c>
      <c r="L221">
        <f t="shared" si="15"/>
        <v>0.29531506501574101</v>
      </c>
    </row>
    <row r="222" spans="1:12" x14ac:dyDescent="0.35">
      <c r="A222" s="6">
        <v>44806</v>
      </c>
      <c r="B222" s="3">
        <v>0.1875</v>
      </c>
      <c r="C222" t="s">
        <v>18</v>
      </c>
      <c r="D222" t="s">
        <v>34</v>
      </c>
      <c r="E222">
        <v>0.92500000000000004</v>
      </c>
      <c r="F222" t="s">
        <v>6</v>
      </c>
      <c r="G222">
        <v>0.94399999999999995</v>
      </c>
      <c r="H222">
        <f t="shared" si="12"/>
        <v>2.0540540540540438E-2</v>
      </c>
      <c r="I222">
        <f t="shared" si="13"/>
        <v>9.9625880137496099E-7</v>
      </c>
      <c r="J222">
        <f t="shared" si="14"/>
        <v>0.99625880137496103</v>
      </c>
      <c r="K222">
        <v>2964.2404625000004</v>
      </c>
      <c r="L222">
        <f t="shared" si="15"/>
        <v>0.29531506501574101</v>
      </c>
    </row>
    <row r="223" spans="1:12" x14ac:dyDescent="0.35">
      <c r="A223" s="6">
        <v>44806</v>
      </c>
      <c r="B223" s="3">
        <v>0.20833333333333334</v>
      </c>
      <c r="C223" t="s">
        <v>18</v>
      </c>
      <c r="D223" t="s">
        <v>34</v>
      </c>
      <c r="E223">
        <v>0.92600000000000005</v>
      </c>
      <c r="F223" t="s">
        <v>6</v>
      </c>
      <c r="G223">
        <v>0.94399999999999995</v>
      </c>
      <c r="H223">
        <f t="shared" si="12"/>
        <v>1.9438444924405943E-2</v>
      </c>
      <c r="I223">
        <f t="shared" si="13"/>
        <v>9.3087054966815531E-7</v>
      </c>
      <c r="J223">
        <f t="shared" si="14"/>
        <v>0.9308705496681553</v>
      </c>
      <c r="K223">
        <v>2964.2404625000004</v>
      </c>
      <c r="L223">
        <f t="shared" si="15"/>
        <v>0.27593241486759623</v>
      </c>
    </row>
    <row r="224" spans="1:12" x14ac:dyDescent="0.35">
      <c r="A224" s="6">
        <v>44806</v>
      </c>
      <c r="B224" s="3">
        <v>0.22916666666666666</v>
      </c>
      <c r="C224" t="s">
        <v>18</v>
      </c>
      <c r="D224" t="s">
        <v>34</v>
      </c>
      <c r="E224">
        <v>0.92600000000000005</v>
      </c>
      <c r="F224" t="s">
        <v>6</v>
      </c>
      <c r="G224">
        <v>0.94399999999999995</v>
      </c>
      <c r="H224">
        <f t="shared" si="12"/>
        <v>1.9438444924405943E-2</v>
      </c>
      <c r="I224">
        <f t="shared" si="13"/>
        <v>9.3087054966815531E-7</v>
      </c>
      <c r="J224">
        <f t="shared" si="14"/>
        <v>0.9308705496681553</v>
      </c>
      <c r="K224">
        <v>2964.2404625000004</v>
      </c>
      <c r="L224">
        <f t="shared" si="15"/>
        <v>0.27593241486759623</v>
      </c>
    </row>
    <row r="225" spans="1:12" x14ac:dyDescent="0.35">
      <c r="A225" s="6">
        <v>44806</v>
      </c>
      <c r="B225" s="3">
        <v>0.33333333333333331</v>
      </c>
      <c r="C225" t="s">
        <v>18</v>
      </c>
      <c r="D225" t="s">
        <v>34</v>
      </c>
      <c r="E225">
        <v>0.93700000000000006</v>
      </c>
      <c r="F225" t="s">
        <v>6</v>
      </c>
      <c r="G225">
        <v>0.94399999999999995</v>
      </c>
      <c r="H225">
        <f t="shared" si="12"/>
        <v>7.4706510138739541E-3</v>
      </c>
      <c r="I225">
        <f t="shared" si="13"/>
        <v>2.8684759451391391E-7</v>
      </c>
      <c r="J225">
        <f t="shared" si="14"/>
        <v>0.28684759451391389</v>
      </c>
      <c r="K225">
        <v>2964.2404625000004</v>
      </c>
      <c r="L225">
        <f t="shared" si="15"/>
        <v>8.5028524622893661E-2</v>
      </c>
    </row>
    <row r="226" spans="1:12" x14ac:dyDescent="0.35">
      <c r="A226" s="6">
        <v>44806</v>
      </c>
      <c r="B226" s="3">
        <v>0.35416666666666669</v>
      </c>
      <c r="C226" t="s">
        <v>18</v>
      </c>
      <c r="D226" t="s">
        <v>34</v>
      </c>
      <c r="E226">
        <v>0.94</v>
      </c>
      <c r="F226" t="s">
        <v>6</v>
      </c>
      <c r="G226">
        <v>0.94399999999999995</v>
      </c>
      <c r="H226">
        <f t="shared" si="12"/>
        <v>4.2553191489361746E-3</v>
      </c>
      <c r="I226">
        <f t="shared" si="13"/>
        <v>1.4347043759448404E-7</v>
      </c>
      <c r="J226">
        <f t="shared" si="14"/>
        <v>0.14347043759448402</v>
      </c>
      <c r="K226">
        <v>2964.2404625000004</v>
      </c>
      <c r="L226">
        <f t="shared" si="15"/>
        <v>4.2528087629015075E-2</v>
      </c>
    </row>
    <row r="227" spans="1:12" x14ac:dyDescent="0.35">
      <c r="A227" s="6">
        <v>44806</v>
      </c>
      <c r="B227" s="3">
        <v>0.375</v>
      </c>
      <c r="C227" t="s">
        <v>18</v>
      </c>
      <c r="D227" t="s">
        <v>34</v>
      </c>
      <c r="E227">
        <v>0.94399999999999995</v>
      </c>
      <c r="F227" t="s">
        <v>6</v>
      </c>
      <c r="G227">
        <v>0.94399999999999995</v>
      </c>
      <c r="H227">
        <f t="shared" si="12"/>
        <v>0</v>
      </c>
      <c r="I227">
        <f t="shared" si="13"/>
        <v>0</v>
      </c>
      <c r="J227">
        <f t="shared" si="14"/>
        <v>0</v>
      </c>
      <c r="K227">
        <v>2964.2404625000004</v>
      </c>
      <c r="L227">
        <f t="shared" si="15"/>
        <v>0</v>
      </c>
    </row>
    <row r="228" spans="1:12" x14ac:dyDescent="0.35">
      <c r="A228" s="6">
        <v>44806</v>
      </c>
      <c r="B228" s="3">
        <v>0.39583333333333331</v>
      </c>
      <c r="C228" t="s">
        <v>18</v>
      </c>
      <c r="D228" t="s">
        <v>34</v>
      </c>
      <c r="E228">
        <v>0.94399999999999995</v>
      </c>
      <c r="F228" t="s">
        <v>6</v>
      </c>
      <c r="G228">
        <v>0.94399999999999995</v>
      </c>
      <c r="H228">
        <f t="shared" si="12"/>
        <v>0</v>
      </c>
      <c r="I228">
        <f t="shared" si="13"/>
        <v>0</v>
      </c>
      <c r="J228">
        <f t="shared" si="14"/>
        <v>0</v>
      </c>
      <c r="K228">
        <v>2964.2404625000004</v>
      </c>
      <c r="L228">
        <f t="shared" si="15"/>
        <v>0</v>
      </c>
    </row>
    <row r="229" spans="1:12" x14ac:dyDescent="0.35">
      <c r="A229" s="6">
        <v>44806</v>
      </c>
      <c r="B229" s="3">
        <v>0.41666666666666669</v>
      </c>
      <c r="C229" t="s">
        <v>18</v>
      </c>
      <c r="D229" t="s">
        <v>34</v>
      </c>
      <c r="E229">
        <v>0.94299999999999995</v>
      </c>
      <c r="F229" t="s">
        <v>6</v>
      </c>
      <c r="G229">
        <v>0.94399999999999995</v>
      </c>
      <c r="H229">
        <f t="shared" si="12"/>
        <v>1.0604453870625672E-3</v>
      </c>
      <c r="I229">
        <f t="shared" si="13"/>
        <v>2.5937198612694793E-8</v>
      </c>
      <c r="J229">
        <f t="shared" si="14"/>
        <v>2.5937198612694792E-2</v>
      </c>
      <c r="K229">
        <v>2964.2404625000004</v>
      </c>
      <c r="L229">
        <f t="shared" si="15"/>
        <v>7.6884093611648777E-3</v>
      </c>
    </row>
    <row r="230" spans="1:12" x14ac:dyDescent="0.35">
      <c r="A230" s="6">
        <v>44806</v>
      </c>
      <c r="B230" s="3">
        <v>0.4375</v>
      </c>
      <c r="C230" t="s">
        <v>18</v>
      </c>
      <c r="D230" t="s">
        <v>34</v>
      </c>
      <c r="E230">
        <v>0.94</v>
      </c>
      <c r="F230" t="s">
        <v>6</v>
      </c>
      <c r="G230">
        <v>0.94399999999999995</v>
      </c>
      <c r="H230">
        <f t="shared" si="12"/>
        <v>4.2553191489361746E-3</v>
      </c>
      <c r="I230">
        <f t="shared" si="13"/>
        <v>1.4347043759448404E-7</v>
      </c>
      <c r="J230">
        <f t="shared" si="14"/>
        <v>0.14347043759448402</v>
      </c>
      <c r="K230">
        <v>2964.2404625000004</v>
      </c>
      <c r="L230">
        <f t="shared" si="15"/>
        <v>4.2528087629015075E-2</v>
      </c>
    </row>
    <row r="231" spans="1:12" x14ac:dyDescent="0.35">
      <c r="A231" s="6">
        <v>44806</v>
      </c>
      <c r="B231" s="3">
        <v>0.45833333333333331</v>
      </c>
      <c r="C231" t="s">
        <v>18</v>
      </c>
      <c r="D231" t="s">
        <v>34</v>
      </c>
      <c r="E231">
        <v>0.93700000000000006</v>
      </c>
      <c r="F231" t="s">
        <v>6</v>
      </c>
      <c r="G231">
        <v>0.94399999999999995</v>
      </c>
      <c r="H231">
        <f t="shared" si="12"/>
        <v>7.4706510138739541E-3</v>
      </c>
      <c r="I231">
        <f t="shared" si="13"/>
        <v>2.8684759451391391E-7</v>
      </c>
      <c r="J231">
        <f t="shared" si="14"/>
        <v>0.28684759451391389</v>
      </c>
      <c r="K231">
        <v>2964.2404625000004</v>
      </c>
      <c r="L231">
        <f t="shared" si="15"/>
        <v>8.5028524622893661E-2</v>
      </c>
    </row>
    <row r="232" spans="1:12" x14ac:dyDescent="0.35">
      <c r="A232" s="6">
        <v>44806</v>
      </c>
      <c r="B232" s="3">
        <v>0.47916666666666669</v>
      </c>
      <c r="C232" t="s">
        <v>18</v>
      </c>
      <c r="D232" t="s">
        <v>34</v>
      </c>
      <c r="E232">
        <v>0.93400000000000005</v>
      </c>
      <c r="F232" t="s">
        <v>6</v>
      </c>
      <c r="G232">
        <v>0.94399999999999995</v>
      </c>
      <c r="H232">
        <f t="shared" si="12"/>
        <v>1.0706638115631582E-2</v>
      </c>
      <c r="I232">
        <f t="shared" si="13"/>
        <v>4.4673497697490647E-7</v>
      </c>
      <c r="J232">
        <f t="shared" si="14"/>
        <v>0.44673497697490649</v>
      </c>
      <c r="K232">
        <v>2964.2404625000004</v>
      </c>
      <c r="L232">
        <f t="shared" si="15"/>
        <v>0.13242298947630238</v>
      </c>
    </row>
    <row r="233" spans="1:12" x14ac:dyDescent="0.35">
      <c r="A233" s="6">
        <v>44806</v>
      </c>
      <c r="B233" s="3">
        <v>0.5625</v>
      </c>
      <c r="C233" t="s">
        <v>18</v>
      </c>
      <c r="D233" t="s">
        <v>34</v>
      </c>
      <c r="E233">
        <v>0.91</v>
      </c>
      <c r="F233" t="s">
        <v>6</v>
      </c>
      <c r="G233">
        <v>0.94399999999999995</v>
      </c>
      <c r="H233">
        <f t="shared" si="12"/>
        <v>3.7362637362637272E-2</v>
      </c>
      <c r="I233">
        <f t="shared" si="13"/>
        <v>2.0807387458197344E-6</v>
      </c>
      <c r="J233">
        <f t="shared" si="14"/>
        <v>2.0807387458197346</v>
      </c>
      <c r="K233">
        <v>2964.2404625000004</v>
      </c>
      <c r="L233">
        <f t="shared" si="15"/>
        <v>0.61678099822503607</v>
      </c>
    </row>
    <row r="234" spans="1:12" x14ac:dyDescent="0.35">
      <c r="A234" s="6">
        <v>44806</v>
      </c>
      <c r="B234" s="3">
        <v>0.58333333333333337</v>
      </c>
      <c r="C234" t="s">
        <v>18</v>
      </c>
      <c r="D234" t="s">
        <v>34</v>
      </c>
      <c r="E234">
        <v>0.91300000000000003</v>
      </c>
      <c r="F234" t="s">
        <v>6</v>
      </c>
      <c r="G234">
        <v>0.94399999999999995</v>
      </c>
      <c r="H234">
        <f t="shared" si="12"/>
        <v>3.3953997809419406E-2</v>
      </c>
      <c r="I234">
        <f t="shared" si="13"/>
        <v>1.8495823795447671E-6</v>
      </c>
      <c r="J234">
        <f t="shared" si="14"/>
        <v>1.849582379544767</v>
      </c>
      <c r="K234">
        <v>2964.2404625000004</v>
      </c>
      <c r="L234">
        <f t="shared" si="15"/>
        <v>0.54826069281736312</v>
      </c>
    </row>
    <row r="235" spans="1:12" x14ac:dyDescent="0.35">
      <c r="A235" s="6">
        <v>44806</v>
      </c>
      <c r="B235" s="3">
        <v>0.60416666666666663</v>
      </c>
      <c r="C235" t="s">
        <v>18</v>
      </c>
      <c r="D235" t="s">
        <v>34</v>
      </c>
      <c r="E235">
        <v>0.90900000000000003</v>
      </c>
      <c r="F235" t="s">
        <v>6</v>
      </c>
      <c r="G235">
        <v>0.94399999999999995</v>
      </c>
      <c r="H235">
        <f t="shared" si="12"/>
        <v>3.8503850385038417E-2</v>
      </c>
      <c r="I235">
        <f t="shared" si="13"/>
        <v>2.1592482870552604E-6</v>
      </c>
      <c r="J235">
        <f t="shared" si="14"/>
        <v>2.1592482870552603</v>
      </c>
      <c r="K235">
        <v>2964.2404625000004</v>
      </c>
      <c r="L235">
        <f t="shared" si="15"/>
        <v>0.64005311410730181</v>
      </c>
    </row>
    <row r="236" spans="1:12" x14ac:dyDescent="0.35">
      <c r="A236" s="6">
        <v>44806</v>
      </c>
      <c r="B236" s="3">
        <v>0.625</v>
      </c>
      <c r="C236" t="s">
        <v>18</v>
      </c>
      <c r="D236" t="s">
        <v>34</v>
      </c>
      <c r="E236">
        <v>0.9</v>
      </c>
      <c r="F236" t="s">
        <v>6</v>
      </c>
      <c r="G236">
        <v>0.94399999999999995</v>
      </c>
      <c r="H236">
        <f t="shared" si="12"/>
        <v>4.8888888888888808E-2</v>
      </c>
      <c r="I236">
        <f t="shared" si="13"/>
        <v>2.8971079443047686E-6</v>
      </c>
      <c r="J236">
        <f t="shared" si="14"/>
        <v>2.8971079443047687</v>
      </c>
      <c r="K236">
        <v>2964.2404625000004</v>
      </c>
      <c r="L236">
        <f t="shared" si="15"/>
        <v>0.85877245927383927</v>
      </c>
    </row>
    <row r="237" spans="1:12" x14ac:dyDescent="0.35">
      <c r="A237" s="6">
        <v>44806</v>
      </c>
      <c r="B237" s="3">
        <v>0.64583333333333337</v>
      </c>
      <c r="C237" t="s">
        <v>18</v>
      </c>
      <c r="D237" t="s">
        <v>34</v>
      </c>
      <c r="E237">
        <v>0.88700000000000001</v>
      </c>
      <c r="F237" t="s">
        <v>6</v>
      </c>
      <c r="G237">
        <v>0.94399999999999995</v>
      </c>
      <c r="H237">
        <f t="shared" si="12"/>
        <v>6.4261555806087861E-2</v>
      </c>
      <c r="I237">
        <f t="shared" si="13"/>
        <v>4.0563454411259729E-6</v>
      </c>
      <c r="J237">
        <f t="shared" si="14"/>
        <v>4.0563454411259725</v>
      </c>
      <c r="K237">
        <v>2964.2404625000004</v>
      </c>
      <c r="L237">
        <f t="shared" si="15"/>
        <v>1.202398328646302</v>
      </c>
    </row>
    <row r="238" spans="1:12" x14ac:dyDescent="0.35">
      <c r="A238" s="6">
        <v>44806</v>
      </c>
      <c r="B238" s="3">
        <v>0.66666666666666663</v>
      </c>
      <c r="C238" t="s">
        <v>18</v>
      </c>
      <c r="D238" t="s">
        <v>34</v>
      </c>
      <c r="E238">
        <v>0.89100000000000001</v>
      </c>
      <c r="F238" t="s">
        <v>6</v>
      </c>
      <c r="G238">
        <v>0.94399999999999995</v>
      </c>
      <c r="H238">
        <f t="shared" si="12"/>
        <v>5.9483726150392748E-2</v>
      </c>
      <c r="I238">
        <f t="shared" si="13"/>
        <v>3.6883413135775322E-6</v>
      </c>
      <c r="J238">
        <f t="shared" si="14"/>
        <v>3.6883413135775323</v>
      </c>
      <c r="K238">
        <v>2964.2404625000004</v>
      </c>
      <c r="L238">
        <f t="shared" si="15"/>
        <v>1.0933130561216922</v>
      </c>
    </row>
    <row r="239" spans="1:12" x14ac:dyDescent="0.35">
      <c r="A239" s="6">
        <v>44806</v>
      </c>
      <c r="B239" s="3">
        <v>0</v>
      </c>
      <c r="C239" t="s">
        <v>22</v>
      </c>
      <c r="D239" t="s">
        <v>7</v>
      </c>
      <c r="E239">
        <v>0.69399999999999995</v>
      </c>
      <c r="F239" t="s">
        <v>6</v>
      </c>
      <c r="G239">
        <f>MAX(E239:E265)</f>
        <v>0.80300000000000005</v>
      </c>
      <c r="H239">
        <f t="shared" si="12"/>
        <v>0.15706051873198862</v>
      </c>
      <c r="I239">
        <f t="shared" si="13"/>
        <v>1.2187243046672132E-5</v>
      </c>
      <c r="J239">
        <f t="shared" si="14"/>
        <v>12.187243046672132</v>
      </c>
      <c r="K239">
        <v>7348.0415625000005</v>
      </c>
      <c r="L239">
        <f t="shared" si="15"/>
        <v>8.9552368439235952</v>
      </c>
    </row>
    <row r="240" spans="1:12" x14ac:dyDescent="0.35">
      <c r="A240" s="6">
        <v>44806</v>
      </c>
      <c r="B240" s="3">
        <v>2.0833333333333332E-2</v>
      </c>
      <c r="C240" t="s">
        <v>22</v>
      </c>
      <c r="D240" t="s">
        <v>7</v>
      </c>
      <c r="E240">
        <v>0.70299999999999996</v>
      </c>
      <c r="F240" t="s">
        <v>6</v>
      </c>
      <c r="G240">
        <v>0.80300000000000005</v>
      </c>
      <c r="H240">
        <f t="shared" si="12"/>
        <v>0.14224751066856345</v>
      </c>
      <c r="I240">
        <f t="shared" si="13"/>
        <v>1.078809982146398E-5</v>
      </c>
      <c r="J240">
        <f t="shared" si="14"/>
        <v>10.78809982146398</v>
      </c>
      <c r="K240">
        <v>7348.0415625000005</v>
      </c>
      <c r="L240">
        <f t="shared" si="15"/>
        <v>7.9271405868516167</v>
      </c>
    </row>
    <row r="241" spans="1:12" x14ac:dyDescent="0.35">
      <c r="A241" s="6">
        <v>44806</v>
      </c>
      <c r="B241" s="3">
        <v>4.1666666666666664E-2</v>
      </c>
      <c r="C241" t="s">
        <v>22</v>
      </c>
      <c r="D241" t="s">
        <v>7</v>
      </c>
      <c r="E241">
        <v>0.70899999999999996</v>
      </c>
      <c r="F241" t="s">
        <v>6</v>
      </c>
      <c r="G241">
        <v>0.80300000000000005</v>
      </c>
      <c r="H241">
        <f t="shared" si="12"/>
        <v>0.13258110014104385</v>
      </c>
      <c r="I241">
        <f t="shared" si="13"/>
        <v>9.8928593283153771E-6</v>
      </c>
      <c r="J241">
        <f t="shared" si="14"/>
        <v>9.8928593283153763</v>
      </c>
      <c r="K241">
        <v>7348.0415625000005</v>
      </c>
      <c r="L241">
        <f t="shared" si="15"/>
        <v>7.269314151642722</v>
      </c>
    </row>
    <row r="242" spans="1:12" x14ac:dyDescent="0.35">
      <c r="A242" s="6">
        <v>44806</v>
      </c>
      <c r="B242" s="3">
        <v>6.25E-2</v>
      </c>
      <c r="C242" t="s">
        <v>22</v>
      </c>
      <c r="D242" t="s">
        <v>7</v>
      </c>
      <c r="E242">
        <v>0.71399999999999997</v>
      </c>
      <c r="F242" t="s">
        <v>6</v>
      </c>
      <c r="G242">
        <v>0.80300000000000005</v>
      </c>
      <c r="H242">
        <f t="shared" si="12"/>
        <v>0.1246498599439777</v>
      </c>
      <c r="I242">
        <f t="shared" si="13"/>
        <v>9.1694557889681673E-6</v>
      </c>
      <c r="J242">
        <f t="shared" si="14"/>
        <v>9.1694557889681665</v>
      </c>
      <c r="K242">
        <v>7348.0415625000005</v>
      </c>
      <c r="L242">
        <f t="shared" si="15"/>
        <v>6.7377542242844326</v>
      </c>
    </row>
    <row r="243" spans="1:12" x14ac:dyDescent="0.35">
      <c r="A243" s="6">
        <v>44806</v>
      </c>
      <c r="B243" s="3">
        <v>8.3333333333333329E-2</v>
      </c>
      <c r="C243" t="s">
        <v>22</v>
      </c>
      <c r="D243" t="s">
        <v>7</v>
      </c>
      <c r="E243">
        <v>0.71799999999999997</v>
      </c>
      <c r="F243" t="s">
        <v>6</v>
      </c>
      <c r="G243">
        <v>0.80300000000000005</v>
      </c>
      <c r="H243">
        <f t="shared" si="12"/>
        <v>0.11838440111420624</v>
      </c>
      <c r="I243">
        <f t="shared" si="13"/>
        <v>8.6054278571675266E-6</v>
      </c>
      <c r="J243">
        <f t="shared" si="14"/>
        <v>8.6054278571675269</v>
      </c>
      <c r="K243">
        <v>7348.0415625000005</v>
      </c>
      <c r="L243">
        <f t="shared" si="15"/>
        <v>6.3233041557562304</v>
      </c>
    </row>
    <row r="244" spans="1:12" x14ac:dyDescent="0.35">
      <c r="A244" s="6">
        <v>44806</v>
      </c>
      <c r="B244" s="3">
        <v>0.10416666666666667</v>
      </c>
      <c r="C244" t="s">
        <v>22</v>
      </c>
      <c r="D244" t="s">
        <v>7</v>
      </c>
      <c r="E244">
        <v>0.72099999999999997</v>
      </c>
      <c r="F244" t="s">
        <v>6</v>
      </c>
      <c r="G244">
        <v>0.80300000000000005</v>
      </c>
      <c r="H244">
        <f t="shared" si="12"/>
        <v>0.11373092926490995</v>
      </c>
      <c r="I244">
        <f t="shared" si="13"/>
        <v>8.1909354384859994E-6</v>
      </c>
      <c r="J244">
        <f t="shared" si="14"/>
        <v>8.1909354384859991</v>
      </c>
      <c r="K244">
        <v>7348.0415625000005</v>
      </c>
      <c r="L244">
        <f t="shared" si="15"/>
        <v>6.0187334037749292</v>
      </c>
    </row>
    <row r="245" spans="1:12" x14ac:dyDescent="0.35">
      <c r="A245" s="6">
        <v>44806</v>
      </c>
      <c r="B245" s="3">
        <v>0.125</v>
      </c>
      <c r="C245" t="s">
        <v>22</v>
      </c>
      <c r="D245" t="s">
        <v>7</v>
      </c>
      <c r="E245">
        <v>0.72299999999999998</v>
      </c>
      <c r="F245" t="s">
        <v>6</v>
      </c>
      <c r="G245">
        <v>0.80300000000000005</v>
      </c>
      <c r="H245">
        <f t="shared" si="12"/>
        <v>0.11065006915629333</v>
      </c>
      <c r="I245">
        <f t="shared" si="13"/>
        <v>7.9186562649674326E-6</v>
      </c>
      <c r="J245">
        <f t="shared" si="14"/>
        <v>7.9186562649674324</v>
      </c>
      <c r="K245">
        <v>7348.0415625000005</v>
      </c>
      <c r="L245">
        <f t="shared" si="15"/>
        <v>5.8186615354131712</v>
      </c>
    </row>
    <row r="246" spans="1:12" x14ac:dyDescent="0.35">
      <c r="A246" s="6">
        <v>44806</v>
      </c>
      <c r="B246" s="3">
        <v>0.14583333333333334</v>
      </c>
      <c r="C246" t="s">
        <v>22</v>
      </c>
      <c r="D246" t="s">
        <v>7</v>
      </c>
      <c r="E246">
        <v>0.72499999999999998</v>
      </c>
      <c r="F246" t="s">
        <v>6</v>
      </c>
      <c r="G246">
        <v>0.80300000000000005</v>
      </c>
      <c r="H246">
        <f t="shared" si="12"/>
        <v>0.10758620689655182</v>
      </c>
      <c r="I246">
        <f t="shared" si="13"/>
        <v>7.6496106539924948E-6</v>
      </c>
      <c r="J246">
        <f t="shared" si="14"/>
        <v>7.6496106539924948</v>
      </c>
      <c r="K246">
        <v>7348.0415625000005</v>
      </c>
      <c r="L246">
        <f t="shared" si="15"/>
        <v>5.6209657022479664</v>
      </c>
    </row>
    <row r="247" spans="1:12" x14ac:dyDescent="0.35">
      <c r="A247" s="6">
        <v>44806</v>
      </c>
      <c r="B247" s="3">
        <v>0.16666666666666666</v>
      </c>
      <c r="C247" t="s">
        <v>22</v>
      </c>
      <c r="D247" t="s">
        <v>7</v>
      </c>
      <c r="E247">
        <v>0.72599999999999998</v>
      </c>
      <c r="F247" t="s">
        <v>6</v>
      </c>
      <c r="G247">
        <v>0.80300000000000005</v>
      </c>
      <c r="H247">
        <f t="shared" si="12"/>
        <v>0.10606060606060616</v>
      </c>
      <c r="I247">
        <f t="shared" si="13"/>
        <v>7.5162992751365201E-6</v>
      </c>
      <c r="J247">
        <f t="shared" si="14"/>
        <v>7.5162992751365199</v>
      </c>
      <c r="K247">
        <v>7348.0415625000005</v>
      </c>
      <c r="L247">
        <f t="shared" si="15"/>
        <v>5.5230079469891775</v>
      </c>
    </row>
    <row r="248" spans="1:12" x14ac:dyDescent="0.35">
      <c r="A248" s="6">
        <v>44806</v>
      </c>
      <c r="B248" s="3">
        <v>0.1875</v>
      </c>
      <c r="C248" t="s">
        <v>22</v>
      </c>
      <c r="D248" t="s">
        <v>7</v>
      </c>
      <c r="E248">
        <v>0.72799999999999998</v>
      </c>
      <c r="F248" t="s">
        <v>6</v>
      </c>
      <c r="G248">
        <v>0.80300000000000005</v>
      </c>
      <c r="H248">
        <f t="shared" si="12"/>
        <v>0.10302197802197811</v>
      </c>
      <c r="I248">
        <f t="shared" si="13"/>
        <v>7.2520977405909853E-6</v>
      </c>
      <c r="J248">
        <f t="shared" si="14"/>
        <v>7.252097740590985</v>
      </c>
      <c r="K248">
        <v>7348.0415625000005</v>
      </c>
      <c r="L248">
        <f t="shared" si="15"/>
        <v>5.3288715613174906</v>
      </c>
    </row>
    <row r="249" spans="1:12" x14ac:dyDescent="0.35">
      <c r="A249" s="6">
        <v>44806</v>
      </c>
      <c r="B249" s="3">
        <v>0.20833333333333334</v>
      </c>
      <c r="C249" t="s">
        <v>22</v>
      </c>
      <c r="D249" t="s">
        <v>7</v>
      </c>
      <c r="E249">
        <v>0.72899999999999998</v>
      </c>
      <c r="F249" t="s">
        <v>6</v>
      </c>
      <c r="G249">
        <v>0.80300000000000005</v>
      </c>
      <c r="H249">
        <f t="shared" si="12"/>
        <v>0.10150891632373123</v>
      </c>
      <c r="I249">
        <f t="shared" si="13"/>
        <v>7.1212071795592497E-6</v>
      </c>
      <c r="J249">
        <f t="shared" si="14"/>
        <v>7.1212071795592493</v>
      </c>
      <c r="K249">
        <v>7348.0415625000005</v>
      </c>
      <c r="L249">
        <f t="shared" si="15"/>
        <v>5.2326926330574768</v>
      </c>
    </row>
    <row r="250" spans="1:12" x14ac:dyDescent="0.35">
      <c r="A250" s="6">
        <v>44806</v>
      </c>
      <c r="B250" s="3">
        <v>0.22916666666666666</v>
      </c>
      <c r="C250" t="s">
        <v>22</v>
      </c>
      <c r="D250" t="s">
        <v>7</v>
      </c>
      <c r="E250">
        <v>0.73</v>
      </c>
      <c r="F250" t="s">
        <v>6</v>
      </c>
      <c r="G250">
        <v>0.80300000000000005</v>
      </c>
      <c r="H250">
        <f t="shared" si="12"/>
        <v>0.10000000000000009</v>
      </c>
      <c r="I250">
        <f t="shared" si="13"/>
        <v>6.9911232951043453E-6</v>
      </c>
      <c r="J250">
        <f t="shared" si="14"/>
        <v>6.9911232951043454</v>
      </c>
      <c r="K250">
        <v>7348.0415625000005</v>
      </c>
      <c r="L250">
        <f t="shared" si="15"/>
        <v>5.1371064540988689</v>
      </c>
    </row>
    <row r="251" spans="1:12" x14ac:dyDescent="0.35">
      <c r="A251" s="6">
        <v>44806</v>
      </c>
      <c r="B251" s="3">
        <v>0.33333333333333331</v>
      </c>
      <c r="C251" t="s">
        <v>22</v>
      </c>
      <c r="D251" t="s">
        <v>7</v>
      </c>
      <c r="E251">
        <v>0.73899999999999999</v>
      </c>
      <c r="F251" t="s">
        <v>6</v>
      </c>
      <c r="G251">
        <v>0.80300000000000005</v>
      </c>
      <c r="H251">
        <f t="shared" si="12"/>
        <v>8.6603518267929711E-2</v>
      </c>
      <c r="I251">
        <f t="shared" si="13"/>
        <v>5.8567030630883692E-6</v>
      </c>
      <c r="J251">
        <f t="shared" si="14"/>
        <v>5.8567030630883696</v>
      </c>
      <c r="K251">
        <v>7348.0415625000005</v>
      </c>
      <c r="L251">
        <f t="shared" si="15"/>
        <v>4.3035297526794407</v>
      </c>
    </row>
    <row r="252" spans="1:12" x14ac:dyDescent="0.35">
      <c r="A252" s="6">
        <v>44806</v>
      </c>
      <c r="B252" s="3">
        <v>0.35416666666666669</v>
      </c>
      <c r="C252" t="s">
        <v>22</v>
      </c>
      <c r="D252" t="s">
        <v>7</v>
      </c>
      <c r="E252">
        <v>0.745</v>
      </c>
      <c r="F252" t="s">
        <v>6</v>
      </c>
      <c r="G252">
        <v>0.80300000000000005</v>
      </c>
      <c r="H252">
        <f t="shared" si="12"/>
        <v>7.7852348993288661E-2</v>
      </c>
      <c r="I252">
        <f t="shared" si="13"/>
        <v>5.1369158298339755E-6</v>
      </c>
      <c r="J252">
        <f t="shared" si="14"/>
        <v>5.1369158298339759</v>
      </c>
      <c r="K252">
        <v>7348.0415625000005</v>
      </c>
      <c r="L252">
        <f t="shared" si="15"/>
        <v>3.7746271020684237</v>
      </c>
    </row>
    <row r="253" spans="1:12" x14ac:dyDescent="0.35">
      <c r="A253" s="6">
        <v>44806</v>
      </c>
      <c r="B253" s="3">
        <v>0.375</v>
      </c>
      <c r="C253" t="s">
        <v>22</v>
      </c>
      <c r="D253" t="s">
        <v>7</v>
      </c>
      <c r="E253">
        <v>0.752</v>
      </c>
      <c r="F253" t="s">
        <v>6</v>
      </c>
      <c r="G253">
        <v>0.80300000000000005</v>
      </c>
      <c r="H253">
        <f t="shared" si="12"/>
        <v>6.7819148936170276E-2</v>
      </c>
      <c r="I253">
        <f t="shared" si="13"/>
        <v>4.3345267391204221E-6</v>
      </c>
      <c r="J253">
        <f t="shared" si="14"/>
        <v>4.3345267391204221</v>
      </c>
      <c r="K253">
        <v>7348.0415625000005</v>
      </c>
      <c r="L253">
        <f t="shared" si="15"/>
        <v>3.185028263282446</v>
      </c>
    </row>
    <row r="254" spans="1:12" x14ac:dyDescent="0.35">
      <c r="A254" s="6">
        <v>44806</v>
      </c>
      <c r="B254" s="3">
        <v>0.39583333333333331</v>
      </c>
      <c r="C254" t="s">
        <v>22</v>
      </c>
      <c r="D254" t="s">
        <v>7</v>
      </c>
      <c r="E254">
        <v>0.76100000000000001</v>
      </c>
      <c r="F254" t="s">
        <v>6</v>
      </c>
      <c r="G254">
        <v>0.80300000000000005</v>
      </c>
      <c r="H254">
        <f t="shared" si="12"/>
        <v>5.5190538764783227E-2</v>
      </c>
      <c r="I254">
        <f t="shared" si="13"/>
        <v>3.3634294722045166E-6</v>
      </c>
      <c r="J254">
        <f t="shared" si="14"/>
        <v>3.3634294722045164</v>
      </c>
      <c r="K254">
        <v>7348.0415625000005</v>
      </c>
      <c r="L254">
        <f t="shared" si="15"/>
        <v>2.4714619554296227</v>
      </c>
    </row>
    <row r="255" spans="1:12" x14ac:dyDescent="0.35">
      <c r="A255" s="6">
        <v>44806</v>
      </c>
      <c r="B255" s="3">
        <v>0.41666666666666669</v>
      </c>
      <c r="C255" t="s">
        <v>22</v>
      </c>
      <c r="D255" t="s">
        <v>7</v>
      </c>
      <c r="E255">
        <v>0.76800000000000002</v>
      </c>
      <c r="F255" t="s">
        <v>6</v>
      </c>
      <c r="G255">
        <v>0.80300000000000005</v>
      </c>
      <c r="H255">
        <f t="shared" si="12"/>
        <v>4.5572916666666706E-2</v>
      </c>
      <c r="I255">
        <f t="shared" si="13"/>
        <v>2.657143823376821E-6</v>
      </c>
      <c r="J255">
        <f t="shared" si="14"/>
        <v>2.657143823376821</v>
      </c>
      <c r="K255">
        <v>7348.0415625000005</v>
      </c>
      <c r="L255">
        <f t="shared" si="15"/>
        <v>1.9524803251713041</v>
      </c>
    </row>
    <row r="256" spans="1:12" x14ac:dyDescent="0.35">
      <c r="A256" s="6">
        <v>44806</v>
      </c>
      <c r="B256" s="3">
        <v>0.4375</v>
      </c>
      <c r="C256" t="s">
        <v>22</v>
      </c>
      <c r="D256" t="s">
        <v>7</v>
      </c>
      <c r="E256">
        <v>0.77600000000000002</v>
      </c>
      <c r="F256" t="s">
        <v>6</v>
      </c>
      <c r="G256">
        <v>0.80300000000000005</v>
      </c>
      <c r="H256">
        <f t="shared" si="12"/>
        <v>3.479381443298972E-2</v>
      </c>
      <c r="I256">
        <f t="shared" si="13"/>
        <v>1.9060574049820391E-6</v>
      </c>
      <c r="J256">
        <f t="shared" si="14"/>
        <v>1.9060574049820391</v>
      </c>
      <c r="K256">
        <v>7348.0415625000005</v>
      </c>
      <c r="L256">
        <f t="shared" si="15"/>
        <v>1.4005789032318918</v>
      </c>
    </row>
    <row r="257" spans="1:12" x14ac:dyDescent="0.35">
      <c r="A257" s="6">
        <v>44806</v>
      </c>
      <c r="B257" s="3">
        <v>0.45833333333333331</v>
      </c>
      <c r="C257" t="s">
        <v>22</v>
      </c>
      <c r="D257" t="s">
        <v>7</v>
      </c>
      <c r="E257">
        <v>0.78300000000000003</v>
      </c>
      <c r="F257" t="s">
        <v>6</v>
      </c>
      <c r="G257">
        <v>0.80300000000000005</v>
      </c>
      <c r="H257">
        <f t="shared" si="12"/>
        <v>2.5542784163473841E-2</v>
      </c>
      <c r="I257">
        <f t="shared" si="13"/>
        <v>1.3028492189834248E-6</v>
      </c>
      <c r="J257">
        <f t="shared" si="14"/>
        <v>1.3028492189834249</v>
      </c>
      <c r="K257">
        <v>7348.0415625000005</v>
      </c>
      <c r="L257">
        <f t="shared" si="15"/>
        <v>0.95733902107608704</v>
      </c>
    </row>
    <row r="258" spans="1:12" x14ac:dyDescent="0.35">
      <c r="A258" s="6">
        <v>44806</v>
      </c>
      <c r="B258" s="3">
        <v>0.47916666666666669</v>
      </c>
      <c r="C258" t="s">
        <v>22</v>
      </c>
      <c r="D258" t="s">
        <v>7</v>
      </c>
      <c r="E258">
        <v>0.79100000000000004</v>
      </c>
      <c r="F258" t="s">
        <v>6</v>
      </c>
      <c r="G258">
        <v>0.80300000000000005</v>
      </c>
      <c r="H258">
        <f t="shared" ref="H258:H290" si="16">(G258-E258)/E258</f>
        <v>1.5170670037926689E-2</v>
      </c>
      <c r="I258">
        <f t="shared" ref="I258:I290" si="17">119*10^-6*(H258^1.231)</f>
        <v>6.8606272517479052E-7</v>
      </c>
      <c r="J258">
        <f t="shared" ref="J258:J290" si="18">I258*10^6</f>
        <v>0.6860627251747905</v>
      </c>
      <c r="K258">
        <v>7348.0415625000005</v>
      </c>
      <c r="L258">
        <f t="shared" si="15"/>
        <v>0.50412174190663761</v>
      </c>
    </row>
    <row r="259" spans="1:12" x14ac:dyDescent="0.35">
      <c r="A259" s="6">
        <v>44806</v>
      </c>
      <c r="B259" s="3">
        <v>0.5625</v>
      </c>
      <c r="C259" t="s">
        <v>22</v>
      </c>
      <c r="D259" t="s">
        <v>7</v>
      </c>
      <c r="E259">
        <v>0.79800000000000004</v>
      </c>
      <c r="F259" t="s">
        <v>6</v>
      </c>
      <c r="G259">
        <v>0.80300000000000005</v>
      </c>
      <c r="H259">
        <f t="shared" si="16"/>
        <v>6.2656641604010074E-3</v>
      </c>
      <c r="I259">
        <f t="shared" si="17"/>
        <v>2.3100079656272424E-7</v>
      </c>
      <c r="J259">
        <f t="shared" si="18"/>
        <v>0.23100079656272424</v>
      </c>
      <c r="K259">
        <v>7348.0415625000005</v>
      </c>
      <c r="L259">
        <f t="shared" ref="L259:L290" si="19">J259*(K259/10000)</f>
        <v>0.1697403454113505</v>
      </c>
    </row>
    <row r="260" spans="1:12" x14ac:dyDescent="0.35">
      <c r="A260" s="6">
        <v>44806</v>
      </c>
      <c r="B260" s="3">
        <v>0.58333333333333337</v>
      </c>
      <c r="C260" t="s">
        <v>22</v>
      </c>
      <c r="D260" t="s">
        <v>7</v>
      </c>
      <c r="E260">
        <v>0.80300000000000005</v>
      </c>
      <c r="F260" t="s">
        <v>6</v>
      </c>
      <c r="G260">
        <v>0.80300000000000005</v>
      </c>
      <c r="H260">
        <f t="shared" si="16"/>
        <v>0</v>
      </c>
      <c r="I260">
        <f t="shared" si="17"/>
        <v>0</v>
      </c>
      <c r="J260">
        <f t="shared" si="18"/>
        <v>0</v>
      </c>
      <c r="K260">
        <v>7348.0415625000005</v>
      </c>
      <c r="L260">
        <f t="shared" si="19"/>
        <v>0</v>
      </c>
    </row>
    <row r="261" spans="1:12" x14ac:dyDescent="0.35">
      <c r="A261" s="6">
        <v>44806</v>
      </c>
      <c r="B261" s="3">
        <v>0.60416666666666663</v>
      </c>
      <c r="C261" t="s">
        <v>22</v>
      </c>
      <c r="D261" t="s">
        <v>7</v>
      </c>
      <c r="E261">
        <v>0.80300000000000005</v>
      </c>
      <c r="F261" t="s">
        <v>6</v>
      </c>
      <c r="G261">
        <v>0.80300000000000005</v>
      </c>
      <c r="H261">
        <f t="shared" si="16"/>
        <v>0</v>
      </c>
      <c r="I261">
        <f t="shared" si="17"/>
        <v>0</v>
      </c>
      <c r="J261">
        <f t="shared" si="18"/>
        <v>0</v>
      </c>
      <c r="K261">
        <v>7348.0415625000005</v>
      </c>
      <c r="L261">
        <f t="shared" si="19"/>
        <v>0</v>
      </c>
    </row>
    <row r="262" spans="1:12" x14ac:dyDescent="0.35">
      <c r="A262" s="6">
        <v>44806</v>
      </c>
      <c r="B262" s="3">
        <v>0.625</v>
      </c>
      <c r="C262" t="s">
        <v>22</v>
      </c>
      <c r="D262" t="s">
        <v>7</v>
      </c>
      <c r="E262">
        <v>0.79800000000000004</v>
      </c>
      <c r="F262" t="s">
        <v>6</v>
      </c>
      <c r="G262">
        <v>0.80300000000000005</v>
      </c>
      <c r="H262">
        <f t="shared" si="16"/>
        <v>6.2656641604010074E-3</v>
      </c>
      <c r="I262">
        <f t="shared" si="17"/>
        <v>2.3100079656272424E-7</v>
      </c>
      <c r="J262">
        <f t="shared" si="18"/>
        <v>0.23100079656272424</v>
      </c>
      <c r="K262">
        <v>7348.0415625000005</v>
      </c>
      <c r="L262">
        <f t="shared" si="19"/>
        <v>0.1697403454113505</v>
      </c>
    </row>
    <row r="263" spans="1:12" x14ac:dyDescent="0.35">
      <c r="A263" s="6">
        <v>44806</v>
      </c>
      <c r="B263" s="3">
        <v>0.64583333333333337</v>
      </c>
      <c r="C263" t="s">
        <v>22</v>
      </c>
      <c r="D263" t="s">
        <v>7</v>
      </c>
      <c r="E263">
        <v>0.78600000000000003</v>
      </c>
      <c r="F263" t="s">
        <v>6</v>
      </c>
      <c r="G263">
        <v>0.80300000000000005</v>
      </c>
      <c r="H263">
        <f t="shared" si="16"/>
        <v>2.1628498727735389E-2</v>
      </c>
      <c r="I263">
        <f t="shared" si="17"/>
        <v>1.0616086033776963E-6</v>
      </c>
      <c r="J263">
        <f t="shared" si="18"/>
        <v>1.0616086033776964</v>
      </c>
      <c r="K263">
        <v>7348.0415625000005</v>
      </c>
      <c r="L263">
        <f t="shared" si="19"/>
        <v>0.78007441407268918</v>
      </c>
    </row>
    <row r="264" spans="1:12" x14ac:dyDescent="0.35">
      <c r="A264" s="6">
        <v>44806</v>
      </c>
      <c r="B264" s="3">
        <v>0.66666666666666663</v>
      </c>
      <c r="C264" t="s">
        <v>22</v>
      </c>
      <c r="D264" t="s">
        <v>7</v>
      </c>
      <c r="E264">
        <v>0.77300000000000002</v>
      </c>
      <c r="F264" t="s">
        <v>6</v>
      </c>
      <c r="G264">
        <v>0.80300000000000005</v>
      </c>
      <c r="H264">
        <f t="shared" si="16"/>
        <v>3.8809831824062127E-2</v>
      </c>
      <c r="I264">
        <f t="shared" si="17"/>
        <v>2.1803904387893442E-6</v>
      </c>
      <c r="J264">
        <f t="shared" si="18"/>
        <v>2.180390438789344</v>
      </c>
      <c r="K264">
        <v>7348.0415625000005</v>
      </c>
      <c r="L264">
        <f t="shared" si="19"/>
        <v>1.6021599566701714</v>
      </c>
    </row>
    <row r="265" spans="1:12" x14ac:dyDescent="0.35">
      <c r="A265" s="6">
        <v>44806</v>
      </c>
      <c r="B265" s="3">
        <v>0</v>
      </c>
      <c r="C265" t="s">
        <v>19</v>
      </c>
      <c r="D265" t="s">
        <v>15</v>
      </c>
      <c r="E265">
        <v>0.625</v>
      </c>
      <c r="F265" t="s">
        <v>6</v>
      </c>
      <c r="G265">
        <f>MAX(E265:E291)</f>
        <v>0.63100000000000001</v>
      </c>
      <c r="H265">
        <f t="shared" si="16"/>
        <v>9.6000000000000078E-3</v>
      </c>
      <c r="I265">
        <f t="shared" si="17"/>
        <v>3.9059155510263152E-7</v>
      </c>
      <c r="J265">
        <f t="shared" si="18"/>
        <v>0.39059155510263155</v>
      </c>
      <c r="K265">
        <v>826.60696250000024</v>
      </c>
      <c r="L265">
        <f t="shared" si="19"/>
        <v>3.2286569894153773E-2</v>
      </c>
    </row>
    <row r="266" spans="1:12" x14ac:dyDescent="0.35">
      <c r="A266" s="6">
        <v>44806</v>
      </c>
      <c r="B266" s="3">
        <v>2.0833333333333332E-2</v>
      </c>
      <c r="C266" t="s">
        <v>19</v>
      </c>
      <c r="D266" t="s">
        <v>15</v>
      </c>
      <c r="E266">
        <v>0.628</v>
      </c>
      <c r="F266" t="s">
        <v>6</v>
      </c>
      <c r="G266">
        <v>0.63100000000000001</v>
      </c>
      <c r="H266">
        <f t="shared" si="16"/>
        <v>4.7770700636942717E-3</v>
      </c>
      <c r="I266">
        <f t="shared" si="17"/>
        <v>1.6542262362468346E-7</v>
      </c>
      <c r="J266">
        <f t="shared" si="18"/>
        <v>0.16542262362468346</v>
      </c>
      <c r="K266">
        <v>826.60696250000024</v>
      </c>
      <c r="L266">
        <f t="shared" si="19"/>
        <v>1.3673949244318038E-2</v>
      </c>
    </row>
    <row r="267" spans="1:12" x14ac:dyDescent="0.35">
      <c r="A267" s="6">
        <v>44806</v>
      </c>
      <c r="B267" s="3">
        <v>4.1666666666666664E-2</v>
      </c>
      <c r="C267" t="s">
        <v>19</v>
      </c>
      <c r="D267" t="s">
        <v>15</v>
      </c>
      <c r="E267">
        <v>0.63</v>
      </c>
      <c r="F267" t="s">
        <v>6</v>
      </c>
      <c r="G267">
        <v>0.63100000000000001</v>
      </c>
      <c r="H267">
        <f t="shared" si="16"/>
        <v>1.5873015873015886E-3</v>
      </c>
      <c r="I267">
        <f t="shared" si="17"/>
        <v>4.2614632253558919E-8</v>
      </c>
      <c r="J267">
        <f t="shared" si="18"/>
        <v>4.2614632253558916E-2</v>
      </c>
      <c r="K267">
        <v>826.60696250000024</v>
      </c>
      <c r="L267">
        <f t="shared" si="19"/>
        <v>3.5225551725168876E-3</v>
      </c>
    </row>
    <row r="268" spans="1:12" x14ac:dyDescent="0.35">
      <c r="A268" s="6">
        <v>44806</v>
      </c>
      <c r="B268" s="3">
        <v>6.25E-2</v>
      </c>
      <c r="C268" t="s">
        <v>19</v>
      </c>
      <c r="D268" t="s">
        <v>15</v>
      </c>
      <c r="E268">
        <v>0.63</v>
      </c>
      <c r="F268" t="s">
        <v>6</v>
      </c>
      <c r="G268">
        <v>0.63100000000000001</v>
      </c>
      <c r="H268">
        <f t="shared" si="16"/>
        <v>1.5873015873015886E-3</v>
      </c>
      <c r="I268">
        <f t="shared" si="17"/>
        <v>4.2614632253558919E-8</v>
      </c>
      <c r="J268">
        <f t="shared" si="18"/>
        <v>4.2614632253558916E-2</v>
      </c>
      <c r="K268">
        <v>826.60696250000024</v>
      </c>
      <c r="L268">
        <f t="shared" si="19"/>
        <v>3.5225551725168876E-3</v>
      </c>
    </row>
    <row r="269" spans="1:12" x14ac:dyDescent="0.35">
      <c r="A269" s="6">
        <v>44806</v>
      </c>
      <c r="B269" s="3">
        <v>8.3333333333333329E-2</v>
      </c>
      <c r="C269" t="s">
        <v>19</v>
      </c>
      <c r="D269" t="s">
        <v>15</v>
      </c>
      <c r="E269">
        <v>0.63100000000000001</v>
      </c>
      <c r="F269" t="s">
        <v>6</v>
      </c>
      <c r="G269">
        <v>0.63100000000000001</v>
      </c>
      <c r="H269">
        <f t="shared" si="16"/>
        <v>0</v>
      </c>
      <c r="I269">
        <f t="shared" si="17"/>
        <v>0</v>
      </c>
      <c r="J269">
        <f t="shared" si="18"/>
        <v>0</v>
      </c>
      <c r="K269">
        <v>826.60696250000024</v>
      </c>
      <c r="L269">
        <f t="shared" si="19"/>
        <v>0</v>
      </c>
    </row>
    <row r="270" spans="1:12" x14ac:dyDescent="0.35">
      <c r="A270" s="6">
        <v>44806</v>
      </c>
      <c r="B270" s="3">
        <v>0.10416666666666667</v>
      </c>
      <c r="C270" t="s">
        <v>19</v>
      </c>
      <c r="D270" t="s">
        <v>15</v>
      </c>
      <c r="E270">
        <v>0.63</v>
      </c>
      <c r="F270" t="s">
        <v>6</v>
      </c>
      <c r="G270">
        <v>0.63100000000000001</v>
      </c>
      <c r="H270">
        <f t="shared" si="16"/>
        <v>1.5873015873015886E-3</v>
      </c>
      <c r="I270">
        <f t="shared" si="17"/>
        <v>4.2614632253558919E-8</v>
      </c>
      <c r="J270">
        <f t="shared" si="18"/>
        <v>4.2614632253558916E-2</v>
      </c>
      <c r="K270">
        <v>826.60696250000024</v>
      </c>
      <c r="L270">
        <f t="shared" si="19"/>
        <v>3.5225551725168876E-3</v>
      </c>
    </row>
    <row r="271" spans="1:12" x14ac:dyDescent="0.35">
      <c r="A271" s="6">
        <v>44806</v>
      </c>
      <c r="B271" s="3">
        <v>0.125</v>
      </c>
      <c r="C271" t="s">
        <v>19</v>
      </c>
      <c r="D271" t="s">
        <v>15</v>
      </c>
      <c r="E271">
        <v>0.629</v>
      </c>
      <c r="F271" t="s">
        <v>6</v>
      </c>
      <c r="G271">
        <v>0.63100000000000001</v>
      </c>
      <c r="H271">
        <f t="shared" si="16"/>
        <v>3.1796502384737707E-3</v>
      </c>
      <c r="I271">
        <f t="shared" si="17"/>
        <v>1.0022497151968179E-7</v>
      </c>
      <c r="J271">
        <f t="shared" si="18"/>
        <v>0.10022497151968179</v>
      </c>
      <c r="K271">
        <v>826.60696250000024</v>
      </c>
      <c r="L271">
        <f t="shared" si="19"/>
        <v>8.2846659274533208E-3</v>
      </c>
    </row>
    <row r="272" spans="1:12" x14ac:dyDescent="0.35">
      <c r="A272" s="6">
        <v>44806</v>
      </c>
      <c r="B272" s="3">
        <v>0.14583333333333334</v>
      </c>
      <c r="C272" t="s">
        <v>19</v>
      </c>
      <c r="D272" t="s">
        <v>15</v>
      </c>
      <c r="E272">
        <v>0.628</v>
      </c>
      <c r="F272" t="s">
        <v>6</v>
      </c>
      <c r="G272">
        <v>0.63100000000000001</v>
      </c>
      <c r="H272">
        <f t="shared" si="16"/>
        <v>4.7770700636942717E-3</v>
      </c>
      <c r="I272">
        <f t="shared" si="17"/>
        <v>1.6542262362468346E-7</v>
      </c>
      <c r="J272">
        <f t="shared" si="18"/>
        <v>0.16542262362468346</v>
      </c>
      <c r="K272">
        <v>826.60696250000024</v>
      </c>
      <c r="L272">
        <f t="shared" si="19"/>
        <v>1.3673949244318038E-2</v>
      </c>
    </row>
    <row r="273" spans="1:12" x14ac:dyDescent="0.35">
      <c r="A273" s="6">
        <v>44806</v>
      </c>
      <c r="B273" s="3">
        <v>0.16666666666666666</v>
      </c>
      <c r="C273" t="s">
        <v>19</v>
      </c>
      <c r="D273" t="s">
        <v>15</v>
      </c>
      <c r="E273">
        <v>0.623</v>
      </c>
      <c r="F273" t="s">
        <v>6</v>
      </c>
      <c r="G273">
        <v>0.63100000000000001</v>
      </c>
      <c r="H273">
        <f t="shared" si="16"/>
        <v>1.2841091492776898E-2</v>
      </c>
      <c r="I273">
        <f t="shared" si="17"/>
        <v>5.5877369113704836E-7</v>
      </c>
      <c r="J273">
        <f t="shared" si="18"/>
        <v>0.55877369113704833</v>
      </c>
      <c r="K273">
        <v>826.60696250000024</v>
      </c>
      <c r="L273">
        <f t="shared" si="19"/>
        <v>4.6188622355570884E-2</v>
      </c>
    </row>
    <row r="274" spans="1:12" x14ac:dyDescent="0.35">
      <c r="A274" s="6">
        <v>44806</v>
      </c>
      <c r="B274" s="3">
        <v>0.1875</v>
      </c>
      <c r="C274" t="s">
        <v>19</v>
      </c>
      <c r="D274" t="s">
        <v>15</v>
      </c>
      <c r="E274">
        <v>0.61899999999999999</v>
      </c>
      <c r="F274" t="s">
        <v>6</v>
      </c>
      <c r="G274">
        <v>0.63100000000000001</v>
      </c>
      <c r="H274">
        <f t="shared" si="16"/>
        <v>1.9386106623586447E-2</v>
      </c>
      <c r="I274">
        <f t="shared" si="17"/>
        <v>9.2778615267934985E-7</v>
      </c>
      <c r="J274">
        <f t="shared" si="18"/>
        <v>0.92778615267934983</v>
      </c>
      <c r="K274">
        <v>826.60696250000024</v>
      </c>
      <c r="L274">
        <f t="shared" si="19"/>
        <v>7.6691449351583882E-2</v>
      </c>
    </row>
    <row r="275" spans="1:12" x14ac:dyDescent="0.35">
      <c r="A275" s="6">
        <v>44806</v>
      </c>
      <c r="B275" s="3">
        <v>0.20833333333333334</v>
      </c>
      <c r="C275" t="s">
        <v>19</v>
      </c>
      <c r="D275" t="s">
        <v>15</v>
      </c>
      <c r="E275">
        <v>0.61699999999999999</v>
      </c>
      <c r="F275" t="s">
        <v>6</v>
      </c>
      <c r="G275">
        <v>0.63100000000000001</v>
      </c>
      <c r="H275">
        <f t="shared" si="16"/>
        <v>2.2690437601296617E-2</v>
      </c>
      <c r="I275">
        <f t="shared" si="17"/>
        <v>1.1261326142646523E-6</v>
      </c>
      <c r="J275">
        <f t="shared" si="18"/>
        <v>1.1261326142646524</v>
      </c>
      <c r="K275">
        <v>826.60696250000024</v>
      </c>
      <c r="L275">
        <f t="shared" si="19"/>
        <v>9.3086905964948882E-2</v>
      </c>
    </row>
    <row r="276" spans="1:12" x14ac:dyDescent="0.35">
      <c r="A276" s="6">
        <v>44806</v>
      </c>
      <c r="B276" s="3">
        <v>0.22916666666666666</v>
      </c>
      <c r="C276" t="s">
        <v>19</v>
      </c>
      <c r="D276" t="s">
        <v>15</v>
      </c>
      <c r="E276">
        <v>0.61299999999999999</v>
      </c>
      <c r="F276" t="s">
        <v>6</v>
      </c>
      <c r="G276">
        <v>0.63100000000000001</v>
      </c>
      <c r="H276">
        <f t="shared" si="16"/>
        <v>2.9363784665579144E-2</v>
      </c>
      <c r="I276">
        <f t="shared" si="17"/>
        <v>1.5467622743069473E-6</v>
      </c>
      <c r="J276">
        <f t="shared" si="18"/>
        <v>1.5467622743069473</v>
      </c>
      <c r="K276">
        <v>826.60696250000024</v>
      </c>
      <c r="L276">
        <f t="shared" si="19"/>
        <v>0.12785644652744579</v>
      </c>
    </row>
    <row r="277" spans="1:12" x14ac:dyDescent="0.35">
      <c r="A277" s="6">
        <v>44806</v>
      </c>
      <c r="B277" s="3">
        <v>0.33333333333333331</v>
      </c>
      <c r="C277" t="s">
        <v>19</v>
      </c>
      <c r="D277" t="s">
        <v>15</v>
      </c>
      <c r="E277">
        <v>0.56799999999999995</v>
      </c>
      <c r="F277" t="s">
        <v>6</v>
      </c>
      <c r="G277">
        <v>0.63100000000000001</v>
      </c>
      <c r="H277">
        <f t="shared" si="16"/>
        <v>0.11091549295774658</v>
      </c>
      <c r="I277">
        <f t="shared" si="17"/>
        <v>7.9420456042442201E-6</v>
      </c>
      <c r="J277">
        <f t="shared" si="18"/>
        <v>7.9420456042442202</v>
      </c>
      <c r="K277">
        <v>826.60696250000024</v>
      </c>
      <c r="L277">
        <f t="shared" si="19"/>
        <v>0.65649501929607945</v>
      </c>
    </row>
    <row r="278" spans="1:12" x14ac:dyDescent="0.35">
      <c r="A278" s="6">
        <v>44806</v>
      </c>
      <c r="B278" s="3">
        <v>0.35416666666666669</v>
      </c>
      <c r="C278" t="s">
        <v>19</v>
      </c>
      <c r="D278" t="s">
        <v>15</v>
      </c>
      <c r="E278">
        <v>0.54100000000000004</v>
      </c>
      <c r="F278" t="s">
        <v>6</v>
      </c>
      <c r="G278">
        <v>0.63100000000000001</v>
      </c>
      <c r="H278">
        <f t="shared" si="16"/>
        <v>0.16635859519408497</v>
      </c>
      <c r="I278">
        <f t="shared" si="17"/>
        <v>1.3081382877604029E-5</v>
      </c>
      <c r="J278">
        <f t="shared" si="18"/>
        <v>13.081382877604028</v>
      </c>
      <c r="K278">
        <v>826.60696250000024</v>
      </c>
      <c r="L278">
        <f t="shared" si="19"/>
        <v>1.0813162165755779</v>
      </c>
    </row>
    <row r="279" spans="1:12" x14ac:dyDescent="0.35">
      <c r="A279" s="6">
        <v>44806</v>
      </c>
      <c r="B279" s="3">
        <v>0.375</v>
      </c>
      <c r="C279" t="s">
        <v>19</v>
      </c>
      <c r="D279" t="s">
        <v>15</v>
      </c>
      <c r="E279">
        <v>0.49</v>
      </c>
      <c r="F279" t="s">
        <v>6</v>
      </c>
      <c r="G279">
        <v>0.63100000000000001</v>
      </c>
      <c r="H279">
        <f t="shared" si="16"/>
        <v>0.28775510204081634</v>
      </c>
      <c r="I279">
        <f t="shared" si="17"/>
        <v>2.5680549632236803E-5</v>
      </c>
      <c r="J279">
        <f t="shared" si="18"/>
        <v>25.680549632236804</v>
      </c>
      <c r="K279">
        <v>826.60696250000024</v>
      </c>
      <c r="L279">
        <f t="shared" si="19"/>
        <v>2.1227721126833763</v>
      </c>
    </row>
    <row r="280" spans="1:12" x14ac:dyDescent="0.35">
      <c r="A280" s="6">
        <v>44806</v>
      </c>
      <c r="B280" s="3">
        <v>0.39583333333333331</v>
      </c>
      <c r="C280" t="s">
        <v>19</v>
      </c>
      <c r="D280" t="s">
        <v>15</v>
      </c>
      <c r="E280">
        <v>0.45200000000000001</v>
      </c>
      <c r="F280" t="s">
        <v>6</v>
      </c>
      <c r="G280">
        <v>0.63100000000000001</v>
      </c>
      <c r="H280">
        <f t="shared" si="16"/>
        <v>0.3960176991150442</v>
      </c>
      <c r="I280">
        <f t="shared" si="17"/>
        <v>3.8048157375210735E-5</v>
      </c>
      <c r="J280">
        <f t="shared" si="18"/>
        <v>38.048157375210735</v>
      </c>
      <c r="K280">
        <v>826.60696250000024</v>
      </c>
      <c r="L280">
        <f t="shared" si="19"/>
        <v>3.1450871796644928</v>
      </c>
    </row>
    <row r="281" spans="1:12" x14ac:dyDescent="0.35">
      <c r="A281" s="6">
        <v>44806</v>
      </c>
      <c r="B281" s="3">
        <v>0.41666666666666669</v>
      </c>
      <c r="C281" t="s">
        <v>19</v>
      </c>
      <c r="D281" t="s">
        <v>15</v>
      </c>
      <c r="E281">
        <v>0.433</v>
      </c>
      <c r="F281" t="s">
        <v>6</v>
      </c>
      <c r="G281">
        <v>0.63100000000000001</v>
      </c>
      <c r="H281">
        <f t="shared" si="16"/>
        <v>0.45727482678983838</v>
      </c>
      <c r="I281">
        <f t="shared" si="17"/>
        <v>4.5417707621792178E-5</v>
      </c>
      <c r="J281">
        <f t="shared" si="18"/>
        <v>45.417707621792175</v>
      </c>
      <c r="K281">
        <v>826.60696250000024</v>
      </c>
      <c r="L281">
        <f t="shared" si="19"/>
        <v>3.754259334096274</v>
      </c>
    </row>
    <row r="282" spans="1:12" x14ac:dyDescent="0.35">
      <c r="A282" s="6">
        <v>44806</v>
      </c>
      <c r="B282" s="3">
        <v>0.4375</v>
      </c>
      <c r="C282" t="s">
        <v>19</v>
      </c>
      <c r="D282" t="s">
        <v>15</v>
      </c>
      <c r="E282">
        <v>0.42099999999999999</v>
      </c>
      <c r="F282" t="s">
        <v>6</v>
      </c>
      <c r="G282">
        <v>0.63100000000000001</v>
      </c>
      <c r="H282">
        <f t="shared" si="16"/>
        <v>0.49881235154394304</v>
      </c>
      <c r="I282">
        <f t="shared" si="17"/>
        <v>5.0548427904040913E-5</v>
      </c>
      <c r="J282">
        <f t="shared" si="18"/>
        <v>50.548427904040913</v>
      </c>
      <c r="K282">
        <v>826.60696250000024</v>
      </c>
      <c r="L282">
        <f t="shared" si="19"/>
        <v>4.1783682448909518</v>
      </c>
    </row>
    <row r="283" spans="1:12" x14ac:dyDescent="0.35">
      <c r="A283" s="6">
        <v>44806</v>
      </c>
      <c r="B283" s="3">
        <v>0.45833333333333331</v>
      </c>
      <c r="C283" t="s">
        <v>19</v>
      </c>
      <c r="D283" t="s">
        <v>15</v>
      </c>
      <c r="E283">
        <v>0.41899999999999998</v>
      </c>
      <c r="F283" t="s">
        <v>6</v>
      </c>
      <c r="G283">
        <v>0.63100000000000001</v>
      </c>
      <c r="H283">
        <f t="shared" si="16"/>
        <v>0.50596658711217191</v>
      </c>
      <c r="I283">
        <f t="shared" si="17"/>
        <v>5.1442367059848763E-5</v>
      </c>
      <c r="J283">
        <f t="shared" si="18"/>
        <v>51.442367059848763</v>
      </c>
      <c r="K283">
        <v>826.60696250000024</v>
      </c>
      <c r="L283">
        <f t="shared" si="19"/>
        <v>4.2522618779151653</v>
      </c>
    </row>
    <row r="284" spans="1:12" x14ac:dyDescent="0.35">
      <c r="A284" s="6">
        <v>44806</v>
      </c>
      <c r="B284" s="3">
        <v>0.47916666666666669</v>
      </c>
      <c r="C284" t="s">
        <v>19</v>
      </c>
      <c r="D284" t="s">
        <v>15</v>
      </c>
      <c r="E284">
        <v>0.41799999999999998</v>
      </c>
      <c r="F284" t="s">
        <v>6</v>
      </c>
      <c r="G284">
        <v>0.63100000000000001</v>
      </c>
      <c r="H284">
        <f t="shared" si="16"/>
        <v>0.50956937799043067</v>
      </c>
      <c r="I284">
        <f t="shared" si="17"/>
        <v>5.189365382195926E-5</v>
      </c>
      <c r="J284">
        <f t="shared" si="18"/>
        <v>51.893653821959262</v>
      </c>
      <c r="K284">
        <v>826.60696250000024</v>
      </c>
      <c r="L284">
        <f t="shared" si="19"/>
        <v>4.2895655558796273</v>
      </c>
    </row>
    <row r="285" spans="1:12" x14ac:dyDescent="0.35">
      <c r="A285" s="6">
        <v>44806</v>
      </c>
      <c r="B285" s="3">
        <v>0.5625</v>
      </c>
      <c r="C285" t="s">
        <v>19</v>
      </c>
      <c r="D285" t="s">
        <v>15</v>
      </c>
      <c r="E285">
        <v>0.41099999999999998</v>
      </c>
      <c r="F285" t="s">
        <v>6</v>
      </c>
      <c r="G285">
        <v>0.63100000000000001</v>
      </c>
      <c r="H285">
        <f t="shared" si="16"/>
        <v>0.53527980535279818</v>
      </c>
      <c r="I285">
        <f t="shared" si="17"/>
        <v>5.5135332598247215E-5</v>
      </c>
      <c r="J285">
        <f t="shared" si="18"/>
        <v>55.135332598247217</v>
      </c>
      <c r="K285">
        <v>826.60696250000024</v>
      </c>
      <c r="L285">
        <f t="shared" si="19"/>
        <v>4.5575249805464377</v>
      </c>
    </row>
    <row r="286" spans="1:12" x14ac:dyDescent="0.35">
      <c r="A286" s="6">
        <v>44806</v>
      </c>
      <c r="B286" s="3">
        <v>0.58333333333333337</v>
      </c>
      <c r="C286" t="s">
        <v>19</v>
      </c>
      <c r="D286" t="s">
        <v>15</v>
      </c>
      <c r="E286">
        <v>0.41599999999999998</v>
      </c>
      <c r="F286" t="s">
        <v>6</v>
      </c>
      <c r="G286">
        <v>0.63100000000000001</v>
      </c>
      <c r="H286">
        <f t="shared" si="16"/>
        <v>0.51682692307692313</v>
      </c>
      <c r="I286">
        <f t="shared" si="17"/>
        <v>5.280497186321331E-5</v>
      </c>
      <c r="J286">
        <f t="shared" si="18"/>
        <v>52.804971863213311</v>
      </c>
      <c r="K286">
        <v>826.60696250000024</v>
      </c>
      <c r="L286">
        <f t="shared" si="19"/>
        <v>4.3648957396748731</v>
      </c>
    </row>
    <row r="287" spans="1:12" x14ac:dyDescent="0.35">
      <c r="A287" s="6">
        <v>44806</v>
      </c>
      <c r="B287" s="3">
        <v>0.60416666666666663</v>
      </c>
      <c r="C287" t="s">
        <v>19</v>
      </c>
      <c r="D287" t="s">
        <v>15</v>
      </c>
      <c r="E287">
        <v>0.42499999999999999</v>
      </c>
      <c r="F287" t="s">
        <v>6</v>
      </c>
      <c r="G287">
        <v>0.63100000000000001</v>
      </c>
      <c r="H287">
        <f t="shared" si="16"/>
        <v>0.48470588235294121</v>
      </c>
      <c r="I287">
        <f t="shared" si="17"/>
        <v>4.8794484793496743E-5</v>
      </c>
      <c r="J287">
        <f t="shared" si="18"/>
        <v>48.794484793496743</v>
      </c>
      <c r="K287">
        <v>826.60696250000024</v>
      </c>
      <c r="L287">
        <f t="shared" si="19"/>
        <v>4.0333860861904798</v>
      </c>
    </row>
    <row r="288" spans="1:12" x14ac:dyDescent="0.35">
      <c r="A288" s="6">
        <v>44806</v>
      </c>
      <c r="B288" s="3">
        <v>0.625</v>
      </c>
      <c r="C288" t="s">
        <v>19</v>
      </c>
      <c r="D288" t="s">
        <v>15</v>
      </c>
      <c r="E288">
        <v>0.439</v>
      </c>
      <c r="F288" t="s">
        <v>6</v>
      </c>
      <c r="G288">
        <v>0.63100000000000001</v>
      </c>
      <c r="H288">
        <f t="shared" si="16"/>
        <v>0.43735763097949887</v>
      </c>
      <c r="I288">
        <f t="shared" si="17"/>
        <v>4.299490062660254E-5</v>
      </c>
      <c r="J288">
        <f t="shared" si="18"/>
        <v>42.994900626602544</v>
      </c>
      <c r="K288">
        <v>826.60696250000024</v>
      </c>
      <c r="L288">
        <f t="shared" si="19"/>
        <v>3.5539884209945285</v>
      </c>
    </row>
    <row r="289" spans="1:12" x14ac:dyDescent="0.35">
      <c r="A289" s="6">
        <v>44806</v>
      </c>
      <c r="B289" s="3">
        <v>0.64583333333333337</v>
      </c>
      <c r="C289" t="s">
        <v>19</v>
      </c>
      <c r="D289" t="s">
        <v>15</v>
      </c>
      <c r="E289">
        <v>0.45100000000000001</v>
      </c>
      <c r="F289" t="s">
        <v>6</v>
      </c>
      <c r="G289">
        <v>0.63100000000000001</v>
      </c>
      <c r="H289">
        <f t="shared" si="16"/>
        <v>0.3991130820399113</v>
      </c>
      <c r="I289">
        <f t="shared" si="17"/>
        <v>3.8414580253496214E-5</v>
      </c>
      <c r="J289">
        <f t="shared" si="18"/>
        <v>38.414580253496212</v>
      </c>
      <c r="K289">
        <v>826.60696250000024</v>
      </c>
      <c r="L289">
        <f t="shared" si="19"/>
        <v>3.1753759499054994</v>
      </c>
    </row>
    <row r="290" spans="1:12" x14ac:dyDescent="0.35">
      <c r="A290" s="6">
        <v>44806</v>
      </c>
      <c r="B290" s="3">
        <v>0.66666666666666663</v>
      </c>
      <c r="C290" t="s">
        <v>19</v>
      </c>
      <c r="D290" t="s">
        <v>15</v>
      </c>
      <c r="E290">
        <v>0.46</v>
      </c>
      <c r="F290" t="s">
        <v>6</v>
      </c>
      <c r="G290">
        <v>0.63100000000000001</v>
      </c>
      <c r="H290">
        <f t="shared" si="16"/>
        <v>0.37173913043478257</v>
      </c>
      <c r="I290">
        <f t="shared" si="17"/>
        <v>3.5197375586138764E-5</v>
      </c>
      <c r="J290">
        <f t="shared" si="18"/>
        <v>35.197375586138762</v>
      </c>
      <c r="K290">
        <v>826.60696250000024</v>
      </c>
      <c r="L290">
        <f t="shared" si="19"/>
        <v>2.9094395721229827</v>
      </c>
    </row>
    <row r="291" spans="1:12" x14ac:dyDescent="0.35">
      <c r="A291" s="6"/>
      <c r="B291" s="3"/>
    </row>
    <row r="292" spans="1:12" x14ac:dyDescent="0.35">
      <c r="A292" s="6"/>
      <c r="B292" s="3"/>
    </row>
    <row r="293" spans="1:12" x14ac:dyDescent="0.35">
      <c r="A293" s="6"/>
      <c r="B293" s="3"/>
    </row>
    <row r="294" spans="1:12" x14ac:dyDescent="0.35">
      <c r="A294" s="6"/>
      <c r="B294" s="3"/>
    </row>
    <row r="295" spans="1:12" x14ac:dyDescent="0.35">
      <c r="A295" s="6"/>
      <c r="B295" s="3"/>
    </row>
    <row r="296" spans="1:12" x14ac:dyDescent="0.35">
      <c r="A296" s="6"/>
      <c r="B296" s="3"/>
    </row>
    <row r="297" spans="1:12" x14ac:dyDescent="0.35">
      <c r="A297" s="6"/>
      <c r="B297" s="3"/>
    </row>
    <row r="298" spans="1:12" x14ac:dyDescent="0.35">
      <c r="A298" s="6"/>
      <c r="B298" s="3"/>
    </row>
    <row r="299" spans="1:12" x14ac:dyDescent="0.35">
      <c r="A299" s="6"/>
      <c r="B299" s="3"/>
    </row>
    <row r="300" spans="1:12" x14ac:dyDescent="0.35">
      <c r="A300" s="6"/>
      <c r="B300" s="3"/>
    </row>
    <row r="301" spans="1:12" x14ac:dyDescent="0.35">
      <c r="A301" s="6"/>
      <c r="B301" s="3"/>
    </row>
    <row r="302" spans="1:12" x14ac:dyDescent="0.35">
      <c r="A302" s="6"/>
      <c r="B302" s="3"/>
    </row>
    <row r="303" spans="1:12" x14ac:dyDescent="0.35">
      <c r="A303" s="6"/>
      <c r="B303" s="3"/>
    </row>
    <row r="304" spans="1:12" x14ac:dyDescent="0.35">
      <c r="A304" s="6"/>
      <c r="B304" s="3"/>
    </row>
    <row r="305" spans="1:2" x14ac:dyDescent="0.35">
      <c r="A305" s="6"/>
      <c r="B305" s="3"/>
    </row>
    <row r="306" spans="1:2" x14ac:dyDescent="0.35">
      <c r="A306" s="6"/>
      <c r="B306" s="3"/>
    </row>
    <row r="307" spans="1:2" x14ac:dyDescent="0.35">
      <c r="A307" s="6"/>
      <c r="B307" s="3"/>
    </row>
    <row r="308" spans="1:2" x14ac:dyDescent="0.35">
      <c r="A308" s="6"/>
      <c r="B308" s="3"/>
    </row>
    <row r="309" spans="1:2" x14ac:dyDescent="0.35">
      <c r="A309" s="6"/>
      <c r="B309" s="3"/>
    </row>
    <row r="310" spans="1:2" x14ac:dyDescent="0.35">
      <c r="A310" s="6"/>
      <c r="B310" s="3"/>
    </row>
    <row r="311" spans="1:2" x14ac:dyDescent="0.35">
      <c r="A311" s="6"/>
      <c r="B311" s="3"/>
    </row>
    <row r="312" spans="1:2" x14ac:dyDescent="0.35">
      <c r="A312" s="6"/>
      <c r="B312" s="3"/>
    </row>
    <row r="313" spans="1:2" x14ac:dyDescent="0.35">
      <c r="A313" s="6"/>
      <c r="B313" s="3"/>
    </row>
    <row r="314" spans="1:2" x14ac:dyDescent="0.35">
      <c r="A314" s="6"/>
      <c r="B314" s="3"/>
    </row>
    <row r="315" spans="1:2" x14ac:dyDescent="0.35">
      <c r="A315" s="6"/>
      <c r="B315" s="3"/>
    </row>
    <row r="316" spans="1:2" x14ac:dyDescent="0.35">
      <c r="A316" s="6"/>
      <c r="B316" s="3"/>
    </row>
    <row r="317" spans="1:2" x14ac:dyDescent="0.35">
      <c r="A317" s="6"/>
      <c r="B317" s="3"/>
    </row>
    <row r="318" spans="1:2" x14ac:dyDescent="0.35">
      <c r="A318" s="6"/>
      <c r="B318" s="3"/>
    </row>
    <row r="319" spans="1:2" x14ac:dyDescent="0.35">
      <c r="A319" s="6"/>
      <c r="B319" s="3"/>
    </row>
    <row r="320" spans="1:2" x14ac:dyDescent="0.35">
      <c r="A320" s="6"/>
      <c r="B320" s="3"/>
    </row>
    <row r="321" spans="1:2" x14ac:dyDescent="0.35">
      <c r="A321" s="6"/>
      <c r="B321" s="3"/>
    </row>
    <row r="322" spans="1:2" x14ac:dyDescent="0.35">
      <c r="A322" s="6"/>
      <c r="B322" s="3"/>
    </row>
    <row r="323" spans="1:2" x14ac:dyDescent="0.35">
      <c r="A323" s="6"/>
      <c r="B323" s="3"/>
    </row>
    <row r="324" spans="1:2" x14ac:dyDescent="0.35">
      <c r="A324" s="6"/>
      <c r="B324" s="3"/>
    </row>
    <row r="325" spans="1:2" x14ac:dyDescent="0.35">
      <c r="A325" s="6"/>
      <c r="B325" s="3"/>
    </row>
    <row r="326" spans="1:2" x14ac:dyDescent="0.35">
      <c r="A326" s="6"/>
      <c r="B326" s="3"/>
    </row>
    <row r="327" spans="1:2" x14ac:dyDescent="0.35">
      <c r="A327" s="6"/>
      <c r="B327" s="3"/>
    </row>
    <row r="328" spans="1:2" x14ac:dyDescent="0.35">
      <c r="A328" s="6"/>
      <c r="B328" s="3"/>
    </row>
    <row r="329" spans="1:2" x14ac:dyDescent="0.35">
      <c r="A329" s="6"/>
      <c r="B329" s="3"/>
    </row>
    <row r="330" spans="1:2" x14ac:dyDescent="0.35">
      <c r="A330" s="6"/>
      <c r="B330" s="3"/>
    </row>
    <row r="331" spans="1:2" x14ac:dyDescent="0.35">
      <c r="A331" s="6"/>
      <c r="B331" s="3"/>
    </row>
    <row r="332" spans="1:2" x14ac:dyDescent="0.35">
      <c r="A332" s="6"/>
      <c r="B332" s="3"/>
    </row>
    <row r="333" spans="1:2" x14ac:dyDescent="0.35">
      <c r="A333" s="6"/>
      <c r="B333" s="3"/>
    </row>
    <row r="334" spans="1:2" x14ac:dyDescent="0.35">
      <c r="A334" s="6"/>
      <c r="B334" s="3"/>
    </row>
    <row r="335" spans="1:2" x14ac:dyDescent="0.35">
      <c r="A335" s="6"/>
      <c r="B335" s="3"/>
    </row>
    <row r="336" spans="1:2" x14ac:dyDescent="0.35">
      <c r="A336" s="6"/>
      <c r="B336" s="3"/>
    </row>
    <row r="337" spans="1:2" x14ac:dyDescent="0.35">
      <c r="A337" s="6"/>
      <c r="B337" s="3"/>
    </row>
    <row r="338" spans="1:2" x14ac:dyDescent="0.35">
      <c r="A338" s="6"/>
      <c r="B338" s="3"/>
    </row>
    <row r="339" spans="1:2" x14ac:dyDescent="0.35">
      <c r="A339" s="6"/>
      <c r="B339" s="3"/>
    </row>
    <row r="340" spans="1:2" x14ac:dyDescent="0.35">
      <c r="A340" s="6"/>
      <c r="B340" s="3"/>
    </row>
    <row r="341" spans="1:2" x14ac:dyDescent="0.35">
      <c r="A341" s="6"/>
      <c r="B341" s="3"/>
    </row>
    <row r="342" spans="1:2" x14ac:dyDescent="0.35">
      <c r="A342" s="6"/>
      <c r="B342" s="3"/>
    </row>
    <row r="343" spans="1:2" x14ac:dyDescent="0.35">
      <c r="A343" s="6"/>
      <c r="B343" s="3"/>
    </row>
    <row r="344" spans="1:2" x14ac:dyDescent="0.35">
      <c r="A344" s="6"/>
      <c r="B344" s="3"/>
    </row>
    <row r="345" spans="1:2" x14ac:dyDescent="0.35">
      <c r="A345" s="6"/>
      <c r="B345" s="3"/>
    </row>
    <row r="346" spans="1:2" x14ac:dyDescent="0.35">
      <c r="A346" s="6"/>
      <c r="B346" s="3"/>
    </row>
    <row r="347" spans="1:2" x14ac:dyDescent="0.35">
      <c r="A347" s="6"/>
      <c r="B347" s="3"/>
    </row>
    <row r="348" spans="1:2" x14ac:dyDescent="0.35">
      <c r="A348" s="6"/>
      <c r="B348" s="3"/>
    </row>
    <row r="349" spans="1:2" x14ac:dyDescent="0.35">
      <c r="A349" s="6"/>
      <c r="B349" s="3"/>
    </row>
    <row r="350" spans="1:2" x14ac:dyDescent="0.35">
      <c r="A350" s="6"/>
      <c r="B350" s="3"/>
    </row>
    <row r="351" spans="1:2" x14ac:dyDescent="0.35">
      <c r="A351" s="6"/>
      <c r="B351" s="3"/>
    </row>
    <row r="352" spans="1:2" x14ac:dyDescent="0.35">
      <c r="A352" s="6"/>
      <c r="B352" s="3"/>
    </row>
    <row r="353" spans="1:2" x14ac:dyDescent="0.35">
      <c r="A353" s="6"/>
      <c r="B353" s="3"/>
    </row>
    <row r="354" spans="1:2" x14ac:dyDescent="0.35">
      <c r="A354" s="6"/>
      <c r="B354" s="3"/>
    </row>
    <row r="355" spans="1:2" x14ac:dyDescent="0.35">
      <c r="A355" s="6"/>
      <c r="B355" s="3"/>
    </row>
    <row r="356" spans="1:2" x14ac:dyDescent="0.35">
      <c r="A356" s="6"/>
      <c r="B356" s="3"/>
    </row>
    <row r="357" spans="1:2" x14ac:dyDescent="0.35">
      <c r="A357" s="6"/>
      <c r="B357" s="3"/>
    </row>
    <row r="358" spans="1:2" x14ac:dyDescent="0.35">
      <c r="A358" s="6"/>
      <c r="B358" s="3"/>
    </row>
    <row r="359" spans="1:2" x14ac:dyDescent="0.35">
      <c r="A359" s="6"/>
      <c r="B359" s="3"/>
    </row>
    <row r="360" spans="1:2" x14ac:dyDescent="0.35">
      <c r="A360" s="6"/>
      <c r="B360" s="3"/>
    </row>
    <row r="361" spans="1:2" x14ac:dyDescent="0.35">
      <c r="A361" s="6"/>
      <c r="B361" s="3"/>
    </row>
    <row r="362" spans="1:2" x14ac:dyDescent="0.35">
      <c r="A362" s="6"/>
      <c r="B362" s="3"/>
    </row>
  </sheetData>
  <sortState xmlns:xlrd2="http://schemas.microsoft.com/office/spreadsheetml/2017/richdata2" ref="A2:K362">
    <sortCondition ref="C1:C362"/>
  </sortState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3EAB-80B0-4681-99B5-806827ABF383}">
  <dimension ref="A1:N490"/>
  <sheetViews>
    <sheetView topLeftCell="B1" workbookViewId="0">
      <selection activeCell="B1" sqref="A1:XFD1048576"/>
    </sheetView>
  </sheetViews>
  <sheetFormatPr defaultRowHeight="14.5" x14ac:dyDescent="0.35"/>
  <cols>
    <col min="2" max="2" width="15.08984375" bestFit="1" customWidth="1"/>
    <col min="5" max="5" width="7.1796875" bestFit="1" customWidth="1"/>
    <col min="6" max="6" width="5.1796875" bestFit="1" customWidth="1"/>
    <col min="7" max="8" width="5.81640625" bestFit="1" customWidth="1"/>
    <col min="9" max="13" width="11.81640625" bestFit="1" customWidth="1"/>
  </cols>
  <sheetData>
    <row r="1" spans="1:14" x14ac:dyDescent="0.35">
      <c r="A1" t="s">
        <v>4</v>
      </c>
      <c r="B1" s="1" t="s">
        <v>0</v>
      </c>
      <c r="C1" t="s">
        <v>1</v>
      </c>
      <c r="D1" t="s">
        <v>53</v>
      </c>
      <c r="E1" t="s">
        <v>2</v>
      </c>
      <c r="F1" t="s">
        <v>54</v>
      </c>
      <c r="G1" t="s">
        <v>3</v>
      </c>
      <c r="H1" t="s">
        <v>57</v>
      </c>
      <c r="I1" t="s">
        <v>55</v>
      </c>
      <c r="J1" t="s">
        <v>56</v>
      </c>
      <c r="K1" t="s">
        <v>58</v>
      </c>
      <c r="L1" t="s">
        <v>60</v>
      </c>
      <c r="M1" t="s">
        <v>61</v>
      </c>
      <c r="N1" t="s">
        <v>62</v>
      </c>
    </row>
    <row r="2" spans="1:14" x14ac:dyDescent="0.35">
      <c r="A2" t="s">
        <v>37</v>
      </c>
      <c r="B2" s="1">
        <v>44798</v>
      </c>
      <c r="C2" s="3">
        <v>2.0833333333333332E-2</v>
      </c>
      <c r="D2" t="s">
        <v>49</v>
      </c>
      <c r="E2" t="s">
        <v>17</v>
      </c>
      <c r="F2" s="1" t="s">
        <v>47</v>
      </c>
      <c r="G2">
        <v>0.45700000000000002</v>
      </c>
      <c r="H2">
        <f>MAX(G2:G43)</f>
        <v>0.68200000000000005</v>
      </c>
      <c r="I2">
        <f t="shared" ref="I2:I65" si="0">(H2-G2)/G2</f>
        <v>0.49234135667396067</v>
      </c>
      <c r="J2">
        <f t="shared" ref="J2:J65" si="1">119*10^-6*(I2^1.231)</f>
        <v>4.974240725833588E-5</v>
      </c>
      <c r="K2">
        <f>J2*10^6</f>
        <v>49.742407258335881</v>
      </c>
      <c r="L2">
        <v>1541.5980916249998</v>
      </c>
      <c r="M2">
        <f>K2*(L2/10000)</f>
        <v>7.6682800102284139</v>
      </c>
      <c r="N2">
        <v>18.9712</v>
      </c>
    </row>
    <row r="3" spans="1:14" x14ac:dyDescent="0.35">
      <c r="A3" t="s">
        <v>37</v>
      </c>
      <c r="B3" s="2">
        <v>44798</v>
      </c>
      <c r="C3" s="3">
        <v>4.1666666666666664E-2</v>
      </c>
      <c r="D3" t="s">
        <v>49</v>
      </c>
      <c r="E3" t="s">
        <v>17</v>
      </c>
      <c r="F3" s="1" t="s">
        <v>47</v>
      </c>
      <c r="G3">
        <v>0.53</v>
      </c>
      <c r="H3">
        <v>0.68200000000000005</v>
      </c>
      <c r="I3">
        <f t="shared" si="0"/>
        <v>0.28679245283018873</v>
      </c>
      <c r="J3">
        <f t="shared" si="1"/>
        <v>2.5574833951712807E-5</v>
      </c>
      <c r="K3">
        <f t="shared" ref="K3:K66" si="2">J3*10^6</f>
        <v>25.574833951712808</v>
      </c>
      <c r="L3">
        <v>1541.5980916249998</v>
      </c>
      <c r="M3">
        <f t="shared" ref="M3:M66" si="3">K3*(L3/10000)</f>
        <v>3.9426115213586721</v>
      </c>
      <c r="N3">
        <v>18.934799999999999</v>
      </c>
    </row>
    <row r="4" spans="1:14" x14ac:dyDescent="0.35">
      <c r="A4" t="s">
        <v>37</v>
      </c>
      <c r="B4" s="2">
        <v>44798</v>
      </c>
      <c r="C4" s="3">
        <v>6.25E-2</v>
      </c>
      <c r="D4" t="s">
        <v>49</v>
      </c>
      <c r="E4" t="s">
        <v>17</v>
      </c>
      <c r="F4" s="1" t="s">
        <v>47</v>
      </c>
      <c r="G4">
        <v>0.56100000000000005</v>
      </c>
      <c r="H4">
        <v>0.68200000000000005</v>
      </c>
      <c r="I4">
        <f t="shared" si="0"/>
        <v>0.2156862745098039</v>
      </c>
      <c r="J4">
        <f t="shared" si="1"/>
        <v>1.8008704422597114E-5</v>
      </c>
      <c r="K4">
        <f t="shared" si="2"/>
        <v>18.008704422597113</v>
      </c>
      <c r="L4">
        <v>1541.5980916249998</v>
      </c>
      <c r="M4">
        <f t="shared" si="3"/>
        <v>2.7762184370514404</v>
      </c>
      <c r="N4">
        <v>18.515899999999998</v>
      </c>
    </row>
    <row r="5" spans="1:14" x14ac:dyDescent="0.35">
      <c r="A5" t="s">
        <v>37</v>
      </c>
      <c r="B5" s="2">
        <v>44798</v>
      </c>
      <c r="C5" s="3">
        <v>8.3333333333333329E-2</v>
      </c>
      <c r="D5" t="s">
        <v>49</v>
      </c>
      <c r="E5" t="s">
        <v>17</v>
      </c>
      <c r="F5" s="1" t="s">
        <v>47</v>
      </c>
      <c r="G5">
        <v>0.57899999999999996</v>
      </c>
      <c r="H5">
        <v>0.68200000000000005</v>
      </c>
      <c r="I5">
        <f t="shared" si="0"/>
        <v>0.17789291882556149</v>
      </c>
      <c r="J5">
        <f t="shared" si="1"/>
        <v>1.4206669362062181E-5</v>
      </c>
      <c r="K5">
        <f t="shared" si="2"/>
        <v>14.206669362062181</v>
      </c>
      <c r="L5">
        <v>1541.5980916249998</v>
      </c>
      <c r="M5">
        <f t="shared" si="3"/>
        <v>2.1900974376902416</v>
      </c>
      <c r="N5">
        <v>18.233899999999998</v>
      </c>
    </row>
    <row r="6" spans="1:14" x14ac:dyDescent="0.35">
      <c r="A6" t="s">
        <v>37</v>
      </c>
      <c r="B6" s="2">
        <v>44798</v>
      </c>
      <c r="C6" s="3">
        <v>0.10416666666666667</v>
      </c>
      <c r="D6" t="s">
        <v>49</v>
      </c>
      <c r="E6" t="s">
        <v>17</v>
      </c>
      <c r="F6" s="1" t="s">
        <v>47</v>
      </c>
      <c r="G6">
        <v>0.59</v>
      </c>
      <c r="H6">
        <v>0.68200000000000005</v>
      </c>
      <c r="I6">
        <f t="shared" si="0"/>
        <v>0.15593220338983066</v>
      </c>
      <c r="J6">
        <f t="shared" si="1"/>
        <v>1.2079555416206995E-5</v>
      </c>
      <c r="K6">
        <f t="shared" si="2"/>
        <v>12.079555416206995</v>
      </c>
      <c r="L6">
        <v>1541.5980916249998</v>
      </c>
      <c r="M6">
        <f t="shared" si="3"/>
        <v>1.8621819577303136</v>
      </c>
      <c r="N6">
        <v>17.8123</v>
      </c>
    </row>
    <row r="7" spans="1:14" x14ac:dyDescent="0.35">
      <c r="A7" t="s">
        <v>37</v>
      </c>
      <c r="B7" s="2">
        <v>44798</v>
      </c>
      <c r="C7" s="3">
        <v>0.125</v>
      </c>
      <c r="D7" t="s">
        <v>49</v>
      </c>
      <c r="E7" t="s">
        <v>17</v>
      </c>
      <c r="F7" s="1" t="s">
        <v>47</v>
      </c>
      <c r="G7">
        <v>0.59599999999999997</v>
      </c>
      <c r="H7">
        <v>0.68200000000000005</v>
      </c>
      <c r="I7">
        <f t="shared" si="0"/>
        <v>0.14429530201342294</v>
      </c>
      <c r="J7">
        <f t="shared" si="1"/>
        <v>1.0979597234204496E-5</v>
      </c>
      <c r="K7">
        <f t="shared" si="2"/>
        <v>10.979597234204496</v>
      </c>
      <c r="L7">
        <v>1541.5980916249998</v>
      </c>
      <c r="M7">
        <f t="shared" si="3"/>
        <v>1.6926126143060778</v>
      </c>
      <c r="N7">
        <v>16.4025</v>
      </c>
    </row>
    <row r="8" spans="1:14" x14ac:dyDescent="0.35">
      <c r="A8" t="s">
        <v>37</v>
      </c>
      <c r="B8" s="2">
        <v>44798</v>
      </c>
      <c r="C8" s="3">
        <v>0.14583333333333334</v>
      </c>
      <c r="D8" t="s">
        <v>49</v>
      </c>
      <c r="E8" t="s">
        <v>17</v>
      </c>
      <c r="F8" s="1" t="s">
        <v>47</v>
      </c>
      <c r="G8">
        <v>0.60099999999999998</v>
      </c>
      <c r="H8">
        <v>0.68200000000000005</v>
      </c>
      <c r="I8">
        <f t="shared" si="0"/>
        <v>0.13477537437604006</v>
      </c>
      <c r="J8">
        <f t="shared" si="1"/>
        <v>1.0094795945120852E-5</v>
      </c>
      <c r="K8">
        <f t="shared" si="2"/>
        <v>10.094795945120852</v>
      </c>
      <c r="L8">
        <v>1541.5980916249998</v>
      </c>
      <c r="M8">
        <f t="shared" si="3"/>
        <v>1.5562118164342094</v>
      </c>
      <c r="N8">
        <v>16.348600000000001</v>
      </c>
    </row>
    <row r="9" spans="1:14" x14ac:dyDescent="0.35">
      <c r="A9" t="s">
        <v>37</v>
      </c>
      <c r="B9" s="2">
        <v>44798</v>
      </c>
      <c r="C9" s="3">
        <v>0.16666666666666666</v>
      </c>
      <c r="D9" t="s">
        <v>49</v>
      </c>
      <c r="E9" t="s">
        <v>17</v>
      </c>
      <c r="F9" s="1" t="s">
        <v>47</v>
      </c>
      <c r="G9">
        <v>0.60499999999999998</v>
      </c>
      <c r="H9">
        <v>0.68200000000000005</v>
      </c>
      <c r="I9">
        <f t="shared" si="0"/>
        <v>0.1272727272727274</v>
      </c>
      <c r="J9">
        <f t="shared" si="1"/>
        <v>9.4075422594503465E-6</v>
      </c>
      <c r="K9">
        <f t="shared" si="2"/>
        <v>9.4075422594503468</v>
      </c>
      <c r="L9">
        <v>1541.5980916249998</v>
      </c>
      <c r="M9">
        <f t="shared" si="3"/>
        <v>1.4502649194050194</v>
      </c>
      <c r="N9">
        <v>16.8688</v>
      </c>
    </row>
    <row r="10" spans="1:14" x14ac:dyDescent="0.35">
      <c r="A10" t="s">
        <v>37</v>
      </c>
      <c r="B10" s="2">
        <v>44798</v>
      </c>
      <c r="C10" s="3">
        <v>0.1875</v>
      </c>
      <c r="D10" t="s">
        <v>49</v>
      </c>
      <c r="E10" t="s">
        <v>17</v>
      </c>
      <c r="F10" s="1" t="s">
        <v>47</v>
      </c>
      <c r="G10">
        <v>0.60799999999999998</v>
      </c>
      <c r="H10">
        <v>0.68200000000000005</v>
      </c>
      <c r="I10">
        <f t="shared" si="0"/>
        <v>0.12171052631578959</v>
      </c>
      <c r="J10">
        <f t="shared" si="1"/>
        <v>8.9040153965631864E-6</v>
      </c>
      <c r="K10">
        <f t="shared" si="2"/>
        <v>8.904015396563187</v>
      </c>
      <c r="L10">
        <v>1541.5980916249998</v>
      </c>
      <c r="M10">
        <f t="shared" si="3"/>
        <v>1.3726413143141427</v>
      </c>
      <c r="N10">
        <v>16.1252</v>
      </c>
    </row>
    <row r="11" spans="1:14" x14ac:dyDescent="0.35">
      <c r="A11" t="s">
        <v>37</v>
      </c>
      <c r="B11" s="2">
        <v>44798</v>
      </c>
      <c r="C11" s="3">
        <v>0.20833333333333334</v>
      </c>
      <c r="D11" t="s">
        <v>49</v>
      </c>
      <c r="E11" t="s">
        <v>17</v>
      </c>
      <c r="F11" s="1" t="s">
        <v>47</v>
      </c>
      <c r="G11">
        <v>0.61</v>
      </c>
      <c r="H11">
        <v>0.68200000000000005</v>
      </c>
      <c r="I11">
        <f t="shared" si="0"/>
        <v>0.118032786885246</v>
      </c>
      <c r="J11">
        <f t="shared" si="1"/>
        <v>8.5739754884394157E-6</v>
      </c>
      <c r="K11">
        <f t="shared" si="2"/>
        <v>8.5739754884394159</v>
      </c>
      <c r="L11">
        <v>1541.5980916249998</v>
      </c>
      <c r="M11">
        <f t="shared" si="3"/>
        <v>1.321762425061773</v>
      </c>
      <c r="N11">
        <v>15.5992</v>
      </c>
    </row>
    <row r="12" spans="1:14" x14ac:dyDescent="0.35">
      <c r="A12" t="s">
        <v>37</v>
      </c>
      <c r="B12" s="2">
        <v>44798</v>
      </c>
      <c r="C12" s="3">
        <v>0.22916666666666666</v>
      </c>
      <c r="D12" t="s">
        <v>49</v>
      </c>
      <c r="E12" t="s">
        <v>17</v>
      </c>
      <c r="F12" s="1" t="s">
        <v>47</v>
      </c>
      <c r="G12">
        <v>0.61299999999999999</v>
      </c>
      <c r="H12">
        <v>0.68200000000000005</v>
      </c>
      <c r="I12">
        <f t="shared" si="0"/>
        <v>0.11256117455138673</v>
      </c>
      <c r="J12">
        <f t="shared" si="1"/>
        <v>8.0873520349304548E-6</v>
      </c>
      <c r="K12">
        <f t="shared" si="2"/>
        <v>8.0873520349304542</v>
      </c>
      <c r="L12">
        <v>1541.5980916249998</v>
      </c>
      <c r="M12">
        <f t="shared" si="3"/>
        <v>1.2467446463348348</v>
      </c>
      <c r="N12">
        <v>16.130700000000001</v>
      </c>
    </row>
    <row r="13" spans="1:14" x14ac:dyDescent="0.35">
      <c r="A13" t="s">
        <v>37</v>
      </c>
      <c r="B13" s="2">
        <v>44798</v>
      </c>
      <c r="C13" s="3">
        <v>0.25</v>
      </c>
      <c r="D13" t="s">
        <v>49</v>
      </c>
      <c r="E13" t="s">
        <v>17</v>
      </c>
      <c r="F13" s="1" t="s">
        <v>47</v>
      </c>
      <c r="G13">
        <v>0.61399999999999999</v>
      </c>
      <c r="H13">
        <v>0.68200000000000005</v>
      </c>
      <c r="I13">
        <f t="shared" si="0"/>
        <v>0.11074918566775255</v>
      </c>
      <c r="J13">
        <f t="shared" si="1"/>
        <v>7.9273889698283167E-6</v>
      </c>
      <c r="K13">
        <f t="shared" si="2"/>
        <v>7.9273889698283169</v>
      </c>
      <c r="L13">
        <v>1541.5980916249998</v>
      </c>
      <c r="M13">
        <f t="shared" si="3"/>
        <v>1.2220847707456408</v>
      </c>
      <c r="N13">
        <v>16.479099999999999</v>
      </c>
    </row>
    <row r="14" spans="1:14" x14ac:dyDescent="0.35">
      <c r="A14" t="s">
        <v>37</v>
      </c>
      <c r="B14" s="2">
        <v>44798</v>
      </c>
      <c r="C14" s="3">
        <v>0.3125</v>
      </c>
      <c r="D14" t="s">
        <v>49</v>
      </c>
      <c r="E14" t="s">
        <v>17</v>
      </c>
      <c r="F14" s="1" t="s">
        <v>47</v>
      </c>
      <c r="G14">
        <v>0.61</v>
      </c>
      <c r="H14">
        <v>0.68200000000000005</v>
      </c>
      <c r="I14">
        <f t="shared" si="0"/>
        <v>0.118032786885246</v>
      </c>
      <c r="J14">
        <f t="shared" si="1"/>
        <v>8.5739754884394157E-6</v>
      </c>
      <c r="K14">
        <f t="shared" si="2"/>
        <v>8.5739754884394159</v>
      </c>
      <c r="L14">
        <v>1541.5980916249998</v>
      </c>
      <c r="M14">
        <f t="shared" si="3"/>
        <v>1.321762425061773</v>
      </c>
      <c r="N14">
        <v>16.977</v>
      </c>
    </row>
    <row r="15" spans="1:14" x14ac:dyDescent="0.35">
      <c r="A15" t="s">
        <v>37</v>
      </c>
      <c r="B15" s="2">
        <v>44798</v>
      </c>
      <c r="C15" s="3">
        <v>0.33333333333333331</v>
      </c>
      <c r="D15" t="s">
        <v>49</v>
      </c>
      <c r="E15" t="s">
        <v>17</v>
      </c>
      <c r="F15" s="1" t="s">
        <v>47</v>
      </c>
      <c r="G15">
        <v>0.59699999999999998</v>
      </c>
      <c r="H15">
        <v>0.68200000000000005</v>
      </c>
      <c r="I15">
        <f t="shared" si="0"/>
        <v>0.14237855946398673</v>
      </c>
      <c r="J15">
        <f t="shared" si="1"/>
        <v>1.0800335767873483E-5</v>
      </c>
      <c r="K15">
        <f t="shared" si="2"/>
        <v>10.800335767873483</v>
      </c>
      <c r="L15">
        <v>1541.5980916249998</v>
      </c>
      <c r="M15">
        <f t="shared" si="3"/>
        <v>1.6649777008662989</v>
      </c>
      <c r="N15">
        <v>17.670500000000001</v>
      </c>
    </row>
    <row r="16" spans="1:14" x14ac:dyDescent="0.35">
      <c r="A16" t="s">
        <v>37</v>
      </c>
      <c r="B16" s="2">
        <v>44798</v>
      </c>
      <c r="C16" s="3">
        <v>0.35416666666666669</v>
      </c>
      <c r="D16" t="s">
        <v>49</v>
      </c>
      <c r="E16" t="s">
        <v>17</v>
      </c>
      <c r="F16" s="1" t="s">
        <v>47</v>
      </c>
      <c r="G16">
        <v>0.56499999999999995</v>
      </c>
      <c r="H16">
        <v>0.68200000000000005</v>
      </c>
      <c r="I16">
        <f t="shared" si="0"/>
        <v>0.20707964601769932</v>
      </c>
      <c r="J16">
        <f t="shared" si="1"/>
        <v>1.7128215480483448E-5</v>
      </c>
      <c r="K16">
        <f t="shared" si="2"/>
        <v>17.128215480483448</v>
      </c>
      <c r="L16">
        <v>1541.5980916249998</v>
      </c>
      <c r="M16">
        <f t="shared" si="3"/>
        <v>2.6404824297655063</v>
      </c>
      <c r="N16">
        <v>19.735800000000001</v>
      </c>
    </row>
    <row r="17" spans="1:14" x14ac:dyDescent="0.35">
      <c r="A17" t="s">
        <v>37</v>
      </c>
      <c r="B17" s="2">
        <v>44798</v>
      </c>
      <c r="C17" s="3">
        <v>0.375</v>
      </c>
      <c r="D17" t="s">
        <v>49</v>
      </c>
      <c r="E17" t="s">
        <v>17</v>
      </c>
      <c r="F17" s="1" t="s">
        <v>47</v>
      </c>
      <c r="G17">
        <v>0.52200000000000002</v>
      </c>
      <c r="H17">
        <v>0.68200000000000005</v>
      </c>
      <c r="I17">
        <f t="shared" si="0"/>
        <v>0.30651340996168586</v>
      </c>
      <c r="J17">
        <f t="shared" si="1"/>
        <v>2.7756600256179417E-5</v>
      </c>
      <c r="K17">
        <f t="shared" si="2"/>
        <v>27.756600256179418</v>
      </c>
      <c r="L17">
        <v>1541.5980916249998</v>
      </c>
      <c r="M17">
        <f t="shared" si="3"/>
        <v>4.2789521984924175</v>
      </c>
      <c r="N17">
        <v>21.372</v>
      </c>
    </row>
    <row r="18" spans="1:14" x14ac:dyDescent="0.35">
      <c r="A18" t="s">
        <v>37</v>
      </c>
      <c r="B18" s="2">
        <v>44798</v>
      </c>
      <c r="C18" s="3">
        <v>0.39583333333333331</v>
      </c>
      <c r="D18" t="s">
        <v>49</v>
      </c>
      <c r="E18" t="s">
        <v>17</v>
      </c>
      <c r="F18" s="1" t="s">
        <v>47</v>
      </c>
      <c r="G18">
        <v>0.47799999999999998</v>
      </c>
      <c r="H18">
        <v>0.68200000000000005</v>
      </c>
      <c r="I18">
        <f t="shared" si="0"/>
        <v>0.42677824267782444</v>
      </c>
      <c r="J18">
        <f t="shared" si="1"/>
        <v>4.1718237938951199E-5</v>
      </c>
      <c r="K18">
        <f t="shared" si="2"/>
        <v>41.718237938951198</v>
      </c>
      <c r="L18">
        <v>1541.5980916249998</v>
      </c>
      <c r="M18">
        <f t="shared" si="3"/>
        <v>6.4312755992644837</v>
      </c>
      <c r="N18">
        <v>21.978100000000001</v>
      </c>
    </row>
    <row r="19" spans="1:14" x14ac:dyDescent="0.35">
      <c r="A19" t="s">
        <v>37</v>
      </c>
      <c r="B19" s="2">
        <v>44798</v>
      </c>
      <c r="C19" s="3">
        <v>0.41666666666666669</v>
      </c>
      <c r="D19" t="s">
        <v>49</v>
      </c>
      <c r="E19" t="s">
        <v>17</v>
      </c>
      <c r="F19" s="1" t="s">
        <v>47</v>
      </c>
      <c r="G19">
        <v>0.441</v>
      </c>
      <c r="H19">
        <v>0.68200000000000005</v>
      </c>
      <c r="I19">
        <f t="shared" si="0"/>
        <v>0.54648526077097515</v>
      </c>
      <c r="J19">
        <f t="shared" si="1"/>
        <v>5.6559561943090366E-5</v>
      </c>
      <c r="K19">
        <f t="shared" si="2"/>
        <v>56.559561943090365</v>
      </c>
      <c r="L19">
        <v>1541.5980916249998</v>
      </c>
      <c r="M19">
        <f t="shared" si="3"/>
        <v>8.719211275461408</v>
      </c>
      <c r="N19">
        <v>23.452400000000001</v>
      </c>
    </row>
    <row r="20" spans="1:14" x14ac:dyDescent="0.35">
      <c r="A20" t="s">
        <v>37</v>
      </c>
      <c r="B20" s="2">
        <v>44798</v>
      </c>
      <c r="C20" s="3">
        <v>0.4375</v>
      </c>
      <c r="D20" t="s">
        <v>49</v>
      </c>
      <c r="E20" t="s">
        <v>17</v>
      </c>
      <c r="F20" s="1" t="s">
        <v>47</v>
      </c>
      <c r="G20">
        <v>0.42</v>
      </c>
      <c r="H20">
        <v>0.68200000000000005</v>
      </c>
      <c r="I20">
        <f t="shared" si="0"/>
        <v>0.62380952380952404</v>
      </c>
      <c r="J20">
        <f t="shared" si="1"/>
        <v>6.6566538586218253E-5</v>
      </c>
      <c r="K20">
        <f t="shared" si="2"/>
        <v>66.566538586218257</v>
      </c>
      <c r="L20">
        <v>1541.5980916249998</v>
      </c>
      <c r="M20">
        <f t="shared" si="3"/>
        <v>10.261884885059599</v>
      </c>
      <c r="N20">
        <v>24.829699999999999</v>
      </c>
    </row>
    <row r="21" spans="1:14" x14ac:dyDescent="0.35">
      <c r="A21" t="s">
        <v>37</v>
      </c>
      <c r="B21" s="2">
        <v>44798</v>
      </c>
      <c r="C21" s="3">
        <v>0.45833333333333331</v>
      </c>
      <c r="D21" t="s">
        <v>49</v>
      </c>
      <c r="E21" t="s">
        <v>17</v>
      </c>
      <c r="F21" s="1" t="s">
        <v>47</v>
      </c>
      <c r="G21">
        <v>0.42099999999999999</v>
      </c>
      <c r="H21">
        <v>0.68200000000000005</v>
      </c>
      <c r="I21">
        <f t="shared" si="0"/>
        <v>0.6199524940617579</v>
      </c>
      <c r="J21">
        <f t="shared" si="1"/>
        <v>6.6060242856831678E-5</v>
      </c>
      <c r="K21">
        <f t="shared" si="2"/>
        <v>66.060242856831678</v>
      </c>
      <c r="L21">
        <v>1541.5980916249998</v>
      </c>
      <c r="M21">
        <f t="shared" si="3"/>
        <v>10.183834432037575</v>
      </c>
      <c r="N21">
        <v>27.316099999999999</v>
      </c>
    </row>
    <row r="22" spans="1:14" x14ac:dyDescent="0.35">
      <c r="A22" t="s">
        <v>37</v>
      </c>
      <c r="B22" s="2">
        <v>44798</v>
      </c>
      <c r="C22" s="3">
        <v>0.47916666666666669</v>
      </c>
      <c r="D22" t="s">
        <v>49</v>
      </c>
      <c r="E22" t="s">
        <v>17</v>
      </c>
      <c r="F22" s="1" t="s">
        <v>47</v>
      </c>
      <c r="G22">
        <v>0.42899999999999999</v>
      </c>
      <c r="H22">
        <v>0.68200000000000005</v>
      </c>
      <c r="I22">
        <f t="shared" si="0"/>
        <v>0.58974358974358987</v>
      </c>
      <c r="J22">
        <f t="shared" si="1"/>
        <v>6.2120278810978572E-5</v>
      </c>
      <c r="K22">
        <f t="shared" si="2"/>
        <v>62.120278810978569</v>
      </c>
      <c r="L22">
        <v>1541.5980916249998</v>
      </c>
      <c r="M22">
        <f t="shared" si="3"/>
        <v>9.5764503266217478</v>
      </c>
      <c r="N22">
        <v>28.334</v>
      </c>
    </row>
    <row r="23" spans="1:14" x14ac:dyDescent="0.35">
      <c r="A23" t="s">
        <v>37</v>
      </c>
      <c r="B23" s="1">
        <v>44798</v>
      </c>
      <c r="C23" s="3">
        <v>2.0833333333333332E-2</v>
      </c>
      <c r="D23" t="s">
        <v>52</v>
      </c>
      <c r="E23" t="s">
        <v>17</v>
      </c>
      <c r="F23" s="1" t="s">
        <v>47</v>
      </c>
      <c r="G23">
        <v>0.49299999999999999</v>
      </c>
      <c r="H23">
        <v>0.68200000000000005</v>
      </c>
      <c r="I23">
        <f t="shared" si="0"/>
        <v>0.38336713995943217</v>
      </c>
      <c r="J23">
        <f t="shared" si="1"/>
        <v>3.6557533336781202E-5</v>
      </c>
      <c r="K23">
        <f t="shared" si="2"/>
        <v>36.557533336781205</v>
      </c>
      <c r="L23">
        <v>4170.0952316250005</v>
      </c>
      <c r="M23">
        <f t="shared" si="3"/>
        <v>15.244839544768331</v>
      </c>
    </row>
    <row r="24" spans="1:14" x14ac:dyDescent="0.35">
      <c r="A24" t="s">
        <v>37</v>
      </c>
      <c r="B24" s="2">
        <v>44798</v>
      </c>
      <c r="C24" s="3">
        <v>4.1666666666666664E-2</v>
      </c>
      <c r="D24" t="s">
        <v>52</v>
      </c>
      <c r="E24" t="s">
        <v>17</v>
      </c>
      <c r="F24" s="1" t="s">
        <v>47</v>
      </c>
      <c r="G24">
        <v>0.56000000000000005</v>
      </c>
      <c r="H24">
        <v>0.68200000000000005</v>
      </c>
      <c r="I24">
        <f t="shared" si="0"/>
        <v>0.21785714285714283</v>
      </c>
      <c r="J24">
        <f t="shared" si="1"/>
        <v>1.8232089819515548E-5</v>
      </c>
      <c r="K24">
        <f t="shared" si="2"/>
        <v>18.232089819515547</v>
      </c>
      <c r="L24">
        <v>4170.0952316250005</v>
      </c>
      <c r="M24">
        <f t="shared" si="3"/>
        <v>7.6029550818920502</v>
      </c>
    </row>
    <row r="25" spans="1:14" x14ac:dyDescent="0.35">
      <c r="A25" t="s">
        <v>37</v>
      </c>
      <c r="B25" s="2">
        <v>44798</v>
      </c>
      <c r="C25" s="3">
        <v>6.25E-2</v>
      </c>
      <c r="D25" t="s">
        <v>52</v>
      </c>
      <c r="E25" t="s">
        <v>17</v>
      </c>
      <c r="F25" s="1" t="s">
        <v>47</v>
      </c>
      <c r="G25">
        <v>0.58799999999999997</v>
      </c>
      <c r="H25">
        <v>0.68200000000000005</v>
      </c>
      <c r="I25">
        <f t="shared" si="0"/>
        <v>0.15986394557823144</v>
      </c>
      <c r="J25">
        <f t="shared" si="1"/>
        <v>1.2455577284052035E-5</v>
      </c>
      <c r="K25">
        <f t="shared" si="2"/>
        <v>12.455577284052035</v>
      </c>
      <c r="L25">
        <v>4170.0952316250005</v>
      </c>
      <c r="M25">
        <f t="shared" si="3"/>
        <v>5.1940943439362064</v>
      </c>
    </row>
    <row r="26" spans="1:14" x14ac:dyDescent="0.35">
      <c r="A26" t="s">
        <v>37</v>
      </c>
      <c r="B26" s="2">
        <v>44798</v>
      </c>
      <c r="C26" s="3">
        <v>8.3333333333333329E-2</v>
      </c>
      <c r="D26" t="s">
        <v>52</v>
      </c>
      <c r="E26" t="s">
        <v>17</v>
      </c>
      <c r="F26" s="1" t="s">
        <v>47</v>
      </c>
      <c r="G26">
        <v>0.60399999999999998</v>
      </c>
      <c r="H26">
        <v>0.68200000000000005</v>
      </c>
      <c r="I26">
        <f t="shared" si="0"/>
        <v>0.12913907284768225</v>
      </c>
      <c r="J26">
        <f t="shared" si="1"/>
        <v>9.5776496353933428E-6</v>
      </c>
      <c r="K26">
        <f t="shared" si="2"/>
        <v>9.5776496353933425</v>
      </c>
      <c r="L26">
        <v>4170.0952316250005</v>
      </c>
      <c r="M26">
        <f t="shared" si="3"/>
        <v>3.9939711074728703</v>
      </c>
    </row>
    <row r="27" spans="1:14" x14ac:dyDescent="0.35">
      <c r="A27" t="s">
        <v>37</v>
      </c>
      <c r="B27" s="2">
        <v>44798</v>
      </c>
      <c r="C27" s="3">
        <v>0.10416666666666667</v>
      </c>
      <c r="D27" t="s">
        <v>52</v>
      </c>
      <c r="E27" t="s">
        <v>17</v>
      </c>
      <c r="F27" s="1" t="s">
        <v>47</v>
      </c>
      <c r="G27">
        <v>0.61499999999999999</v>
      </c>
      <c r="H27">
        <v>0.68200000000000005</v>
      </c>
      <c r="I27">
        <f t="shared" si="0"/>
        <v>0.10894308943089441</v>
      </c>
      <c r="J27">
        <f t="shared" si="1"/>
        <v>7.768546613952568E-6</v>
      </c>
      <c r="K27">
        <f t="shared" si="2"/>
        <v>7.7685466139525676</v>
      </c>
      <c r="L27">
        <v>4170.0952316250005</v>
      </c>
      <c r="M27">
        <f t="shared" si="3"/>
        <v>3.2395579191500148</v>
      </c>
    </row>
    <row r="28" spans="1:14" x14ac:dyDescent="0.35">
      <c r="A28" t="s">
        <v>37</v>
      </c>
      <c r="B28" s="2">
        <v>44798</v>
      </c>
      <c r="C28" s="3">
        <v>0.125</v>
      </c>
      <c r="D28" t="s">
        <v>52</v>
      </c>
      <c r="E28" t="s">
        <v>17</v>
      </c>
      <c r="F28" s="1" t="s">
        <v>47</v>
      </c>
      <c r="G28">
        <v>0.624</v>
      </c>
      <c r="H28">
        <v>0.68200000000000005</v>
      </c>
      <c r="I28">
        <f t="shared" si="0"/>
        <v>9.2948717948718035E-2</v>
      </c>
      <c r="J28">
        <f t="shared" si="1"/>
        <v>6.3893192919356442E-6</v>
      </c>
      <c r="K28">
        <f t="shared" si="2"/>
        <v>6.3893192919356441</v>
      </c>
      <c r="L28">
        <v>4170.0952316250005</v>
      </c>
      <c r="M28">
        <f t="shared" si="3"/>
        <v>2.6644069912630455</v>
      </c>
    </row>
    <row r="29" spans="1:14" x14ac:dyDescent="0.35">
      <c r="A29" t="s">
        <v>37</v>
      </c>
      <c r="B29" s="2">
        <v>44798</v>
      </c>
      <c r="C29" s="3">
        <v>0.14583333333333334</v>
      </c>
      <c r="D29" t="s">
        <v>52</v>
      </c>
      <c r="E29" t="s">
        <v>17</v>
      </c>
      <c r="F29" s="1" t="s">
        <v>47</v>
      </c>
      <c r="G29">
        <v>0.63100000000000001</v>
      </c>
      <c r="H29">
        <v>0.68200000000000005</v>
      </c>
      <c r="I29">
        <f t="shared" si="0"/>
        <v>8.0824088748019093E-2</v>
      </c>
      <c r="J29">
        <f t="shared" si="1"/>
        <v>5.3793488228702041E-6</v>
      </c>
      <c r="K29">
        <f t="shared" si="2"/>
        <v>5.3793488228702042</v>
      </c>
      <c r="L29">
        <v>4170.0952316250005</v>
      </c>
      <c r="M29">
        <f t="shared" si="3"/>
        <v>2.2432396875498597</v>
      </c>
    </row>
    <row r="30" spans="1:14" x14ac:dyDescent="0.35">
      <c r="A30" t="s">
        <v>37</v>
      </c>
      <c r="B30" s="2">
        <v>44798</v>
      </c>
      <c r="C30" s="3">
        <v>0.16666666666666666</v>
      </c>
      <c r="D30" t="s">
        <v>52</v>
      </c>
      <c r="E30" t="s">
        <v>17</v>
      </c>
      <c r="F30" s="1" t="s">
        <v>47</v>
      </c>
      <c r="G30">
        <v>0.63700000000000001</v>
      </c>
      <c r="H30">
        <v>0.68200000000000005</v>
      </c>
      <c r="I30">
        <f t="shared" si="0"/>
        <v>7.0643642072213561E-2</v>
      </c>
      <c r="J30">
        <f t="shared" si="1"/>
        <v>4.5578069326147248E-6</v>
      </c>
      <c r="K30">
        <f t="shared" si="2"/>
        <v>4.5578069326147244</v>
      </c>
      <c r="L30">
        <v>4170.0952316250005</v>
      </c>
      <c r="M30">
        <f t="shared" si="3"/>
        <v>1.9006488956364032</v>
      </c>
    </row>
    <row r="31" spans="1:14" x14ac:dyDescent="0.35">
      <c r="A31" t="s">
        <v>37</v>
      </c>
      <c r="B31" s="2">
        <v>44798</v>
      </c>
      <c r="C31" s="3">
        <v>0.1875</v>
      </c>
      <c r="D31" t="s">
        <v>52</v>
      </c>
      <c r="E31" t="s">
        <v>17</v>
      </c>
      <c r="F31" s="1" t="s">
        <v>47</v>
      </c>
      <c r="G31">
        <v>0.64200000000000002</v>
      </c>
      <c r="H31">
        <v>0.68200000000000005</v>
      </c>
      <c r="I31">
        <f t="shared" si="0"/>
        <v>6.2305295950155819E-2</v>
      </c>
      <c r="J31">
        <f t="shared" si="1"/>
        <v>3.9048754949328271E-6</v>
      </c>
      <c r="K31">
        <f t="shared" si="2"/>
        <v>3.9048754949328273</v>
      </c>
      <c r="L31">
        <v>4170.0952316250005</v>
      </c>
      <c r="M31">
        <f t="shared" si="3"/>
        <v>1.6283702681508698</v>
      </c>
    </row>
    <row r="32" spans="1:14" x14ac:dyDescent="0.35">
      <c r="A32" t="s">
        <v>37</v>
      </c>
      <c r="B32" s="2">
        <v>44798</v>
      </c>
      <c r="C32" s="3">
        <v>0.20833333333333334</v>
      </c>
      <c r="D32" t="s">
        <v>52</v>
      </c>
      <c r="E32" t="s">
        <v>17</v>
      </c>
      <c r="F32" s="1" t="s">
        <v>47</v>
      </c>
      <c r="G32">
        <v>0.64800000000000002</v>
      </c>
      <c r="H32">
        <v>0.68200000000000005</v>
      </c>
      <c r="I32">
        <f t="shared" si="0"/>
        <v>5.2469135802469181E-2</v>
      </c>
      <c r="J32">
        <f t="shared" si="1"/>
        <v>3.1604481959552946E-6</v>
      </c>
      <c r="K32">
        <f t="shared" si="2"/>
        <v>3.1604481959552948</v>
      </c>
      <c r="L32">
        <v>4170.0952316250005</v>
      </c>
      <c r="M32">
        <f t="shared" si="3"/>
        <v>1.317936995175101</v>
      </c>
    </row>
    <row r="33" spans="1:13" x14ac:dyDescent="0.35">
      <c r="A33" t="s">
        <v>37</v>
      </c>
      <c r="B33" s="2">
        <v>44798</v>
      </c>
      <c r="C33" s="3">
        <v>0.22916666666666666</v>
      </c>
      <c r="D33" t="s">
        <v>52</v>
      </c>
      <c r="E33" t="s">
        <v>17</v>
      </c>
      <c r="F33" s="1" t="s">
        <v>47</v>
      </c>
      <c r="G33">
        <v>0.65300000000000002</v>
      </c>
      <c r="H33">
        <v>0.68200000000000005</v>
      </c>
      <c r="I33">
        <f t="shared" si="0"/>
        <v>4.4410413476263434E-2</v>
      </c>
      <c r="J33">
        <f t="shared" si="1"/>
        <v>2.5739539374251639E-6</v>
      </c>
      <c r="K33">
        <f t="shared" si="2"/>
        <v>2.5739539374251641</v>
      </c>
      <c r="L33">
        <v>4170.0952316250005</v>
      </c>
      <c r="M33">
        <f t="shared" si="3"/>
        <v>1.0733633040879071</v>
      </c>
    </row>
    <row r="34" spans="1:13" x14ac:dyDescent="0.35">
      <c r="A34" t="s">
        <v>37</v>
      </c>
      <c r="B34" s="2">
        <v>44798</v>
      </c>
      <c r="C34" s="3">
        <v>0.25</v>
      </c>
      <c r="D34" t="s">
        <v>52</v>
      </c>
      <c r="E34" t="s">
        <v>17</v>
      </c>
      <c r="F34" s="1" t="s">
        <v>47</v>
      </c>
      <c r="G34">
        <v>0.65600000000000003</v>
      </c>
      <c r="H34">
        <v>0.68200000000000005</v>
      </c>
      <c r="I34">
        <f t="shared" si="0"/>
        <v>3.963414634146345E-2</v>
      </c>
      <c r="J34">
        <f t="shared" si="1"/>
        <v>2.2375385503514425E-6</v>
      </c>
      <c r="K34">
        <f t="shared" si="2"/>
        <v>2.2375385503514424</v>
      </c>
      <c r="L34">
        <v>4170.0952316250005</v>
      </c>
      <c r="M34">
        <f t="shared" si="3"/>
        <v>0.93307488393976667</v>
      </c>
    </row>
    <row r="35" spans="1:13" x14ac:dyDescent="0.35">
      <c r="A35" t="s">
        <v>37</v>
      </c>
      <c r="B35" s="2">
        <v>44798</v>
      </c>
      <c r="C35" s="3">
        <v>0.3125</v>
      </c>
      <c r="D35" t="s">
        <v>52</v>
      </c>
      <c r="E35" t="s">
        <v>17</v>
      </c>
      <c r="F35" s="1" t="s">
        <v>47</v>
      </c>
      <c r="G35">
        <v>0.66600000000000004</v>
      </c>
      <c r="H35">
        <v>0.68200000000000005</v>
      </c>
      <c r="I35">
        <f t="shared" si="0"/>
        <v>2.4024024024024045E-2</v>
      </c>
      <c r="J35">
        <f t="shared" si="1"/>
        <v>1.2081528533687347E-6</v>
      </c>
      <c r="K35">
        <f t="shared" si="2"/>
        <v>1.2081528533687347</v>
      </c>
      <c r="L35">
        <v>4170.0952316250005</v>
      </c>
      <c r="M35">
        <f t="shared" si="3"/>
        <v>0.50381124529070986</v>
      </c>
    </row>
    <row r="36" spans="1:13" x14ac:dyDescent="0.35">
      <c r="A36" t="s">
        <v>37</v>
      </c>
      <c r="B36" s="2">
        <v>44798</v>
      </c>
      <c r="C36" s="3">
        <v>0.33333333333333331</v>
      </c>
      <c r="D36" t="s">
        <v>52</v>
      </c>
      <c r="E36" t="s">
        <v>17</v>
      </c>
      <c r="F36" s="1" t="s">
        <v>47</v>
      </c>
      <c r="G36">
        <v>0.66800000000000004</v>
      </c>
      <c r="H36">
        <v>0.68200000000000005</v>
      </c>
      <c r="I36">
        <f t="shared" si="0"/>
        <v>2.0958083832335345E-2</v>
      </c>
      <c r="J36">
        <f t="shared" si="1"/>
        <v>1.0212468923943143E-6</v>
      </c>
      <c r="K36">
        <f t="shared" si="2"/>
        <v>1.0212468923943143</v>
      </c>
      <c r="L36">
        <v>4170.0952316250005</v>
      </c>
      <c r="M36">
        <f t="shared" si="3"/>
        <v>0.425869679628538</v>
      </c>
    </row>
    <row r="37" spans="1:13" x14ac:dyDescent="0.35">
      <c r="A37" t="s">
        <v>37</v>
      </c>
      <c r="B37" s="2">
        <v>44798</v>
      </c>
      <c r="C37" s="3">
        <v>0.35416666666666669</v>
      </c>
      <c r="D37" t="s">
        <v>52</v>
      </c>
      <c r="E37" t="s">
        <v>17</v>
      </c>
      <c r="F37" s="1" t="s">
        <v>47</v>
      </c>
      <c r="G37">
        <v>0.67200000000000004</v>
      </c>
      <c r="H37">
        <v>0.68200000000000005</v>
      </c>
      <c r="I37">
        <f t="shared" si="0"/>
        <v>1.4880952380952394E-2</v>
      </c>
      <c r="J37">
        <f t="shared" si="1"/>
        <v>6.6997004630980984E-7</v>
      </c>
      <c r="K37">
        <f t="shared" si="2"/>
        <v>0.66997004630980983</v>
      </c>
      <c r="L37">
        <v>4170.0952316250005</v>
      </c>
      <c r="M37">
        <f t="shared" si="3"/>
        <v>0.27938388954481186</v>
      </c>
    </row>
    <row r="38" spans="1:13" x14ac:dyDescent="0.35">
      <c r="A38" t="s">
        <v>37</v>
      </c>
      <c r="B38" s="2">
        <v>44798</v>
      </c>
      <c r="C38" s="3">
        <v>0.375</v>
      </c>
      <c r="D38" t="s">
        <v>52</v>
      </c>
      <c r="E38" t="s">
        <v>17</v>
      </c>
      <c r="F38" s="1" t="s">
        <v>47</v>
      </c>
      <c r="G38">
        <v>0.67500000000000004</v>
      </c>
      <c r="H38">
        <v>0.68200000000000005</v>
      </c>
      <c r="I38">
        <f t="shared" si="0"/>
        <v>1.0370370370370379E-2</v>
      </c>
      <c r="J38">
        <f t="shared" si="1"/>
        <v>4.2952624397863745E-7</v>
      </c>
      <c r="K38">
        <f t="shared" si="2"/>
        <v>0.42952624397863742</v>
      </c>
      <c r="L38">
        <v>4170.0952316250005</v>
      </c>
      <c r="M38">
        <f t="shared" si="3"/>
        <v>0.17911653418731124</v>
      </c>
    </row>
    <row r="39" spans="1:13" x14ac:dyDescent="0.35">
      <c r="A39" t="s">
        <v>37</v>
      </c>
      <c r="B39" s="2">
        <v>44798</v>
      </c>
      <c r="C39" s="3">
        <v>0.39583333333333331</v>
      </c>
      <c r="D39" t="s">
        <v>52</v>
      </c>
      <c r="E39" t="s">
        <v>17</v>
      </c>
      <c r="F39" s="1" t="s">
        <v>47</v>
      </c>
      <c r="G39">
        <v>0.67800000000000005</v>
      </c>
      <c r="H39">
        <v>0.68200000000000005</v>
      </c>
      <c r="I39">
        <f t="shared" si="0"/>
        <v>5.8997050147492677E-3</v>
      </c>
      <c r="J39">
        <f t="shared" si="1"/>
        <v>2.1450580891230414E-7</v>
      </c>
      <c r="K39">
        <f t="shared" si="2"/>
        <v>0.21450580891230414</v>
      </c>
      <c r="L39">
        <v>4170.0952316250005</v>
      </c>
      <c r="M39">
        <f t="shared" si="3"/>
        <v>8.9450965090106305E-2</v>
      </c>
    </row>
    <row r="40" spans="1:13" x14ac:dyDescent="0.35">
      <c r="A40" t="s">
        <v>37</v>
      </c>
      <c r="B40" s="2">
        <v>44798</v>
      </c>
      <c r="C40" s="3">
        <v>0.41666666666666669</v>
      </c>
      <c r="D40" t="s">
        <v>52</v>
      </c>
      <c r="E40" t="s">
        <v>17</v>
      </c>
      <c r="F40" s="1" t="s">
        <v>47</v>
      </c>
      <c r="G40">
        <v>0.68</v>
      </c>
      <c r="H40">
        <v>0.68200000000000005</v>
      </c>
      <c r="I40">
        <f t="shared" si="0"/>
        <v>2.9411764705882379E-3</v>
      </c>
      <c r="J40">
        <f t="shared" si="1"/>
        <v>9.1053451829373696E-8</v>
      </c>
      <c r="K40">
        <f t="shared" si="2"/>
        <v>9.1053451829373702E-2</v>
      </c>
      <c r="L40">
        <v>4170.0952316250005</v>
      </c>
      <c r="M40">
        <f t="shared" si="3"/>
        <v>3.7970156529666794E-2</v>
      </c>
    </row>
    <row r="41" spans="1:13" x14ac:dyDescent="0.35">
      <c r="A41" t="s">
        <v>37</v>
      </c>
      <c r="B41" s="2">
        <v>44798</v>
      </c>
      <c r="C41" s="3">
        <v>0.4375</v>
      </c>
      <c r="D41" t="s">
        <v>52</v>
      </c>
      <c r="E41" t="s">
        <v>17</v>
      </c>
      <c r="F41" s="1" t="s">
        <v>47</v>
      </c>
      <c r="G41">
        <v>0.68</v>
      </c>
      <c r="H41">
        <v>0.68200000000000005</v>
      </c>
      <c r="I41">
        <f t="shared" si="0"/>
        <v>2.9411764705882379E-3</v>
      </c>
      <c r="J41">
        <f t="shared" si="1"/>
        <v>9.1053451829373696E-8</v>
      </c>
      <c r="K41">
        <f t="shared" si="2"/>
        <v>9.1053451829373702E-2</v>
      </c>
      <c r="L41">
        <v>4170.0952316250005</v>
      </c>
      <c r="M41">
        <f t="shared" si="3"/>
        <v>3.7970156529666794E-2</v>
      </c>
    </row>
    <row r="42" spans="1:13" x14ac:dyDescent="0.35">
      <c r="A42" t="s">
        <v>37</v>
      </c>
      <c r="B42" s="2">
        <v>44798</v>
      </c>
      <c r="C42" s="3">
        <v>0.45833333333333331</v>
      </c>
      <c r="D42" t="s">
        <v>52</v>
      </c>
      <c r="E42" t="s">
        <v>17</v>
      </c>
      <c r="F42" s="1" t="s">
        <v>47</v>
      </c>
      <c r="G42">
        <v>0.68100000000000005</v>
      </c>
      <c r="H42">
        <v>0.68200000000000005</v>
      </c>
      <c r="I42">
        <f t="shared" si="0"/>
        <v>1.4684287812041128E-3</v>
      </c>
      <c r="J42">
        <f t="shared" si="1"/>
        <v>3.8720670280567667E-8</v>
      </c>
      <c r="K42">
        <f t="shared" si="2"/>
        <v>3.8720670280567665E-2</v>
      </c>
      <c r="L42">
        <v>4170.0952316250005</v>
      </c>
      <c r="M42">
        <f t="shared" si="3"/>
        <v>1.614688825023191E-2</v>
      </c>
    </row>
    <row r="43" spans="1:13" x14ac:dyDescent="0.35">
      <c r="A43" t="s">
        <v>37</v>
      </c>
      <c r="B43" s="2">
        <v>44798</v>
      </c>
      <c r="C43" s="3">
        <v>0.47916666666666669</v>
      </c>
      <c r="D43" t="s">
        <v>52</v>
      </c>
      <c r="E43" t="s">
        <v>17</v>
      </c>
      <c r="F43" s="1" t="s">
        <v>47</v>
      </c>
      <c r="G43">
        <v>0.68200000000000005</v>
      </c>
      <c r="H43">
        <v>0.68200000000000005</v>
      </c>
      <c r="I43">
        <f t="shared" si="0"/>
        <v>0</v>
      </c>
      <c r="J43">
        <f t="shared" si="1"/>
        <v>0</v>
      </c>
      <c r="K43">
        <f t="shared" si="2"/>
        <v>0</v>
      </c>
      <c r="L43">
        <v>4170.0952316250005</v>
      </c>
      <c r="M43">
        <f t="shared" si="3"/>
        <v>0</v>
      </c>
    </row>
    <row r="44" spans="1:13" x14ac:dyDescent="0.35">
      <c r="A44" t="s">
        <v>37</v>
      </c>
      <c r="B44" s="1">
        <v>44798</v>
      </c>
      <c r="C44" s="3">
        <v>2.0833333333333332E-2</v>
      </c>
      <c r="D44" t="s">
        <v>48</v>
      </c>
      <c r="E44" t="s">
        <v>34</v>
      </c>
      <c r="F44" s="1" t="s">
        <v>47</v>
      </c>
      <c r="G44">
        <v>0.64100000000000001</v>
      </c>
      <c r="H44">
        <f>MAX(G44:G85)</f>
        <v>0.80500000000000005</v>
      </c>
      <c r="I44">
        <f t="shared" si="0"/>
        <v>0.25585023400936041</v>
      </c>
      <c r="J44">
        <f t="shared" si="1"/>
        <v>2.2221711452135702E-5</v>
      </c>
      <c r="K44">
        <f t="shared" si="2"/>
        <v>22.2217114521357</v>
      </c>
      <c r="L44">
        <v>2648.4857716249999</v>
      </c>
      <c r="M44">
        <f t="shared" si="3"/>
        <v>5.8853886602137715</v>
      </c>
    </row>
    <row r="45" spans="1:13" x14ac:dyDescent="0.35">
      <c r="A45" t="s">
        <v>37</v>
      </c>
      <c r="B45" s="2">
        <v>44798</v>
      </c>
      <c r="C45" s="3">
        <v>4.1666666666666664E-2</v>
      </c>
      <c r="D45" t="s">
        <v>48</v>
      </c>
      <c r="E45" t="s">
        <v>34</v>
      </c>
      <c r="F45" s="1" t="s">
        <v>47</v>
      </c>
      <c r="G45">
        <v>0.69599999999999995</v>
      </c>
      <c r="H45">
        <v>0.80500000000000005</v>
      </c>
      <c r="I45">
        <f t="shared" si="0"/>
        <v>0.15660919540229901</v>
      </c>
      <c r="J45">
        <f t="shared" si="1"/>
        <v>1.2144146744254475E-5</v>
      </c>
      <c r="K45">
        <f t="shared" si="2"/>
        <v>12.144146744254474</v>
      </c>
      <c r="L45">
        <v>2648.4857716249999</v>
      </c>
      <c r="M45">
        <f t="shared" si="3"/>
        <v>3.216359986068404</v>
      </c>
    </row>
    <row r="46" spans="1:13" x14ac:dyDescent="0.35">
      <c r="A46" t="s">
        <v>37</v>
      </c>
      <c r="B46" s="2">
        <v>44798</v>
      </c>
      <c r="C46" s="3">
        <v>6.25E-2</v>
      </c>
      <c r="D46" t="s">
        <v>48</v>
      </c>
      <c r="E46" t="s">
        <v>34</v>
      </c>
      <c r="F46" s="1" t="s">
        <v>47</v>
      </c>
      <c r="G46">
        <v>0.71499999999999997</v>
      </c>
      <c r="H46">
        <v>0.80500000000000005</v>
      </c>
      <c r="I46">
        <f t="shared" si="0"/>
        <v>0.125874125874126</v>
      </c>
      <c r="J46">
        <f t="shared" si="1"/>
        <v>9.2804439698440792E-6</v>
      </c>
      <c r="K46">
        <f t="shared" si="2"/>
        <v>9.2804439698440788</v>
      </c>
      <c r="L46">
        <v>2648.4857716249999</v>
      </c>
      <c r="M46">
        <f t="shared" si="3"/>
        <v>2.4579123808495074</v>
      </c>
    </row>
    <row r="47" spans="1:13" x14ac:dyDescent="0.35">
      <c r="A47" t="s">
        <v>37</v>
      </c>
      <c r="B47" s="2">
        <v>44798</v>
      </c>
      <c r="C47" s="3">
        <v>8.3333333333333329E-2</v>
      </c>
      <c r="D47" t="s">
        <v>48</v>
      </c>
      <c r="E47" t="s">
        <v>34</v>
      </c>
      <c r="F47" s="1" t="s">
        <v>47</v>
      </c>
      <c r="G47">
        <v>0.72699999999999998</v>
      </c>
      <c r="H47">
        <v>0.80500000000000005</v>
      </c>
      <c r="I47">
        <f t="shared" si="0"/>
        <v>0.10729023383768924</v>
      </c>
      <c r="J47">
        <f t="shared" si="1"/>
        <v>7.6237133320930271E-6</v>
      </c>
      <c r="K47">
        <f t="shared" si="2"/>
        <v>7.6237133320930273</v>
      </c>
      <c r="L47">
        <v>2648.4857716249999</v>
      </c>
      <c r="M47">
        <f t="shared" si="3"/>
        <v>2.0191296286996199</v>
      </c>
    </row>
    <row r="48" spans="1:13" x14ac:dyDescent="0.35">
      <c r="A48" t="s">
        <v>37</v>
      </c>
      <c r="B48" s="2">
        <v>44798</v>
      </c>
      <c r="C48" s="3">
        <v>0.10416666666666667</v>
      </c>
      <c r="D48" t="s">
        <v>48</v>
      </c>
      <c r="E48" t="s">
        <v>34</v>
      </c>
      <c r="F48" s="1" t="s">
        <v>47</v>
      </c>
      <c r="G48">
        <v>0.73599999999999999</v>
      </c>
      <c r="H48">
        <v>0.80500000000000005</v>
      </c>
      <c r="I48">
        <f t="shared" si="0"/>
        <v>9.3750000000000083E-2</v>
      </c>
      <c r="J48">
        <f t="shared" si="1"/>
        <v>6.4571905519240307E-6</v>
      </c>
      <c r="K48">
        <f t="shared" si="2"/>
        <v>6.4571905519240307</v>
      </c>
      <c r="L48">
        <v>2648.4857716249999</v>
      </c>
      <c r="M48">
        <f t="shared" si="3"/>
        <v>1.7101777301442176</v>
      </c>
    </row>
    <row r="49" spans="1:13" x14ac:dyDescent="0.35">
      <c r="A49" t="s">
        <v>37</v>
      </c>
      <c r="B49" s="2">
        <v>44798</v>
      </c>
      <c r="C49" s="3">
        <v>0.125</v>
      </c>
      <c r="D49" t="s">
        <v>48</v>
      </c>
      <c r="E49" t="s">
        <v>34</v>
      </c>
      <c r="F49" s="1" t="s">
        <v>47</v>
      </c>
      <c r="G49">
        <v>0.74299999999999999</v>
      </c>
      <c r="H49">
        <v>0.80500000000000005</v>
      </c>
      <c r="I49">
        <f t="shared" si="0"/>
        <v>8.3445491251682449E-2</v>
      </c>
      <c r="J49">
        <f t="shared" si="1"/>
        <v>5.5949202622540392E-6</v>
      </c>
      <c r="K49">
        <f t="shared" si="2"/>
        <v>5.594920262254039</v>
      </c>
      <c r="L49">
        <v>2648.4857716249999</v>
      </c>
      <c r="M49">
        <f t="shared" si="3"/>
        <v>1.4818066707956234</v>
      </c>
    </row>
    <row r="50" spans="1:13" x14ac:dyDescent="0.35">
      <c r="A50" t="s">
        <v>37</v>
      </c>
      <c r="B50" s="2">
        <v>44798</v>
      </c>
      <c r="C50" s="3">
        <v>0.14583333333333334</v>
      </c>
      <c r="D50" t="s">
        <v>48</v>
      </c>
      <c r="E50" t="s">
        <v>34</v>
      </c>
      <c r="F50" s="1" t="s">
        <v>47</v>
      </c>
      <c r="G50">
        <v>0.75</v>
      </c>
      <c r="H50">
        <v>0.80500000000000005</v>
      </c>
      <c r="I50">
        <f t="shared" si="0"/>
        <v>7.3333333333333403E-2</v>
      </c>
      <c r="J50">
        <f t="shared" si="1"/>
        <v>4.7723580215544529E-6</v>
      </c>
      <c r="K50">
        <f t="shared" si="2"/>
        <v>4.772358021554453</v>
      </c>
      <c r="L50">
        <v>2648.4857716249999</v>
      </c>
      <c r="M50">
        <f t="shared" si="3"/>
        <v>1.2639522317187404</v>
      </c>
    </row>
    <row r="51" spans="1:13" x14ac:dyDescent="0.35">
      <c r="A51" t="s">
        <v>37</v>
      </c>
      <c r="B51" s="2">
        <v>44798</v>
      </c>
      <c r="C51" s="3">
        <v>0.16666666666666666</v>
      </c>
      <c r="D51" t="s">
        <v>48</v>
      </c>
      <c r="E51" t="s">
        <v>34</v>
      </c>
      <c r="F51" s="1" t="s">
        <v>47</v>
      </c>
      <c r="G51">
        <v>0.75600000000000001</v>
      </c>
      <c r="H51">
        <v>0.80500000000000005</v>
      </c>
      <c r="I51">
        <f t="shared" si="0"/>
        <v>6.4814814814814867E-2</v>
      </c>
      <c r="J51">
        <f t="shared" si="1"/>
        <v>4.0993783735527071E-6</v>
      </c>
      <c r="K51">
        <f t="shared" si="2"/>
        <v>4.0993783735527067</v>
      </c>
      <c r="L51">
        <v>2648.4857716249999</v>
      </c>
      <c r="M51">
        <f t="shared" si="3"/>
        <v>1.0857145294861577</v>
      </c>
    </row>
    <row r="52" spans="1:13" x14ac:dyDescent="0.35">
      <c r="A52" t="s">
        <v>37</v>
      </c>
      <c r="B52" s="2">
        <v>44798</v>
      </c>
      <c r="C52" s="3">
        <v>0.1875</v>
      </c>
      <c r="D52" t="s">
        <v>48</v>
      </c>
      <c r="E52" t="s">
        <v>34</v>
      </c>
      <c r="F52" s="1" t="s">
        <v>47</v>
      </c>
      <c r="G52">
        <v>0.76200000000000001</v>
      </c>
      <c r="H52">
        <v>0.80500000000000005</v>
      </c>
      <c r="I52">
        <f t="shared" si="0"/>
        <v>5.643044619422577E-2</v>
      </c>
      <c r="J52">
        <f t="shared" si="1"/>
        <v>3.456687033084219E-6</v>
      </c>
      <c r="K52">
        <f t="shared" si="2"/>
        <v>3.456687033084219</v>
      </c>
      <c r="L52">
        <v>2648.4857716249999</v>
      </c>
      <c r="M52">
        <f t="shared" si="3"/>
        <v>0.91549864240841894</v>
      </c>
    </row>
    <row r="53" spans="1:13" x14ac:dyDescent="0.35">
      <c r="A53" t="s">
        <v>37</v>
      </c>
      <c r="B53" s="2">
        <v>44798</v>
      </c>
      <c r="C53" s="3">
        <v>0.20833333333333334</v>
      </c>
      <c r="D53" t="s">
        <v>48</v>
      </c>
      <c r="E53" t="s">
        <v>34</v>
      </c>
      <c r="F53" s="1" t="s">
        <v>47</v>
      </c>
      <c r="G53">
        <v>0.76600000000000001</v>
      </c>
      <c r="H53">
        <v>0.80500000000000005</v>
      </c>
      <c r="I53">
        <f t="shared" si="0"/>
        <v>5.0913838120104485E-2</v>
      </c>
      <c r="J53">
        <f t="shared" si="1"/>
        <v>3.0455229547876406E-6</v>
      </c>
      <c r="K53">
        <f t="shared" si="2"/>
        <v>3.0455229547876406</v>
      </c>
      <c r="L53">
        <v>2648.4857716249999</v>
      </c>
      <c r="M53">
        <f t="shared" si="3"/>
        <v>0.80660242129123938</v>
      </c>
    </row>
    <row r="54" spans="1:13" x14ac:dyDescent="0.35">
      <c r="A54" t="s">
        <v>37</v>
      </c>
      <c r="B54" s="2">
        <v>44798</v>
      </c>
      <c r="C54" s="3">
        <v>0.22916666666666666</v>
      </c>
      <c r="D54" t="s">
        <v>48</v>
      </c>
      <c r="E54" t="s">
        <v>34</v>
      </c>
      <c r="F54" s="1" t="s">
        <v>47</v>
      </c>
      <c r="G54">
        <v>0.77</v>
      </c>
      <c r="H54">
        <v>0.80500000000000005</v>
      </c>
      <c r="I54">
        <f t="shared" si="0"/>
        <v>4.5454545454545491E-2</v>
      </c>
      <c r="J54">
        <f t="shared" si="1"/>
        <v>2.6486504153007877E-6</v>
      </c>
      <c r="K54">
        <f t="shared" si="2"/>
        <v>2.6486504153007879</v>
      </c>
      <c r="L54">
        <v>2648.4857716249999</v>
      </c>
      <c r="M54">
        <f t="shared" si="3"/>
        <v>0.70149129389327836</v>
      </c>
    </row>
    <row r="55" spans="1:13" x14ac:dyDescent="0.35">
      <c r="A55" t="s">
        <v>37</v>
      </c>
      <c r="B55" s="2">
        <v>44798</v>
      </c>
      <c r="C55" s="3">
        <v>0.25</v>
      </c>
      <c r="D55" t="s">
        <v>48</v>
      </c>
      <c r="E55" t="s">
        <v>34</v>
      </c>
      <c r="F55" s="1" t="s">
        <v>47</v>
      </c>
      <c r="G55">
        <v>0.77200000000000002</v>
      </c>
      <c r="H55">
        <v>0.80500000000000005</v>
      </c>
      <c r="I55">
        <f t="shared" si="0"/>
        <v>4.274611398963734E-2</v>
      </c>
      <c r="J55">
        <f t="shared" si="1"/>
        <v>2.4557306159169812E-6</v>
      </c>
      <c r="K55">
        <f t="shared" si="2"/>
        <v>2.4557306159169814</v>
      </c>
      <c r="L55">
        <v>2648.4857716249999</v>
      </c>
      <c r="M55">
        <f t="shared" si="3"/>
        <v>0.65039675952000231</v>
      </c>
    </row>
    <row r="56" spans="1:13" x14ac:dyDescent="0.35">
      <c r="A56" t="s">
        <v>37</v>
      </c>
      <c r="B56" s="2">
        <v>44798</v>
      </c>
      <c r="C56" s="3">
        <v>0.3125</v>
      </c>
      <c r="D56" t="s">
        <v>48</v>
      </c>
      <c r="E56" t="s">
        <v>34</v>
      </c>
      <c r="F56" s="1" t="s">
        <v>47</v>
      </c>
      <c r="G56">
        <v>0.753</v>
      </c>
      <c r="H56">
        <v>0.80500000000000005</v>
      </c>
      <c r="I56">
        <f t="shared" si="0"/>
        <v>6.9057104913678682E-2</v>
      </c>
      <c r="J56">
        <f t="shared" si="1"/>
        <v>4.4321297080061004E-6</v>
      </c>
      <c r="K56">
        <f t="shared" si="2"/>
        <v>4.4321297080061006</v>
      </c>
      <c r="L56">
        <v>2648.4857716249999</v>
      </c>
      <c r="M56">
        <f t="shared" si="3"/>
        <v>1.1738432469650624</v>
      </c>
    </row>
    <row r="57" spans="1:13" x14ac:dyDescent="0.35">
      <c r="A57" t="s">
        <v>37</v>
      </c>
      <c r="B57" s="2">
        <v>44798</v>
      </c>
      <c r="C57" s="3">
        <v>0.33333333333333331</v>
      </c>
      <c r="D57" t="s">
        <v>48</v>
      </c>
      <c r="E57" t="s">
        <v>34</v>
      </c>
      <c r="F57" s="1" t="s">
        <v>47</v>
      </c>
      <c r="G57">
        <v>0.71</v>
      </c>
      <c r="H57">
        <v>0.80500000000000005</v>
      </c>
      <c r="I57">
        <f t="shared" si="0"/>
        <v>0.13380281690140858</v>
      </c>
      <c r="J57">
        <f t="shared" si="1"/>
        <v>1.000519810618961E-5</v>
      </c>
      <c r="K57">
        <f t="shared" si="2"/>
        <v>10.00519810618961</v>
      </c>
      <c r="L57">
        <v>2648.4857716249999</v>
      </c>
      <c r="M57">
        <f t="shared" si="3"/>
        <v>2.6498624826532575</v>
      </c>
    </row>
    <row r="58" spans="1:13" x14ac:dyDescent="0.35">
      <c r="A58" t="s">
        <v>37</v>
      </c>
      <c r="B58" s="2">
        <v>44798</v>
      </c>
      <c r="C58" s="3">
        <v>0.35416666666666669</v>
      </c>
      <c r="D58" t="s">
        <v>48</v>
      </c>
      <c r="E58" t="s">
        <v>34</v>
      </c>
      <c r="F58" s="1" t="s">
        <v>47</v>
      </c>
      <c r="G58">
        <v>0.63</v>
      </c>
      <c r="H58">
        <v>0.80500000000000005</v>
      </c>
      <c r="I58">
        <f t="shared" si="0"/>
        <v>0.27777777777777785</v>
      </c>
      <c r="J58">
        <f t="shared" si="1"/>
        <v>2.4588870683944809E-5</v>
      </c>
      <c r="K58">
        <f t="shared" si="2"/>
        <v>24.588870683944808</v>
      </c>
      <c r="L58">
        <v>2648.4857716249999</v>
      </c>
      <c r="M58">
        <f t="shared" si="3"/>
        <v>6.5123274146754904</v>
      </c>
    </row>
    <row r="59" spans="1:13" x14ac:dyDescent="0.35">
      <c r="A59" t="s">
        <v>37</v>
      </c>
      <c r="B59" s="2">
        <v>44798</v>
      </c>
      <c r="C59" s="3">
        <v>0.375</v>
      </c>
      <c r="D59" t="s">
        <v>48</v>
      </c>
      <c r="E59" t="s">
        <v>34</v>
      </c>
      <c r="F59" s="1" t="s">
        <v>47</v>
      </c>
      <c r="G59">
        <v>0.56399999999999995</v>
      </c>
      <c r="H59">
        <v>0.80500000000000005</v>
      </c>
      <c r="I59">
        <f t="shared" si="0"/>
        <v>0.42730496453900729</v>
      </c>
      <c r="J59">
        <f t="shared" si="1"/>
        <v>4.1781628554137414E-5</v>
      </c>
      <c r="K59">
        <f t="shared" si="2"/>
        <v>41.781628554137413</v>
      </c>
      <c r="L59">
        <v>2648.4857716249999</v>
      </c>
      <c r="M59">
        <f t="shared" si="3"/>
        <v>11.065804874095376</v>
      </c>
    </row>
    <row r="60" spans="1:13" x14ac:dyDescent="0.35">
      <c r="A60" t="s">
        <v>37</v>
      </c>
      <c r="B60" s="2">
        <v>44798</v>
      </c>
      <c r="C60" s="3">
        <v>0.39583333333333331</v>
      </c>
      <c r="D60" t="s">
        <v>48</v>
      </c>
      <c r="E60" t="s">
        <v>34</v>
      </c>
      <c r="F60" s="1" t="s">
        <v>47</v>
      </c>
      <c r="G60">
        <v>0.54600000000000004</v>
      </c>
      <c r="H60">
        <v>0.80500000000000005</v>
      </c>
      <c r="I60">
        <f t="shared" si="0"/>
        <v>0.47435897435897434</v>
      </c>
      <c r="J60">
        <f t="shared" si="1"/>
        <v>4.7515447938294457E-5</v>
      </c>
      <c r="K60">
        <f t="shared" si="2"/>
        <v>47.515447938294457</v>
      </c>
      <c r="L60">
        <v>2648.4857716249999</v>
      </c>
      <c r="M60">
        <f t="shared" si="3"/>
        <v>12.58439877969613</v>
      </c>
    </row>
    <row r="61" spans="1:13" x14ac:dyDescent="0.35">
      <c r="A61" t="s">
        <v>37</v>
      </c>
      <c r="B61" s="2">
        <v>44798</v>
      </c>
      <c r="C61" s="3">
        <v>0.41666666666666669</v>
      </c>
      <c r="D61" t="s">
        <v>48</v>
      </c>
      <c r="E61" t="s">
        <v>34</v>
      </c>
      <c r="F61" s="1" t="s">
        <v>47</v>
      </c>
      <c r="G61">
        <v>0.53</v>
      </c>
      <c r="H61">
        <v>0.80500000000000005</v>
      </c>
      <c r="I61">
        <f t="shared" si="0"/>
        <v>0.51886792452830188</v>
      </c>
      <c r="J61">
        <f t="shared" si="1"/>
        <v>5.3061791896761889E-5</v>
      </c>
      <c r="K61">
        <f t="shared" si="2"/>
        <v>53.061791896761889</v>
      </c>
      <c r="L61">
        <v>2648.4857716249999</v>
      </c>
      <c r="M61">
        <f t="shared" si="3"/>
        <v>14.053340085550058</v>
      </c>
    </row>
    <row r="62" spans="1:13" x14ac:dyDescent="0.35">
      <c r="A62" t="s">
        <v>37</v>
      </c>
      <c r="B62" s="2">
        <v>44798</v>
      </c>
      <c r="C62" s="3">
        <v>0.4375</v>
      </c>
      <c r="D62" t="s">
        <v>48</v>
      </c>
      <c r="E62" t="s">
        <v>34</v>
      </c>
      <c r="F62" s="1" t="s">
        <v>47</v>
      </c>
      <c r="G62">
        <v>0.52700000000000002</v>
      </c>
      <c r="H62">
        <v>0.80500000000000005</v>
      </c>
      <c r="I62">
        <f t="shared" si="0"/>
        <v>0.5275142314990513</v>
      </c>
      <c r="J62">
        <f t="shared" si="1"/>
        <v>5.4152341245533932E-5</v>
      </c>
      <c r="K62">
        <f t="shared" si="2"/>
        <v>54.152341245533933</v>
      </c>
      <c r="L62">
        <v>2648.4857716249999</v>
      </c>
      <c r="M62">
        <f t="shared" si="3"/>
        <v>14.342170528897825</v>
      </c>
    </row>
    <row r="63" spans="1:13" x14ac:dyDescent="0.35">
      <c r="A63" t="s">
        <v>37</v>
      </c>
      <c r="B63" s="2">
        <v>44798</v>
      </c>
      <c r="C63" s="3">
        <v>0.45833333333333331</v>
      </c>
      <c r="D63" t="s">
        <v>48</v>
      </c>
      <c r="E63" t="s">
        <v>34</v>
      </c>
      <c r="F63" s="1" t="s">
        <v>47</v>
      </c>
      <c r="G63">
        <v>0.54300000000000004</v>
      </c>
      <c r="H63">
        <v>0.80500000000000005</v>
      </c>
      <c r="I63">
        <f t="shared" si="0"/>
        <v>0.48250460405156537</v>
      </c>
      <c r="J63">
        <f t="shared" si="1"/>
        <v>4.8521839929147079E-5</v>
      </c>
      <c r="K63">
        <f t="shared" si="2"/>
        <v>48.521839929147077</v>
      </c>
      <c r="L63">
        <v>2648.4857716249999</v>
      </c>
      <c r="M63">
        <f t="shared" si="3"/>
        <v>12.850940266541183</v>
      </c>
    </row>
    <row r="64" spans="1:13" x14ac:dyDescent="0.35">
      <c r="A64" t="s">
        <v>37</v>
      </c>
      <c r="B64" s="2">
        <v>44798</v>
      </c>
      <c r="C64" s="3">
        <v>0.47916666666666669</v>
      </c>
      <c r="D64" t="s">
        <v>48</v>
      </c>
      <c r="E64" t="s">
        <v>34</v>
      </c>
      <c r="F64" s="1" t="s">
        <v>47</v>
      </c>
      <c r="G64">
        <v>0.55400000000000005</v>
      </c>
      <c r="H64">
        <v>0.80500000000000005</v>
      </c>
      <c r="I64">
        <f t="shared" si="0"/>
        <v>0.45306859205776168</v>
      </c>
      <c r="J64">
        <f t="shared" si="1"/>
        <v>4.4903975489470403E-5</v>
      </c>
      <c r="K64">
        <f t="shared" si="2"/>
        <v>44.903975489470405</v>
      </c>
      <c r="L64">
        <v>2648.4857716249999</v>
      </c>
      <c r="M64">
        <f t="shared" si="3"/>
        <v>11.892754017326011</v>
      </c>
    </row>
    <row r="65" spans="1:13" x14ac:dyDescent="0.35">
      <c r="A65" t="s">
        <v>37</v>
      </c>
      <c r="B65" s="1">
        <v>44798</v>
      </c>
      <c r="C65" s="3">
        <v>2.0833333333333332E-2</v>
      </c>
      <c r="D65" t="s">
        <v>51</v>
      </c>
      <c r="E65" t="s">
        <v>7</v>
      </c>
      <c r="F65" s="1" t="s">
        <v>47</v>
      </c>
      <c r="G65">
        <v>0.63500000000000001</v>
      </c>
      <c r="H65">
        <f>MAX(G65:G106)</f>
        <v>0.82199999999999995</v>
      </c>
      <c r="I65">
        <f t="shared" si="0"/>
        <v>0.29448818897637785</v>
      </c>
      <c r="J65">
        <f t="shared" si="1"/>
        <v>2.6422233316972725E-5</v>
      </c>
      <c r="K65">
        <f t="shared" si="2"/>
        <v>26.422233316972726</v>
      </c>
      <c r="L65">
        <v>10715.577521625</v>
      </c>
      <c r="M65">
        <f>K65*(L65/10000)</f>
        <v>28.312948940248408</v>
      </c>
    </row>
    <row r="66" spans="1:13" x14ac:dyDescent="0.35">
      <c r="A66" t="s">
        <v>37</v>
      </c>
      <c r="B66" s="2">
        <v>44798</v>
      </c>
      <c r="C66" s="3">
        <v>4.1666666666666664E-2</v>
      </c>
      <c r="D66" s="5" t="s">
        <v>51</v>
      </c>
      <c r="E66" t="s">
        <v>7</v>
      </c>
      <c r="F66" s="1" t="s">
        <v>47</v>
      </c>
      <c r="G66">
        <v>0.71199999999999997</v>
      </c>
      <c r="H66">
        <v>0.82199999999999995</v>
      </c>
      <c r="I66">
        <f t="shared" ref="I66:I129" si="4">(H66-G66)/G66</f>
        <v>0.1544943820224719</v>
      </c>
      <c r="J66">
        <f t="shared" ref="J66:J129" si="5">119*10^-6*(I66^1.231)</f>
        <v>1.1942588950123832E-5</v>
      </c>
      <c r="K66">
        <f t="shared" si="2"/>
        <v>11.942588950123831</v>
      </c>
      <c r="L66">
        <v>10715.577521625</v>
      </c>
      <c r="M66">
        <f t="shared" si="3"/>
        <v>12.797173770395402</v>
      </c>
    </row>
    <row r="67" spans="1:13" x14ac:dyDescent="0.35">
      <c r="A67" t="s">
        <v>37</v>
      </c>
      <c r="B67" s="2">
        <v>44798</v>
      </c>
      <c r="C67" s="3">
        <v>6.25E-2</v>
      </c>
      <c r="D67" t="s">
        <v>51</v>
      </c>
      <c r="E67" t="s">
        <v>7</v>
      </c>
      <c r="F67" s="1" t="s">
        <v>47</v>
      </c>
      <c r="G67">
        <v>0.74299999999999999</v>
      </c>
      <c r="H67">
        <v>0.82199999999999995</v>
      </c>
      <c r="I67">
        <f t="shared" si="4"/>
        <v>0.10632570659488555</v>
      </c>
      <c r="J67">
        <f t="shared" si="5"/>
        <v>7.5394329110164424E-6</v>
      </c>
      <c r="K67">
        <f t="shared" ref="K67:K106" si="6">J67*10^6</f>
        <v>7.5394329110164424</v>
      </c>
      <c r="L67">
        <v>10715.577521625</v>
      </c>
      <c r="M67">
        <f t="shared" ref="M67:M130" si="7">K67*(L67/10000)</f>
        <v>8.0789377827087527</v>
      </c>
    </row>
    <row r="68" spans="1:13" x14ac:dyDescent="0.35">
      <c r="A68" t="s">
        <v>37</v>
      </c>
      <c r="B68" s="2">
        <v>44798</v>
      </c>
      <c r="C68" s="3">
        <v>8.3333333333333329E-2</v>
      </c>
      <c r="D68" s="5" t="s">
        <v>51</v>
      </c>
      <c r="E68" t="s">
        <v>7</v>
      </c>
      <c r="F68" s="1" t="s">
        <v>47</v>
      </c>
      <c r="G68">
        <v>0.76</v>
      </c>
      <c r="H68">
        <v>0.82199999999999995</v>
      </c>
      <c r="I68">
        <f t="shared" si="4"/>
        <v>8.1578947368420973E-2</v>
      </c>
      <c r="J68">
        <f t="shared" si="5"/>
        <v>5.4412615128783885E-6</v>
      </c>
      <c r="K68">
        <f t="shared" si="6"/>
        <v>5.4412615128783886</v>
      </c>
      <c r="L68">
        <v>10715.577521625</v>
      </c>
      <c r="M68">
        <f t="shared" si="7"/>
        <v>5.8306259556682898</v>
      </c>
    </row>
    <row r="69" spans="1:13" x14ac:dyDescent="0.35">
      <c r="A69" t="s">
        <v>37</v>
      </c>
      <c r="B69" s="2">
        <v>44798</v>
      </c>
      <c r="C69" s="3">
        <v>0.10416666666666667</v>
      </c>
      <c r="D69" t="s">
        <v>51</v>
      </c>
      <c r="E69" t="s">
        <v>7</v>
      </c>
      <c r="F69" s="1" t="s">
        <v>47</v>
      </c>
      <c r="G69">
        <v>0.77200000000000002</v>
      </c>
      <c r="H69">
        <v>0.82199999999999995</v>
      </c>
      <c r="I69">
        <f t="shared" si="4"/>
        <v>6.4766839378238253E-2</v>
      </c>
      <c r="J69">
        <f t="shared" si="5"/>
        <v>4.0956434340459931E-6</v>
      </c>
      <c r="K69">
        <f t="shared" si="6"/>
        <v>4.0956434340459928</v>
      </c>
      <c r="L69">
        <v>10715.577521625</v>
      </c>
      <c r="M69">
        <f t="shared" si="7"/>
        <v>4.3887184718454257</v>
      </c>
    </row>
    <row r="70" spans="1:13" x14ac:dyDescent="0.35">
      <c r="A70" t="s">
        <v>37</v>
      </c>
      <c r="B70" s="2">
        <v>44798</v>
      </c>
      <c r="C70" s="3">
        <v>0.125</v>
      </c>
      <c r="D70" s="5" t="s">
        <v>51</v>
      </c>
      <c r="E70" t="s">
        <v>7</v>
      </c>
      <c r="F70" s="1" t="s">
        <v>47</v>
      </c>
      <c r="G70">
        <v>0.78</v>
      </c>
      <c r="H70">
        <v>0.82199999999999995</v>
      </c>
      <c r="I70">
        <f t="shared" si="4"/>
        <v>5.3846153846153752E-2</v>
      </c>
      <c r="J70">
        <f t="shared" si="5"/>
        <v>3.262859565057333E-6</v>
      </c>
      <c r="K70">
        <f t="shared" si="6"/>
        <v>3.2628595650573331</v>
      </c>
      <c r="L70">
        <v>10715.577521625</v>
      </c>
      <c r="M70">
        <f t="shared" si="7"/>
        <v>3.496342461154748</v>
      </c>
    </row>
    <row r="71" spans="1:13" x14ac:dyDescent="0.35">
      <c r="A71" t="s">
        <v>37</v>
      </c>
      <c r="B71" s="2">
        <v>44798</v>
      </c>
      <c r="C71" s="3">
        <v>0.14583333333333334</v>
      </c>
      <c r="D71" t="s">
        <v>51</v>
      </c>
      <c r="E71" t="s">
        <v>7</v>
      </c>
      <c r="F71" s="1" t="s">
        <v>47</v>
      </c>
      <c r="G71">
        <v>0.78600000000000003</v>
      </c>
      <c r="H71">
        <v>0.82199999999999995</v>
      </c>
      <c r="I71">
        <f t="shared" si="4"/>
        <v>4.5801526717557148E-2</v>
      </c>
      <c r="J71">
        <f t="shared" si="5"/>
        <v>2.6735615432453347E-6</v>
      </c>
      <c r="K71">
        <f t="shared" si="6"/>
        <v>2.6735615432453348</v>
      </c>
      <c r="L71">
        <v>10715.577521625</v>
      </c>
      <c r="M71">
        <f t="shared" si="7"/>
        <v>2.8648755975480755</v>
      </c>
    </row>
    <row r="72" spans="1:13" x14ac:dyDescent="0.35">
      <c r="A72" t="s">
        <v>37</v>
      </c>
      <c r="B72" s="2">
        <v>44798</v>
      </c>
      <c r="C72" s="3">
        <v>0.16666666666666666</v>
      </c>
      <c r="D72" s="5" t="s">
        <v>51</v>
      </c>
      <c r="E72" t="s">
        <v>7</v>
      </c>
      <c r="F72" s="1" t="s">
        <v>47</v>
      </c>
      <c r="G72">
        <v>0.79100000000000004</v>
      </c>
      <c r="H72">
        <v>0.82199999999999995</v>
      </c>
      <c r="I72">
        <f t="shared" si="4"/>
        <v>3.9190897597977135E-2</v>
      </c>
      <c r="J72">
        <f t="shared" si="5"/>
        <v>2.206774491955031E-6</v>
      </c>
      <c r="K72">
        <f t="shared" si="6"/>
        <v>2.2067744919550312</v>
      </c>
      <c r="L72">
        <v>10715.577521625</v>
      </c>
      <c r="M72">
        <f t="shared" si="7"/>
        <v>2.3646863141288761</v>
      </c>
    </row>
    <row r="73" spans="1:13" x14ac:dyDescent="0.35">
      <c r="A73" t="s">
        <v>37</v>
      </c>
      <c r="B73" s="2">
        <v>44798</v>
      </c>
      <c r="C73" s="3">
        <v>0.1875</v>
      </c>
      <c r="D73" t="s">
        <v>51</v>
      </c>
      <c r="E73" t="s">
        <v>7</v>
      </c>
      <c r="F73" s="1" t="s">
        <v>47</v>
      </c>
      <c r="G73">
        <v>0.79600000000000004</v>
      </c>
      <c r="H73">
        <v>0.82199999999999995</v>
      </c>
      <c r="I73">
        <f t="shared" si="4"/>
        <v>3.2663316582914458E-2</v>
      </c>
      <c r="J73">
        <f t="shared" si="5"/>
        <v>1.7634175811340519E-6</v>
      </c>
      <c r="K73">
        <f t="shared" si="6"/>
        <v>1.763417581134052</v>
      </c>
      <c r="L73">
        <v>10715.577521625</v>
      </c>
      <c r="M73">
        <f t="shared" si="7"/>
        <v>1.8896037793638376</v>
      </c>
    </row>
    <row r="74" spans="1:13" x14ac:dyDescent="0.35">
      <c r="A74" t="s">
        <v>37</v>
      </c>
      <c r="B74" s="2">
        <v>44798</v>
      </c>
      <c r="C74" s="3">
        <v>0.20833333333333334</v>
      </c>
      <c r="D74" s="5" t="s">
        <v>51</v>
      </c>
      <c r="E74" t="s">
        <v>7</v>
      </c>
      <c r="F74" s="1" t="s">
        <v>47</v>
      </c>
      <c r="G74">
        <v>0.8</v>
      </c>
      <c r="H74">
        <v>0.82199999999999995</v>
      </c>
      <c r="I74">
        <f t="shared" si="4"/>
        <v>2.7499999999999886E-2</v>
      </c>
      <c r="J74">
        <f t="shared" si="5"/>
        <v>1.4268079072530463E-6</v>
      </c>
      <c r="K74">
        <f t="shared" si="6"/>
        <v>1.4268079072530462</v>
      </c>
      <c r="L74">
        <v>10715.577521625</v>
      </c>
      <c r="M74">
        <f t="shared" si="7"/>
        <v>1.5289070738637549</v>
      </c>
    </row>
    <row r="75" spans="1:13" x14ac:dyDescent="0.35">
      <c r="A75" t="s">
        <v>37</v>
      </c>
      <c r="B75" s="2">
        <v>44798</v>
      </c>
      <c r="C75" s="3">
        <v>0.22916666666666666</v>
      </c>
      <c r="D75" t="s">
        <v>51</v>
      </c>
      <c r="E75" t="s">
        <v>7</v>
      </c>
      <c r="F75" s="1" t="s">
        <v>47</v>
      </c>
      <c r="G75">
        <v>0.80300000000000005</v>
      </c>
      <c r="H75">
        <v>0.82199999999999995</v>
      </c>
      <c r="I75">
        <f t="shared" si="4"/>
        <v>2.3661270236612585E-2</v>
      </c>
      <c r="J75">
        <f t="shared" si="5"/>
        <v>1.1857354602108617E-6</v>
      </c>
      <c r="K75">
        <f t="shared" si="6"/>
        <v>1.1857354602108616</v>
      </c>
      <c r="L75">
        <v>10715.577521625</v>
      </c>
      <c r="M75">
        <f t="shared" si="7"/>
        <v>1.2705840244029183</v>
      </c>
    </row>
    <row r="76" spans="1:13" x14ac:dyDescent="0.35">
      <c r="A76" t="s">
        <v>37</v>
      </c>
      <c r="B76" s="2">
        <v>44798</v>
      </c>
      <c r="C76" s="3">
        <v>0.25</v>
      </c>
      <c r="D76" s="5" t="s">
        <v>51</v>
      </c>
      <c r="E76" t="s">
        <v>7</v>
      </c>
      <c r="F76" s="1" t="s">
        <v>47</v>
      </c>
      <c r="G76">
        <v>0.80500000000000005</v>
      </c>
      <c r="H76">
        <v>0.82199999999999995</v>
      </c>
      <c r="I76">
        <f t="shared" si="4"/>
        <v>2.1118012422360128E-2</v>
      </c>
      <c r="J76">
        <f t="shared" si="5"/>
        <v>1.030848527440107E-6</v>
      </c>
      <c r="K76">
        <f t="shared" si="6"/>
        <v>1.0308485274401069</v>
      </c>
      <c r="L76">
        <v>10715.577521625</v>
      </c>
      <c r="M76">
        <f t="shared" si="7"/>
        <v>1.104613730883744</v>
      </c>
    </row>
    <row r="77" spans="1:13" x14ac:dyDescent="0.35">
      <c r="A77" t="s">
        <v>37</v>
      </c>
      <c r="B77" s="2">
        <v>44798</v>
      </c>
      <c r="C77" s="3">
        <v>0.3125</v>
      </c>
      <c r="D77" t="s">
        <v>51</v>
      </c>
      <c r="E77" t="s">
        <v>7</v>
      </c>
      <c r="F77" s="1" t="s">
        <v>47</v>
      </c>
      <c r="G77">
        <v>0.753</v>
      </c>
      <c r="H77">
        <v>0.82199999999999995</v>
      </c>
      <c r="I77">
        <f t="shared" si="4"/>
        <v>9.16334661354581E-2</v>
      </c>
      <c r="J77">
        <f t="shared" si="5"/>
        <v>6.2782062132699586E-6</v>
      </c>
      <c r="K77">
        <f t="shared" si="6"/>
        <v>6.278206213269959</v>
      </c>
      <c r="L77">
        <v>10715.577521625</v>
      </c>
      <c r="M77">
        <f t="shared" si="7"/>
        <v>6.7274605375041983</v>
      </c>
    </row>
    <row r="78" spans="1:13" x14ac:dyDescent="0.35">
      <c r="A78" t="s">
        <v>37</v>
      </c>
      <c r="B78" s="2">
        <v>44798</v>
      </c>
      <c r="C78" s="3">
        <v>0.33333333333333331</v>
      </c>
      <c r="D78" s="5" t="s">
        <v>51</v>
      </c>
      <c r="E78" t="s">
        <v>7</v>
      </c>
      <c r="F78" s="1" t="s">
        <v>47</v>
      </c>
      <c r="G78">
        <v>0.69499999999999995</v>
      </c>
      <c r="H78">
        <v>0.82199999999999995</v>
      </c>
      <c r="I78">
        <f t="shared" si="4"/>
        <v>0.18273381294964031</v>
      </c>
      <c r="J78">
        <f t="shared" si="5"/>
        <v>1.4684056519077459E-5</v>
      </c>
      <c r="K78">
        <f t="shared" si="6"/>
        <v>14.684056519077458</v>
      </c>
      <c r="L78">
        <v>10715.577521625</v>
      </c>
      <c r="M78">
        <f t="shared" si="7"/>
        <v>15.734814596209745</v>
      </c>
    </row>
    <row r="79" spans="1:13" x14ac:dyDescent="0.35">
      <c r="A79" t="s">
        <v>37</v>
      </c>
      <c r="B79" s="2">
        <v>44798</v>
      </c>
      <c r="C79" s="3">
        <v>0.35416666666666669</v>
      </c>
      <c r="D79" t="s">
        <v>51</v>
      </c>
      <c r="E79" t="s">
        <v>7</v>
      </c>
      <c r="F79" s="1" t="s">
        <v>47</v>
      </c>
      <c r="G79">
        <v>0.65400000000000003</v>
      </c>
      <c r="H79">
        <v>0.82199999999999995</v>
      </c>
      <c r="I79">
        <f t="shared" si="4"/>
        <v>0.25688073394495403</v>
      </c>
      <c r="J79">
        <f t="shared" si="5"/>
        <v>2.2331941371096072E-5</v>
      </c>
      <c r="K79">
        <f t="shared" si="6"/>
        <v>22.331941371096072</v>
      </c>
      <c r="L79">
        <v>10715.577521625</v>
      </c>
      <c r="M79">
        <f t="shared" si="7"/>
        <v>23.929964897036442</v>
      </c>
    </row>
    <row r="80" spans="1:13" x14ac:dyDescent="0.35">
      <c r="A80" t="s">
        <v>37</v>
      </c>
      <c r="B80" s="2">
        <v>44798</v>
      </c>
      <c r="C80" s="3">
        <v>0.375</v>
      </c>
      <c r="D80" s="5" t="s">
        <v>51</v>
      </c>
      <c r="E80" t="s">
        <v>7</v>
      </c>
      <c r="F80" s="1" t="s">
        <v>47</v>
      </c>
      <c r="G80">
        <v>0.61899999999999999</v>
      </c>
      <c r="H80">
        <v>0.82199999999999995</v>
      </c>
      <c r="I80">
        <f t="shared" si="4"/>
        <v>0.32794830371567035</v>
      </c>
      <c r="J80">
        <f t="shared" si="5"/>
        <v>3.0165004547208377E-5</v>
      </c>
      <c r="K80">
        <f t="shared" si="6"/>
        <v>30.165004547208376</v>
      </c>
      <c r="L80">
        <v>10715.577521625</v>
      </c>
      <c r="M80">
        <f t="shared" si="7"/>
        <v>32.323544466578198</v>
      </c>
    </row>
    <row r="81" spans="1:13" x14ac:dyDescent="0.35">
      <c r="A81" t="s">
        <v>37</v>
      </c>
      <c r="B81" s="2">
        <v>44798</v>
      </c>
      <c r="C81" s="3">
        <v>0.39583333333333331</v>
      </c>
      <c r="D81" t="s">
        <v>51</v>
      </c>
      <c r="E81" t="s">
        <v>7</v>
      </c>
      <c r="F81" s="1" t="s">
        <v>47</v>
      </c>
      <c r="G81">
        <v>0.60399999999999998</v>
      </c>
      <c r="H81">
        <v>0.82199999999999995</v>
      </c>
      <c r="I81">
        <f t="shared" si="4"/>
        <v>0.36092715231788075</v>
      </c>
      <c r="J81">
        <f t="shared" si="5"/>
        <v>3.3941453272032415E-5</v>
      </c>
      <c r="K81">
        <f t="shared" si="6"/>
        <v>33.941453272032412</v>
      </c>
      <c r="L81">
        <v>10715.577521625</v>
      </c>
      <c r="M81">
        <f t="shared" si="7"/>
        <v>36.370227373307578</v>
      </c>
    </row>
    <row r="82" spans="1:13" x14ac:dyDescent="0.35">
      <c r="A82" t="s">
        <v>37</v>
      </c>
      <c r="B82" s="2">
        <v>44798</v>
      </c>
      <c r="C82" s="3">
        <v>0.41666666666666669</v>
      </c>
      <c r="D82" s="5" t="s">
        <v>51</v>
      </c>
      <c r="E82" t="s">
        <v>7</v>
      </c>
      <c r="F82" s="1" t="s">
        <v>47</v>
      </c>
      <c r="G82">
        <v>0.60099999999999998</v>
      </c>
      <c r="H82">
        <v>0.82199999999999995</v>
      </c>
      <c r="I82">
        <f t="shared" si="4"/>
        <v>0.36772046589018298</v>
      </c>
      <c r="J82">
        <f t="shared" si="5"/>
        <v>3.4729567527751789E-5</v>
      </c>
      <c r="K82">
        <f t="shared" si="6"/>
        <v>34.72956752775179</v>
      </c>
      <c r="L82">
        <v>10715.577521625</v>
      </c>
      <c r="M82">
        <f t="shared" si="7"/>
        <v>37.214737313613455</v>
      </c>
    </row>
    <row r="83" spans="1:13" x14ac:dyDescent="0.35">
      <c r="A83" t="s">
        <v>37</v>
      </c>
      <c r="B83" s="2">
        <v>44798</v>
      </c>
      <c r="C83" s="3">
        <v>0.4375</v>
      </c>
      <c r="D83" t="s">
        <v>51</v>
      </c>
      <c r="E83" t="s">
        <v>7</v>
      </c>
      <c r="F83" s="1" t="s">
        <v>47</v>
      </c>
      <c r="G83">
        <v>0.59699999999999998</v>
      </c>
      <c r="H83">
        <v>0.82199999999999995</v>
      </c>
      <c r="I83">
        <f t="shared" si="4"/>
        <v>0.37688442211055273</v>
      </c>
      <c r="J83">
        <f t="shared" si="5"/>
        <v>3.5798039224411627E-5</v>
      </c>
      <c r="K83">
        <f t="shared" si="6"/>
        <v>35.798039224411625</v>
      </c>
      <c r="L83">
        <v>10715.577521625</v>
      </c>
      <c r="M83">
        <f t="shared" si="7"/>
        <v>38.359666443135524</v>
      </c>
    </row>
    <row r="84" spans="1:13" x14ac:dyDescent="0.35">
      <c r="A84" t="s">
        <v>37</v>
      </c>
      <c r="B84" s="2">
        <v>44798</v>
      </c>
      <c r="C84" s="3">
        <v>0.45833333333333331</v>
      </c>
      <c r="D84" s="5" t="s">
        <v>51</v>
      </c>
      <c r="E84" t="s">
        <v>7</v>
      </c>
      <c r="F84" s="1" t="s">
        <v>47</v>
      </c>
      <c r="G84">
        <v>0.59799999999999998</v>
      </c>
      <c r="H84">
        <v>0.82199999999999995</v>
      </c>
      <c r="I84">
        <f t="shared" si="4"/>
        <v>0.37458193979933108</v>
      </c>
      <c r="J84">
        <f t="shared" si="5"/>
        <v>3.5529010673779682E-5</v>
      </c>
      <c r="K84">
        <f t="shared" si="6"/>
        <v>35.52901067377968</v>
      </c>
      <c r="L84">
        <v>10715.577521625</v>
      </c>
      <c r="M84">
        <f t="shared" si="7"/>
        <v>38.071386814152824</v>
      </c>
    </row>
    <row r="85" spans="1:13" x14ac:dyDescent="0.35">
      <c r="A85" t="s">
        <v>37</v>
      </c>
      <c r="B85" s="2">
        <v>44798</v>
      </c>
      <c r="C85" s="3">
        <v>0.47916666666666669</v>
      </c>
      <c r="D85" t="s">
        <v>51</v>
      </c>
      <c r="E85" t="s">
        <v>7</v>
      </c>
      <c r="F85" s="1" t="s">
        <v>47</v>
      </c>
      <c r="G85">
        <v>0.59499999999999997</v>
      </c>
      <c r="H85">
        <v>0.82199999999999995</v>
      </c>
      <c r="I85">
        <f t="shared" si="4"/>
        <v>0.38151260504201678</v>
      </c>
      <c r="J85">
        <f t="shared" si="5"/>
        <v>3.6339956807625912E-5</v>
      </c>
      <c r="K85">
        <f t="shared" si="6"/>
        <v>36.33995680762591</v>
      </c>
      <c r="L85">
        <v>10715.577521625</v>
      </c>
      <c r="M85">
        <f t="shared" si="7"/>
        <v>38.94036243046196</v>
      </c>
    </row>
    <row r="86" spans="1:13" x14ac:dyDescent="0.35">
      <c r="A86" t="s">
        <v>37</v>
      </c>
      <c r="B86" s="1">
        <v>44798</v>
      </c>
      <c r="C86" s="3">
        <v>2.0833333333333332E-2</v>
      </c>
      <c r="D86" t="s">
        <v>50</v>
      </c>
      <c r="E86" t="s">
        <v>7</v>
      </c>
      <c r="F86" s="1" t="s">
        <v>47</v>
      </c>
      <c r="G86">
        <v>0.67300000000000004</v>
      </c>
      <c r="H86">
        <v>0.82199999999999995</v>
      </c>
      <c r="I86">
        <f t="shared" si="4"/>
        <v>0.22139673105497756</v>
      </c>
      <c r="J86">
        <f t="shared" si="5"/>
        <v>1.8597420623331031E-5</v>
      </c>
      <c r="K86">
        <f t="shared" si="6"/>
        <v>18.597420623331033</v>
      </c>
      <c r="L86">
        <v>5327.3745539999991</v>
      </c>
      <c r="M86">
        <f t="shared" si="7"/>
        <v>9.9075425398768555</v>
      </c>
    </row>
    <row r="87" spans="1:13" x14ac:dyDescent="0.35">
      <c r="A87" t="s">
        <v>37</v>
      </c>
      <c r="B87" s="2">
        <v>44798</v>
      </c>
      <c r="C87" s="3">
        <v>4.1666666666666664E-2</v>
      </c>
      <c r="D87" s="5" t="s">
        <v>50</v>
      </c>
      <c r="E87" t="s">
        <v>7</v>
      </c>
      <c r="F87" s="1" t="s">
        <v>47</v>
      </c>
      <c r="G87">
        <v>0.753</v>
      </c>
      <c r="H87">
        <v>0.82199999999999995</v>
      </c>
      <c r="I87">
        <f t="shared" si="4"/>
        <v>9.16334661354581E-2</v>
      </c>
      <c r="J87">
        <f t="shared" si="5"/>
        <v>6.2782062132699586E-6</v>
      </c>
      <c r="K87">
        <f t="shared" si="6"/>
        <v>6.278206213269959</v>
      </c>
      <c r="L87">
        <v>5327.3745539999991</v>
      </c>
      <c r="M87">
        <f t="shared" si="7"/>
        <v>3.3446356025339075</v>
      </c>
    </row>
    <row r="88" spans="1:13" x14ac:dyDescent="0.35">
      <c r="A88" t="s">
        <v>37</v>
      </c>
      <c r="B88" s="2">
        <v>44798</v>
      </c>
      <c r="C88" s="3">
        <v>6.25E-2</v>
      </c>
      <c r="D88" t="s">
        <v>50</v>
      </c>
      <c r="E88" t="s">
        <v>7</v>
      </c>
      <c r="F88" s="1" t="s">
        <v>47</v>
      </c>
      <c r="G88">
        <v>0.77800000000000002</v>
      </c>
      <c r="H88">
        <v>0.82199999999999995</v>
      </c>
      <c r="I88">
        <f t="shared" si="4"/>
        <v>5.6555269922879084E-2</v>
      </c>
      <c r="J88">
        <f t="shared" si="5"/>
        <v>3.4661018669176763E-6</v>
      </c>
      <c r="K88">
        <f t="shared" si="6"/>
        <v>3.4661018669176764</v>
      </c>
      <c r="L88">
        <v>5327.3745539999991</v>
      </c>
      <c r="M88">
        <f t="shared" si="7"/>
        <v>1.8465222887389121</v>
      </c>
    </row>
    <row r="89" spans="1:13" x14ac:dyDescent="0.35">
      <c r="A89" t="s">
        <v>37</v>
      </c>
      <c r="B89" s="2">
        <v>44798</v>
      </c>
      <c r="C89" s="3">
        <v>8.3333333333333329E-2</v>
      </c>
      <c r="D89" s="5" t="s">
        <v>50</v>
      </c>
      <c r="E89" t="s">
        <v>7</v>
      </c>
      <c r="F89" s="1" t="s">
        <v>47</v>
      </c>
      <c r="G89">
        <v>0.79100000000000004</v>
      </c>
      <c r="H89">
        <v>0.82199999999999995</v>
      </c>
      <c r="I89">
        <f t="shared" si="4"/>
        <v>3.9190897597977135E-2</v>
      </c>
      <c r="J89">
        <f t="shared" si="5"/>
        <v>2.206774491955031E-6</v>
      </c>
      <c r="K89">
        <f t="shared" si="6"/>
        <v>2.2067744919550312</v>
      </c>
      <c r="L89">
        <v>5327.3745539999991</v>
      </c>
      <c r="M89">
        <f t="shared" si="7"/>
        <v>1.1756314274857509</v>
      </c>
    </row>
    <row r="90" spans="1:13" x14ac:dyDescent="0.35">
      <c r="A90" t="s">
        <v>37</v>
      </c>
      <c r="B90" s="2">
        <v>44798</v>
      </c>
      <c r="C90" s="3">
        <v>0.10416666666666667</v>
      </c>
      <c r="D90" t="s">
        <v>50</v>
      </c>
      <c r="E90" t="s">
        <v>7</v>
      </c>
      <c r="F90" s="1" t="s">
        <v>47</v>
      </c>
      <c r="G90">
        <v>0.8</v>
      </c>
      <c r="H90">
        <v>0.82199999999999995</v>
      </c>
      <c r="I90">
        <f t="shared" si="4"/>
        <v>2.7499999999999886E-2</v>
      </c>
      <c r="J90">
        <f t="shared" si="5"/>
        <v>1.4268079072530463E-6</v>
      </c>
      <c r="K90">
        <f t="shared" si="6"/>
        <v>1.4268079072530462</v>
      </c>
      <c r="L90">
        <v>5327.3745539999991</v>
      </c>
      <c r="M90">
        <f t="shared" si="7"/>
        <v>0.76011401385458699</v>
      </c>
    </row>
    <row r="91" spans="1:13" x14ac:dyDescent="0.35">
      <c r="A91" t="s">
        <v>37</v>
      </c>
      <c r="B91" s="2">
        <v>44798</v>
      </c>
      <c r="C91" s="3">
        <v>0.125</v>
      </c>
      <c r="D91" s="5" t="s">
        <v>50</v>
      </c>
      <c r="E91" t="s">
        <v>7</v>
      </c>
      <c r="F91" s="1" t="s">
        <v>47</v>
      </c>
      <c r="G91">
        <v>0.80600000000000005</v>
      </c>
      <c r="H91">
        <v>0.82199999999999995</v>
      </c>
      <c r="I91">
        <f t="shared" si="4"/>
        <v>1.9851116625310052E-2</v>
      </c>
      <c r="J91">
        <f t="shared" si="5"/>
        <v>9.552569884608607E-7</v>
      </c>
      <c r="K91">
        <f t="shared" si="6"/>
        <v>0.95525698846086071</v>
      </c>
      <c r="L91">
        <v>5327.3745539999991</v>
      </c>
      <c r="M91">
        <f t="shared" si="7"/>
        <v>0.50890117728570605</v>
      </c>
    </row>
    <row r="92" spans="1:13" x14ac:dyDescent="0.35">
      <c r="A92" t="s">
        <v>37</v>
      </c>
      <c r="B92" s="2">
        <v>44798</v>
      </c>
      <c r="C92" s="3">
        <v>0.14583333333333334</v>
      </c>
      <c r="D92" t="s">
        <v>50</v>
      </c>
      <c r="E92" t="s">
        <v>7</v>
      </c>
      <c r="F92" s="1" t="s">
        <v>47</v>
      </c>
      <c r="G92">
        <v>0.81200000000000006</v>
      </c>
      <c r="H92">
        <v>0.82199999999999995</v>
      </c>
      <c r="I92">
        <f t="shared" si="4"/>
        <v>1.2315270935960465E-2</v>
      </c>
      <c r="J92">
        <f t="shared" si="5"/>
        <v>5.3074204000225034E-7</v>
      </c>
      <c r="K92">
        <f t="shared" si="6"/>
        <v>0.53074204000225034</v>
      </c>
      <c r="L92">
        <v>5327.3745539999991</v>
      </c>
      <c r="M92">
        <f t="shared" si="7"/>
        <v>0.28274616386460383</v>
      </c>
    </row>
    <row r="93" spans="1:13" x14ac:dyDescent="0.35">
      <c r="A93" t="s">
        <v>37</v>
      </c>
      <c r="B93" s="2">
        <v>44798</v>
      </c>
      <c r="C93" s="3">
        <v>0.16666666666666666</v>
      </c>
      <c r="D93" s="5" t="s">
        <v>50</v>
      </c>
      <c r="E93" t="s">
        <v>7</v>
      </c>
      <c r="F93" s="1" t="s">
        <v>47</v>
      </c>
      <c r="G93">
        <v>0.81599999999999995</v>
      </c>
      <c r="H93">
        <v>0.82199999999999995</v>
      </c>
      <c r="I93">
        <f t="shared" si="4"/>
        <v>7.3529411764705951E-3</v>
      </c>
      <c r="J93">
        <f t="shared" si="5"/>
        <v>2.8129406245449513E-7</v>
      </c>
      <c r="K93">
        <f t="shared" si="6"/>
        <v>0.28129406245449512</v>
      </c>
      <c r="L93">
        <v>5327.3745539999991</v>
      </c>
      <c r="M93">
        <f t="shared" si="7"/>
        <v>0.1498558830511364</v>
      </c>
    </row>
    <row r="94" spans="1:13" x14ac:dyDescent="0.35">
      <c r="A94" t="s">
        <v>37</v>
      </c>
      <c r="B94" s="2">
        <v>44798</v>
      </c>
      <c r="C94" s="3">
        <v>0.1875</v>
      </c>
      <c r="D94" t="s">
        <v>50</v>
      </c>
      <c r="E94" t="s">
        <v>7</v>
      </c>
      <c r="F94" s="1" t="s">
        <v>47</v>
      </c>
      <c r="G94">
        <v>0.81799999999999995</v>
      </c>
      <c r="H94">
        <v>0.82199999999999995</v>
      </c>
      <c r="I94">
        <f t="shared" si="4"/>
        <v>4.8899755501222537E-3</v>
      </c>
      <c r="J94">
        <f t="shared" si="5"/>
        <v>1.7024857828983756E-7</v>
      </c>
      <c r="K94">
        <f t="shared" si="6"/>
        <v>0.17024857828983755</v>
      </c>
      <c r="L94">
        <v>5327.3745539999991</v>
      </c>
      <c r="M94">
        <f t="shared" si="7"/>
        <v>9.0697794383595737E-2</v>
      </c>
    </row>
    <row r="95" spans="1:13" x14ac:dyDescent="0.35">
      <c r="A95" t="s">
        <v>37</v>
      </c>
      <c r="B95" s="2">
        <v>44798</v>
      </c>
      <c r="C95" s="3">
        <v>0.20833333333333334</v>
      </c>
      <c r="D95" s="5" t="s">
        <v>50</v>
      </c>
      <c r="E95" t="s">
        <v>7</v>
      </c>
      <c r="F95" s="1" t="s">
        <v>47</v>
      </c>
      <c r="G95">
        <v>0.82</v>
      </c>
      <c r="H95">
        <v>0.82199999999999995</v>
      </c>
      <c r="I95">
        <f t="shared" si="4"/>
        <v>2.4390243902439046E-3</v>
      </c>
      <c r="J95">
        <f t="shared" si="5"/>
        <v>7.2311943452680477E-8</v>
      </c>
      <c r="K95">
        <f t="shared" si="6"/>
        <v>7.231194345268048E-2</v>
      </c>
      <c r="L95">
        <v>5327.3745539999991</v>
      </c>
      <c r="M95">
        <f t="shared" si="7"/>
        <v>3.8523280750009686E-2</v>
      </c>
    </row>
    <row r="96" spans="1:13" x14ac:dyDescent="0.35">
      <c r="A96" t="s">
        <v>37</v>
      </c>
      <c r="B96" s="2">
        <v>44798</v>
      </c>
      <c r="C96" s="3">
        <v>0.22916666666666666</v>
      </c>
      <c r="D96" t="s">
        <v>50</v>
      </c>
      <c r="E96" t="s">
        <v>7</v>
      </c>
      <c r="F96" s="1" t="s">
        <v>47</v>
      </c>
      <c r="G96">
        <v>0.82099999999999995</v>
      </c>
      <c r="H96">
        <v>0.82199999999999995</v>
      </c>
      <c r="I96">
        <f t="shared" si="4"/>
        <v>1.2180267965895262E-3</v>
      </c>
      <c r="J96">
        <f t="shared" si="5"/>
        <v>3.076029774963706E-8</v>
      </c>
      <c r="K96">
        <f t="shared" si="6"/>
        <v>3.076029774963706E-2</v>
      </c>
      <c r="L96">
        <v>5327.3745539999991</v>
      </c>
      <c r="M96">
        <f t="shared" si="7"/>
        <v>1.6387162750487991E-2</v>
      </c>
    </row>
    <row r="97" spans="1:14" x14ac:dyDescent="0.35">
      <c r="A97" t="s">
        <v>37</v>
      </c>
      <c r="B97" s="2">
        <v>44798</v>
      </c>
      <c r="C97" s="3">
        <v>0.25</v>
      </c>
      <c r="D97" s="5" t="s">
        <v>50</v>
      </c>
      <c r="E97" t="s">
        <v>7</v>
      </c>
      <c r="F97" s="1" t="s">
        <v>47</v>
      </c>
      <c r="G97">
        <v>0.82199999999999995</v>
      </c>
      <c r="H97">
        <v>0.82199999999999995</v>
      </c>
      <c r="I97">
        <f t="shared" si="4"/>
        <v>0</v>
      </c>
      <c r="J97">
        <f t="shared" si="5"/>
        <v>0</v>
      </c>
      <c r="K97">
        <f t="shared" si="6"/>
        <v>0</v>
      </c>
      <c r="L97">
        <v>5327.3745539999991</v>
      </c>
      <c r="M97">
        <f t="shared" si="7"/>
        <v>0</v>
      </c>
    </row>
    <row r="98" spans="1:14" x14ac:dyDescent="0.35">
      <c r="A98" t="s">
        <v>37</v>
      </c>
      <c r="B98" s="2">
        <v>44798</v>
      </c>
      <c r="C98" s="3">
        <v>0.3125</v>
      </c>
      <c r="D98" t="s">
        <v>50</v>
      </c>
      <c r="E98" t="s">
        <v>7</v>
      </c>
      <c r="F98" s="1" t="s">
        <v>47</v>
      </c>
      <c r="G98">
        <v>0.79500000000000004</v>
      </c>
      <c r="H98">
        <v>0.82199999999999995</v>
      </c>
      <c r="I98">
        <f t="shared" si="4"/>
        <v>3.3962264150943285E-2</v>
      </c>
      <c r="J98">
        <f t="shared" si="5"/>
        <v>1.8501367069770835E-6</v>
      </c>
      <c r="K98">
        <f t="shared" si="6"/>
        <v>1.8501367069770835</v>
      </c>
      <c r="L98">
        <v>5327.3745539999991</v>
      </c>
      <c r="M98">
        <f t="shared" si="7"/>
        <v>0.9856371214171068</v>
      </c>
    </row>
    <row r="99" spans="1:14" x14ac:dyDescent="0.35">
      <c r="A99" t="s">
        <v>37</v>
      </c>
      <c r="B99" s="2">
        <v>44798</v>
      </c>
      <c r="C99" s="3">
        <v>0.33333333333333331</v>
      </c>
      <c r="D99" s="5" t="s">
        <v>50</v>
      </c>
      <c r="E99" t="s">
        <v>7</v>
      </c>
      <c r="F99" s="1" t="s">
        <v>47</v>
      </c>
      <c r="G99">
        <v>0.751</v>
      </c>
      <c r="H99">
        <v>0.82199999999999995</v>
      </c>
      <c r="I99">
        <f t="shared" si="4"/>
        <v>9.4540612516644404E-2</v>
      </c>
      <c r="J99">
        <f t="shared" si="5"/>
        <v>6.5242895393851457E-6</v>
      </c>
      <c r="K99">
        <f t="shared" si="6"/>
        <v>6.5242895393851459</v>
      </c>
      <c r="L99">
        <v>5327.3745539999991</v>
      </c>
      <c r="M99">
        <f t="shared" si="7"/>
        <v>3.4757334075048805</v>
      </c>
    </row>
    <row r="100" spans="1:14" x14ac:dyDescent="0.35">
      <c r="A100" t="s">
        <v>37</v>
      </c>
      <c r="B100" s="2">
        <v>44798</v>
      </c>
      <c r="C100" s="3">
        <v>0.35416666666666669</v>
      </c>
      <c r="D100" t="s">
        <v>50</v>
      </c>
      <c r="E100" t="s">
        <v>7</v>
      </c>
      <c r="F100" s="1" t="s">
        <v>47</v>
      </c>
      <c r="G100">
        <v>0.71599999999999997</v>
      </c>
      <c r="H100">
        <v>0.82199999999999995</v>
      </c>
      <c r="I100">
        <f t="shared" si="4"/>
        <v>0.14804469273743015</v>
      </c>
      <c r="J100">
        <f t="shared" si="5"/>
        <v>1.1331843058174966E-5</v>
      </c>
      <c r="K100">
        <f t="shared" si="6"/>
        <v>11.331843058174966</v>
      </c>
      <c r="L100">
        <v>5327.3745539999991</v>
      </c>
      <c r="M100">
        <f t="shared" si="7"/>
        <v>6.0368972358042852</v>
      </c>
    </row>
    <row r="101" spans="1:14" x14ac:dyDescent="0.35">
      <c r="A101" t="s">
        <v>37</v>
      </c>
      <c r="B101" s="2">
        <v>44798</v>
      </c>
      <c r="C101" s="3">
        <v>0.375</v>
      </c>
      <c r="D101" s="5" t="s">
        <v>50</v>
      </c>
      <c r="E101" t="s">
        <v>7</v>
      </c>
      <c r="F101" s="1" t="s">
        <v>47</v>
      </c>
      <c r="G101">
        <v>0.68200000000000005</v>
      </c>
      <c r="H101">
        <v>0.82199999999999995</v>
      </c>
      <c r="I101">
        <f t="shared" si="4"/>
        <v>0.20527859237536641</v>
      </c>
      <c r="J101">
        <f t="shared" si="5"/>
        <v>1.6945016970074652E-5</v>
      </c>
      <c r="K101">
        <f t="shared" si="6"/>
        <v>16.945016970074651</v>
      </c>
      <c r="L101">
        <v>5327.3745539999991</v>
      </c>
      <c r="M101">
        <f t="shared" si="7"/>
        <v>9.0272452223473874</v>
      </c>
    </row>
    <row r="102" spans="1:14" x14ac:dyDescent="0.35">
      <c r="A102" t="s">
        <v>37</v>
      </c>
      <c r="B102" s="2">
        <v>44798</v>
      </c>
      <c r="C102" s="3">
        <v>0.39583333333333331</v>
      </c>
      <c r="D102" t="s">
        <v>50</v>
      </c>
      <c r="E102" t="s">
        <v>7</v>
      </c>
      <c r="F102" s="1" t="s">
        <v>47</v>
      </c>
      <c r="G102">
        <v>0.65700000000000003</v>
      </c>
      <c r="H102">
        <v>0.82199999999999995</v>
      </c>
      <c r="I102">
        <f t="shared" si="4"/>
        <v>0.2511415525114154</v>
      </c>
      <c r="J102">
        <f t="shared" si="5"/>
        <v>2.1719345144549273E-5</v>
      </c>
      <c r="K102">
        <f t="shared" si="6"/>
        <v>21.719345144549273</v>
      </c>
      <c r="L102">
        <v>5327.3745539999991</v>
      </c>
      <c r="M102">
        <f t="shared" si="7"/>
        <v>11.570708665261524</v>
      </c>
    </row>
    <row r="103" spans="1:14" x14ac:dyDescent="0.35">
      <c r="A103" t="s">
        <v>37</v>
      </c>
      <c r="B103" s="2">
        <v>44798</v>
      </c>
      <c r="C103" s="3">
        <v>0.41666666666666669</v>
      </c>
      <c r="D103" s="5" t="s">
        <v>50</v>
      </c>
      <c r="E103" t="s">
        <v>7</v>
      </c>
      <c r="F103" s="1" t="s">
        <v>47</v>
      </c>
      <c r="G103">
        <v>0.64700000000000002</v>
      </c>
      <c r="H103">
        <v>0.82199999999999995</v>
      </c>
      <c r="I103">
        <f t="shared" si="4"/>
        <v>0.27047913446676958</v>
      </c>
      <c r="J103">
        <f t="shared" si="5"/>
        <v>2.3795981894941804E-5</v>
      </c>
      <c r="K103">
        <f t="shared" si="6"/>
        <v>23.795981894941804</v>
      </c>
      <c r="L103">
        <v>5327.3745539999991</v>
      </c>
      <c r="M103">
        <f t="shared" si="7"/>
        <v>12.677010843455765</v>
      </c>
    </row>
    <row r="104" spans="1:14" x14ac:dyDescent="0.35">
      <c r="A104" t="s">
        <v>37</v>
      </c>
      <c r="B104" s="2">
        <v>44798</v>
      </c>
      <c r="C104" s="3">
        <v>0.4375</v>
      </c>
      <c r="D104" t="s">
        <v>50</v>
      </c>
      <c r="E104" t="s">
        <v>7</v>
      </c>
      <c r="F104" s="1" t="s">
        <v>47</v>
      </c>
      <c r="G104">
        <v>0.64100000000000001</v>
      </c>
      <c r="H104">
        <v>0.82199999999999995</v>
      </c>
      <c r="I104">
        <f t="shared" si="4"/>
        <v>0.28237129485179396</v>
      </c>
      <c r="J104">
        <f t="shared" si="5"/>
        <v>2.5090369246026843E-5</v>
      </c>
      <c r="K104">
        <f t="shared" si="6"/>
        <v>25.090369246026842</v>
      </c>
      <c r="L104">
        <v>5327.3745539999991</v>
      </c>
      <c r="M104">
        <f t="shared" si="7"/>
        <v>13.366579467174756</v>
      </c>
    </row>
    <row r="105" spans="1:14" x14ac:dyDescent="0.35">
      <c r="A105" t="s">
        <v>37</v>
      </c>
      <c r="B105" s="2">
        <v>44798</v>
      </c>
      <c r="C105" s="3">
        <v>0.45833333333333331</v>
      </c>
      <c r="D105" s="5" t="s">
        <v>50</v>
      </c>
      <c r="E105" t="s">
        <v>7</v>
      </c>
      <c r="F105" s="1" t="s">
        <v>47</v>
      </c>
      <c r="G105">
        <v>0.64</v>
      </c>
      <c r="H105">
        <v>0.82199999999999995</v>
      </c>
      <c r="I105">
        <f t="shared" si="4"/>
        <v>0.28437499999999988</v>
      </c>
      <c r="J105">
        <f t="shared" si="5"/>
        <v>2.5309717168774333E-5</v>
      </c>
      <c r="K105">
        <f t="shared" si="6"/>
        <v>25.309717168774334</v>
      </c>
      <c r="L105">
        <v>5327.3745539999991</v>
      </c>
      <c r="M105">
        <f t="shared" si="7"/>
        <v>13.483434321386531</v>
      </c>
    </row>
    <row r="106" spans="1:14" x14ac:dyDescent="0.35">
      <c r="A106" t="s">
        <v>37</v>
      </c>
      <c r="B106" s="2">
        <v>44798</v>
      </c>
      <c r="C106" s="3">
        <v>0.47916666666666669</v>
      </c>
      <c r="D106" t="s">
        <v>50</v>
      </c>
      <c r="E106" t="s">
        <v>7</v>
      </c>
      <c r="F106" s="1" t="s">
        <v>47</v>
      </c>
      <c r="G106">
        <v>0.63100000000000001</v>
      </c>
      <c r="H106">
        <v>0.82199999999999995</v>
      </c>
      <c r="I106">
        <f t="shared" si="4"/>
        <v>0.30269413629160052</v>
      </c>
      <c r="J106">
        <f t="shared" si="5"/>
        <v>2.7331464006427675E-5</v>
      </c>
      <c r="K106">
        <f t="shared" si="6"/>
        <v>27.331464006427673</v>
      </c>
      <c r="L106">
        <v>5327.3745539999991</v>
      </c>
      <c r="M106">
        <f t="shared" si="7"/>
        <v>14.560494587140967</v>
      </c>
    </row>
    <row r="107" spans="1:14" x14ac:dyDescent="0.35">
      <c r="A107" t="s">
        <v>37</v>
      </c>
      <c r="B107" s="2">
        <v>44800</v>
      </c>
      <c r="C107" s="3">
        <v>0</v>
      </c>
      <c r="D107" t="s">
        <v>43</v>
      </c>
      <c r="E107" t="s">
        <v>13</v>
      </c>
      <c r="F107" s="1" t="s">
        <v>38</v>
      </c>
      <c r="G107">
        <v>0.67300000000000004</v>
      </c>
      <c r="H107">
        <f>MAX(G107:G154)</f>
        <v>0.71799999999999997</v>
      </c>
      <c r="I107">
        <f t="shared" si="4"/>
        <v>6.6864784546805237E-2</v>
      </c>
      <c r="J107">
        <f t="shared" si="5"/>
        <v>4.2595627630251225E-6</v>
      </c>
      <c r="K107">
        <f t="shared" ref="K107:K170" si="8">J107*10^6</f>
        <v>4.2595627630251229</v>
      </c>
      <c r="L107">
        <v>3880.0925246250008</v>
      </c>
      <c r="M107">
        <f t="shared" si="7"/>
        <v>1.6527497634984794</v>
      </c>
      <c r="N107">
        <v>20.339200000000002</v>
      </c>
    </row>
    <row r="108" spans="1:14" x14ac:dyDescent="0.35">
      <c r="A108" t="s">
        <v>37</v>
      </c>
      <c r="B108" s="2">
        <v>44800</v>
      </c>
      <c r="C108" s="3">
        <v>2.0833333333333332E-2</v>
      </c>
      <c r="D108" t="s">
        <v>43</v>
      </c>
      <c r="E108" t="s">
        <v>13</v>
      </c>
      <c r="F108" s="1" t="s">
        <v>38</v>
      </c>
      <c r="G108">
        <v>0.67400000000000004</v>
      </c>
      <c r="H108">
        <v>0.71799999999999997</v>
      </c>
      <c r="I108">
        <f t="shared" si="4"/>
        <v>6.528189910979218E-2</v>
      </c>
      <c r="J108">
        <f t="shared" si="5"/>
        <v>4.1357747129455073E-6</v>
      </c>
      <c r="K108">
        <f t="shared" si="8"/>
        <v>4.1357747129455076</v>
      </c>
      <c r="L108">
        <v>3880.0925246250008</v>
      </c>
      <c r="M108">
        <f t="shared" si="7"/>
        <v>1.6047188547232971</v>
      </c>
      <c r="N108">
        <v>19.898800000000001</v>
      </c>
    </row>
    <row r="109" spans="1:14" x14ac:dyDescent="0.35">
      <c r="A109" t="s">
        <v>37</v>
      </c>
      <c r="B109" s="2">
        <v>44800</v>
      </c>
      <c r="C109" s="3">
        <v>4.1666666666666664E-2</v>
      </c>
      <c r="D109" t="s">
        <v>43</v>
      </c>
      <c r="E109" t="s">
        <v>13</v>
      </c>
      <c r="F109" s="1" t="s">
        <v>38</v>
      </c>
      <c r="G109">
        <v>0.67500000000000004</v>
      </c>
      <c r="H109">
        <v>0.71799999999999997</v>
      </c>
      <c r="I109">
        <f t="shared" si="4"/>
        <v>6.3703703703703596E-2</v>
      </c>
      <c r="J109">
        <f t="shared" si="5"/>
        <v>4.0130418228268463E-6</v>
      </c>
      <c r="K109">
        <f t="shared" si="8"/>
        <v>4.0130418228268461</v>
      </c>
      <c r="L109">
        <v>3880.0925246250008</v>
      </c>
      <c r="M109">
        <f t="shared" si="7"/>
        <v>1.5570973577757932</v>
      </c>
      <c r="N109">
        <v>19.249500000000001</v>
      </c>
    </row>
    <row r="110" spans="1:14" x14ac:dyDescent="0.35">
      <c r="A110" t="s">
        <v>37</v>
      </c>
      <c r="B110" s="2">
        <v>44800</v>
      </c>
      <c r="C110" s="3">
        <v>6.25E-2</v>
      </c>
      <c r="D110" t="s">
        <v>43</v>
      </c>
      <c r="E110" t="s">
        <v>13</v>
      </c>
      <c r="F110" s="1" t="s">
        <v>38</v>
      </c>
      <c r="G110">
        <v>0.68100000000000005</v>
      </c>
      <c r="H110">
        <v>0.71799999999999997</v>
      </c>
      <c r="I110">
        <f t="shared" si="4"/>
        <v>5.433186490455201E-2</v>
      </c>
      <c r="J110">
        <f t="shared" si="5"/>
        <v>3.2991281767557546E-6</v>
      </c>
      <c r="K110">
        <f t="shared" si="8"/>
        <v>3.2991281767557545</v>
      </c>
      <c r="L110">
        <v>3880.0925246250008</v>
      </c>
      <c r="M110">
        <f t="shared" si="7"/>
        <v>1.280092257640971</v>
      </c>
      <c r="N110">
        <v>17.116900000000001</v>
      </c>
    </row>
    <row r="111" spans="1:14" x14ac:dyDescent="0.35">
      <c r="A111" t="s">
        <v>37</v>
      </c>
      <c r="B111" s="2">
        <v>44800</v>
      </c>
      <c r="C111" s="3">
        <v>8.3333333333333329E-2</v>
      </c>
      <c r="D111" t="s">
        <v>43</v>
      </c>
      <c r="E111" t="s">
        <v>13</v>
      </c>
      <c r="F111" s="1" t="s">
        <v>38</v>
      </c>
      <c r="G111">
        <v>0.68899999999999995</v>
      </c>
      <c r="H111">
        <v>0.71799999999999997</v>
      </c>
      <c r="I111">
        <f t="shared" si="4"/>
        <v>4.2089985486211942E-2</v>
      </c>
      <c r="J111">
        <f t="shared" si="5"/>
        <v>2.4094118093571723E-6</v>
      </c>
      <c r="K111">
        <f t="shared" si="8"/>
        <v>2.4094118093571724</v>
      </c>
      <c r="L111">
        <v>3880.0925246250008</v>
      </c>
      <c r="M111">
        <f t="shared" si="7"/>
        <v>0.93487407502299613</v>
      </c>
      <c r="N111">
        <v>16.752199999999998</v>
      </c>
    </row>
    <row r="112" spans="1:14" x14ac:dyDescent="0.35">
      <c r="A112" t="s">
        <v>37</v>
      </c>
      <c r="B112" s="2">
        <v>44800</v>
      </c>
      <c r="C112" s="3">
        <v>0.10416666666666667</v>
      </c>
      <c r="D112" t="s">
        <v>43</v>
      </c>
      <c r="E112" t="s">
        <v>13</v>
      </c>
      <c r="F112" s="1" t="s">
        <v>38</v>
      </c>
      <c r="G112">
        <v>0.69499999999999995</v>
      </c>
      <c r="H112">
        <v>0.71799999999999997</v>
      </c>
      <c r="I112">
        <f t="shared" si="4"/>
        <v>3.3093525179856149E-2</v>
      </c>
      <c r="J112">
        <f t="shared" si="5"/>
        <v>1.7920521058048725E-6</v>
      </c>
      <c r="K112">
        <f t="shared" si="8"/>
        <v>1.7920521058048724</v>
      </c>
      <c r="L112">
        <v>3880.0925246250008</v>
      </c>
      <c r="M112">
        <f t="shared" si="7"/>
        <v>0.6953327979471976</v>
      </c>
      <c r="N112">
        <v>16.4085</v>
      </c>
    </row>
    <row r="113" spans="1:14" x14ac:dyDescent="0.35">
      <c r="A113" t="s">
        <v>37</v>
      </c>
      <c r="B113" s="2">
        <v>44800</v>
      </c>
      <c r="C113" s="3">
        <v>0.125</v>
      </c>
      <c r="D113" t="s">
        <v>43</v>
      </c>
      <c r="E113" t="s">
        <v>13</v>
      </c>
      <c r="F113" s="1" t="s">
        <v>38</v>
      </c>
      <c r="G113">
        <v>0.69799999999999995</v>
      </c>
      <c r="H113">
        <v>0.71799999999999997</v>
      </c>
      <c r="I113">
        <f t="shared" si="4"/>
        <v>2.8653295128939854E-2</v>
      </c>
      <c r="J113">
        <f t="shared" si="5"/>
        <v>1.5008208719000861E-6</v>
      </c>
      <c r="K113">
        <f t="shared" si="8"/>
        <v>1.5008208719000862</v>
      </c>
      <c r="L113">
        <v>3880.0925246250008</v>
      </c>
      <c r="M113">
        <f t="shared" si="7"/>
        <v>0.58233238458606995</v>
      </c>
      <c r="N113">
        <v>17.264900000000001</v>
      </c>
    </row>
    <row r="114" spans="1:14" x14ac:dyDescent="0.35">
      <c r="A114" t="s">
        <v>37</v>
      </c>
      <c r="B114" s="2">
        <v>44800</v>
      </c>
      <c r="C114" s="3">
        <v>0.14583333333333334</v>
      </c>
      <c r="D114" t="s">
        <v>43</v>
      </c>
      <c r="E114" t="s">
        <v>13</v>
      </c>
      <c r="F114" s="1" t="s">
        <v>38</v>
      </c>
      <c r="G114">
        <v>0.69799999999999995</v>
      </c>
      <c r="H114">
        <v>0.71799999999999997</v>
      </c>
      <c r="I114">
        <f t="shared" si="4"/>
        <v>2.8653295128939854E-2</v>
      </c>
      <c r="J114">
        <f t="shared" si="5"/>
        <v>1.5008208719000861E-6</v>
      </c>
      <c r="K114">
        <f t="shared" si="8"/>
        <v>1.5008208719000862</v>
      </c>
      <c r="L114">
        <v>3880.0925246250008</v>
      </c>
      <c r="M114">
        <f t="shared" si="7"/>
        <v>0.58233238458606995</v>
      </c>
      <c r="N114">
        <v>15.769</v>
      </c>
    </row>
    <row r="115" spans="1:14" x14ac:dyDescent="0.35">
      <c r="A115" t="s">
        <v>37</v>
      </c>
      <c r="B115" s="2">
        <v>44800</v>
      </c>
      <c r="C115" s="3">
        <v>0.16666666666666666</v>
      </c>
      <c r="D115" t="s">
        <v>43</v>
      </c>
      <c r="E115" t="s">
        <v>13</v>
      </c>
      <c r="F115" s="1" t="s">
        <v>38</v>
      </c>
      <c r="G115">
        <v>0.70199999999999996</v>
      </c>
      <c r="H115">
        <v>0.71799999999999997</v>
      </c>
      <c r="I115">
        <f t="shared" si="4"/>
        <v>2.2792022792022814E-2</v>
      </c>
      <c r="J115">
        <f t="shared" si="5"/>
        <v>1.1323421534772981E-6</v>
      </c>
      <c r="K115">
        <f t="shared" si="8"/>
        <v>1.1323421534772979</v>
      </c>
      <c r="L115">
        <v>3880.0925246250008</v>
      </c>
      <c r="M115">
        <f t="shared" si="7"/>
        <v>0.43935923250250392</v>
      </c>
      <c r="N115">
        <v>16.060199999999998</v>
      </c>
    </row>
    <row r="116" spans="1:14" x14ac:dyDescent="0.35">
      <c r="A116" t="s">
        <v>37</v>
      </c>
      <c r="B116" s="2">
        <v>44800</v>
      </c>
      <c r="C116" s="3">
        <v>0.1875</v>
      </c>
      <c r="D116" t="s">
        <v>43</v>
      </c>
      <c r="E116" t="s">
        <v>13</v>
      </c>
      <c r="F116" s="1" t="s">
        <v>38</v>
      </c>
      <c r="G116">
        <v>0.70399999999999996</v>
      </c>
      <c r="H116">
        <v>0.71799999999999997</v>
      </c>
      <c r="I116">
        <f t="shared" si="4"/>
        <v>1.9886363636363657E-2</v>
      </c>
      <c r="J116">
        <f t="shared" si="5"/>
        <v>9.5734534499295097E-7</v>
      </c>
      <c r="K116">
        <f t="shared" si="8"/>
        <v>0.95734534499295099</v>
      </c>
      <c r="L116">
        <v>3880.0925246250008</v>
      </c>
      <c r="M116">
        <f t="shared" si="7"/>
        <v>0.37145885165916914</v>
      </c>
      <c r="N116">
        <v>15.727600000000001</v>
      </c>
    </row>
    <row r="117" spans="1:14" x14ac:dyDescent="0.35">
      <c r="A117" t="s">
        <v>37</v>
      </c>
      <c r="B117" s="2">
        <v>44800</v>
      </c>
      <c r="C117" s="3">
        <v>0.20833333333333334</v>
      </c>
      <c r="D117" t="s">
        <v>43</v>
      </c>
      <c r="E117" t="s">
        <v>13</v>
      </c>
      <c r="F117" s="1" t="s">
        <v>38</v>
      </c>
      <c r="G117">
        <v>0.71199999999999997</v>
      </c>
      <c r="H117">
        <v>0.71799999999999997</v>
      </c>
      <c r="I117">
        <f t="shared" si="4"/>
        <v>8.4269662921348399E-3</v>
      </c>
      <c r="J117">
        <f t="shared" si="5"/>
        <v>3.3269653552671239E-7</v>
      </c>
      <c r="K117">
        <f t="shared" si="8"/>
        <v>0.33269653552671241</v>
      </c>
      <c r="L117">
        <v>3880.0925246250008</v>
      </c>
      <c r="M117">
        <f t="shared" si="7"/>
        <v>0.12908933404658327</v>
      </c>
      <c r="N117">
        <v>15.0184</v>
      </c>
    </row>
    <row r="118" spans="1:14" x14ac:dyDescent="0.35">
      <c r="A118" t="s">
        <v>37</v>
      </c>
      <c r="B118" s="2">
        <v>44800</v>
      </c>
      <c r="C118" s="3">
        <v>0.22916666666666666</v>
      </c>
      <c r="D118" t="s">
        <v>43</v>
      </c>
      <c r="E118" t="s">
        <v>13</v>
      </c>
      <c r="F118" s="1" t="s">
        <v>38</v>
      </c>
      <c r="G118">
        <v>0.71799999999999997</v>
      </c>
      <c r="H118">
        <v>0.71799999999999997</v>
      </c>
      <c r="I118">
        <f t="shared" si="4"/>
        <v>0</v>
      </c>
      <c r="J118">
        <f t="shared" si="5"/>
        <v>0</v>
      </c>
      <c r="K118">
        <f t="shared" si="8"/>
        <v>0</v>
      </c>
      <c r="L118">
        <v>3880.0925246250008</v>
      </c>
      <c r="M118">
        <f t="shared" si="7"/>
        <v>0</v>
      </c>
      <c r="N118">
        <v>14.711399999999999</v>
      </c>
    </row>
    <row r="119" spans="1:14" x14ac:dyDescent="0.35">
      <c r="A119" t="s">
        <v>37</v>
      </c>
      <c r="B119" s="2">
        <v>44800</v>
      </c>
      <c r="C119" s="3">
        <v>0.25</v>
      </c>
      <c r="D119" t="s">
        <v>43</v>
      </c>
      <c r="E119" t="s">
        <v>13</v>
      </c>
      <c r="F119" s="1" t="s">
        <v>38</v>
      </c>
      <c r="G119">
        <v>0.71599999999999997</v>
      </c>
      <c r="H119">
        <v>0.71799999999999997</v>
      </c>
      <c r="I119">
        <f t="shared" si="4"/>
        <v>2.7932960893854776E-3</v>
      </c>
      <c r="J119">
        <f t="shared" si="5"/>
        <v>8.5450961853924612E-8</v>
      </c>
      <c r="K119">
        <f t="shared" si="8"/>
        <v>8.5450961853924617E-2</v>
      </c>
      <c r="L119">
        <v>3880.0925246250008</v>
      </c>
      <c r="M119">
        <f t="shared" si="7"/>
        <v>3.3155763831142902E-2</v>
      </c>
      <c r="N119">
        <v>15.889900000000001</v>
      </c>
    </row>
    <row r="120" spans="1:14" x14ac:dyDescent="0.35">
      <c r="A120" t="s">
        <v>37</v>
      </c>
      <c r="B120" s="2">
        <v>44800</v>
      </c>
      <c r="C120" s="3">
        <v>0.27083333333333331</v>
      </c>
      <c r="D120" t="s">
        <v>43</v>
      </c>
      <c r="E120" t="s">
        <v>13</v>
      </c>
      <c r="F120" s="1" t="s">
        <v>38</v>
      </c>
      <c r="G120">
        <v>0.71399999999999997</v>
      </c>
      <c r="H120">
        <v>0.71799999999999997</v>
      </c>
      <c r="I120">
        <f t="shared" si="4"/>
        <v>5.6022408963585487E-3</v>
      </c>
      <c r="J120">
        <f t="shared" si="5"/>
        <v>2.0127058645117965E-7</v>
      </c>
      <c r="K120">
        <f t="shared" si="8"/>
        <v>0.20127058645117965</v>
      </c>
      <c r="L120">
        <v>3880.0925246250008</v>
      </c>
      <c r="M120">
        <f t="shared" si="7"/>
        <v>7.8094849791611215E-2</v>
      </c>
      <c r="N120">
        <v>16.3066</v>
      </c>
    </row>
    <row r="121" spans="1:14" x14ac:dyDescent="0.35">
      <c r="A121" t="s">
        <v>37</v>
      </c>
      <c r="B121" s="2">
        <v>44800</v>
      </c>
      <c r="C121" s="3">
        <v>0.29166666666666669</v>
      </c>
      <c r="D121" t="s">
        <v>43</v>
      </c>
      <c r="E121" t="s">
        <v>13</v>
      </c>
      <c r="F121" s="1" t="s">
        <v>38</v>
      </c>
      <c r="G121">
        <v>0.71099999999999997</v>
      </c>
      <c r="H121">
        <v>0.71799999999999997</v>
      </c>
      <c r="I121">
        <f t="shared" si="4"/>
        <v>9.8452883263009938E-3</v>
      </c>
      <c r="J121">
        <f t="shared" si="5"/>
        <v>4.0291289796036974E-7</v>
      </c>
      <c r="K121">
        <f t="shared" si="8"/>
        <v>0.40291289796036972</v>
      </c>
      <c r="L121">
        <v>3880.0925246250008</v>
      </c>
      <c r="M121">
        <f t="shared" si="7"/>
        <v>0.15633393234510262</v>
      </c>
      <c r="N121">
        <v>17.531300000000002</v>
      </c>
    </row>
    <row r="122" spans="1:14" x14ac:dyDescent="0.35">
      <c r="A122" t="s">
        <v>37</v>
      </c>
      <c r="B122" s="2">
        <v>44800</v>
      </c>
      <c r="C122" s="3">
        <v>0.3125</v>
      </c>
      <c r="D122" t="s">
        <v>43</v>
      </c>
      <c r="E122" t="s">
        <v>13</v>
      </c>
      <c r="F122" s="1" t="s">
        <v>38</v>
      </c>
      <c r="G122">
        <v>0.67900000000000005</v>
      </c>
      <c r="H122">
        <v>0.71799999999999997</v>
      </c>
      <c r="I122">
        <f t="shared" si="4"/>
        <v>5.7437407952871757E-2</v>
      </c>
      <c r="J122">
        <f t="shared" si="5"/>
        <v>3.5327735528932569E-6</v>
      </c>
      <c r="K122">
        <f t="shared" si="8"/>
        <v>3.5327735528932567</v>
      </c>
      <c r="L122">
        <v>3880.0925246250008</v>
      </c>
      <c r="M122">
        <f t="shared" si="7"/>
        <v>1.3707488253774029</v>
      </c>
      <c r="N122">
        <v>18.497699999999998</v>
      </c>
    </row>
    <row r="123" spans="1:14" x14ac:dyDescent="0.35">
      <c r="A123" t="s">
        <v>37</v>
      </c>
      <c r="B123" s="2">
        <v>44800</v>
      </c>
      <c r="C123" s="3">
        <v>0.33333333333333331</v>
      </c>
      <c r="D123" t="s">
        <v>43</v>
      </c>
      <c r="E123" t="s">
        <v>13</v>
      </c>
      <c r="F123" s="1" t="s">
        <v>38</v>
      </c>
      <c r="G123">
        <v>0.61199999999999999</v>
      </c>
      <c r="H123">
        <v>0.71799999999999997</v>
      </c>
      <c r="I123">
        <f t="shared" si="4"/>
        <v>0.17320261437908493</v>
      </c>
      <c r="J123">
        <f t="shared" si="5"/>
        <v>1.3746985699024332E-5</v>
      </c>
      <c r="K123">
        <f t="shared" si="8"/>
        <v>13.746985699024332</v>
      </c>
      <c r="L123">
        <v>3880.0925246250008</v>
      </c>
      <c r="M123">
        <f t="shared" si="7"/>
        <v>5.3339576446911101</v>
      </c>
      <c r="N123">
        <v>20.640699999999999</v>
      </c>
    </row>
    <row r="124" spans="1:14" x14ac:dyDescent="0.35">
      <c r="A124" t="s">
        <v>37</v>
      </c>
      <c r="B124" s="2">
        <v>44800</v>
      </c>
      <c r="C124" s="3">
        <v>0.35416666666666669</v>
      </c>
      <c r="D124" t="s">
        <v>43</v>
      </c>
      <c r="E124" t="s">
        <v>13</v>
      </c>
      <c r="F124" s="1" t="s">
        <v>38</v>
      </c>
      <c r="G124">
        <v>0.54500000000000004</v>
      </c>
      <c r="H124">
        <v>0.71799999999999997</v>
      </c>
      <c r="I124">
        <f t="shared" si="4"/>
        <v>0.31743119266055031</v>
      </c>
      <c r="J124">
        <f t="shared" si="5"/>
        <v>2.8978614667840131E-5</v>
      </c>
      <c r="K124">
        <f t="shared" si="8"/>
        <v>28.97861466784013</v>
      </c>
      <c r="L124">
        <v>3880.0925246250008</v>
      </c>
      <c r="M124">
        <f t="shared" si="7"/>
        <v>11.243970614667489</v>
      </c>
      <c r="N124">
        <v>21.7852</v>
      </c>
    </row>
    <row r="125" spans="1:14" x14ac:dyDescent="0.35">
      <c r="A125" t="s">
        <v>37</v>
      </c>
      <c r="B125" s="2">
        <v>44800</v>
      </c>
      <c r="C125" s="3">
        <v>0.375</v>
      </c>
      <c r="D125" t="s">
        <v>43</v>
      </c>
      <c r="E125" t="s">
        <v>13</v>
      </c>
      <c r="F125" s="1" t="s">
        <v>38</v>
      </c>
      <c r="G125">
        <v>0.51100000000000001</v>
      </c>
      <c r="H125">
        <v>0.71799999999999997</v>
      </c>
      <c r="I125">
        <f t="shared" si="4"/>
        <v>0.40508806262230912</v>
      </c>
      <c r="J125">
        <f t="shared" si="5"/>
        <v>3.9123736800129668E-5</v>
      </c>
      <c r="K125">
        <f t="shared" si="8"/>
        <v>39.12373680012967</v>
      </c>
      <c r="L125">
        <v>3880.0925246250008</v>
      </c>
      <c r="M125">
        <f t="shared" si="7"/>
        <v>15.180371869357918</v>
      </c>
      <c r="N125">
        <v>23.6355</v>
      </c>
    </row>
    <row r="126" spans="1:14" x14ac:dyDescent="0.35">
      <c r="A126" t="s">
        <v>37</v>
      </c>
      <c r="B126" s="2">
        <v>44800</v>
      </c>
      <c r="C126" s="3">
        <v>0.39583333333333331</v>
      </c>
      <c r="D126" t="s">
        <v>43</v>
      </c>
      <c r="E126" t="s">
        <v>13</v>
      </c>
      <c r="F126" s="1" t="s">
        <v>38</v>
      </c>
      <c r="G126">
        <v>0.49399999999999999</v>
      </c>
      <c r="H126">
        <v>0.71799999999999997</v>
      </c>
      <c r="I126">
        <f t="shared" si="4"/>
        <v>0.45344129554655865</v>
      </c>
      <c r="J126">
        <f t="shared" si="5"/>
        <v>4.4949451629936966E-5</v>
      </c>
      <c r="K126">
        <f t="shared" si="8"/>
        <v>44.949451629936966</v>
      </c>
      <c r="L126">
        <v>3880.0925246250008</v>
      </c>
      <c r="M126">
        <f t="shared" si="7"/>
        <v>17.440803125531147</v>
      </c>
      <c r="N126">
        <v>25.8127</v>
      </c>
    </row>
    <row r="127" spans="1:14" x14ac:dyDescent="0.35">
      <c r="A127" t="s">
        <v>37</v>
      </c>
      <c r="B127" s="2">
        <v>44800</v>
      </c>
      <c r="C127" s="3">
        <v>0.41666666666666669</v>
      </c>
      <c r="D127" t="s">
        <v>43</v>
      </c>
      <c r="E127" t="s">
        <v>13</v>
      </c>
      <c r="F127" s="1" t="s">
        <v>38</v>
      </c>
      <c r="G127">
        <v>0.48299999999999998</v>
      </c>
      <c r="H127">
        <v>0.71799999999999997</v>
      </c>
      <c r="I127">
        <f t="shared" si="4"/>
        <v>0.48654244306418221</v>
      </c>
      <c r="J127">
        <f t="shared" si="5"/>
        <v>4.9022175667484281E-5</v>
      </c>
      <c r="K127">
        <f t="shared" si="8"/>
        <v>49.022175667484284</v>
      </c>
      <c r="L127">
        <v>3880.0925246250008</v>
      </c>
      <c r="M127">
        <f t="shared" si="7"/>
        <v>19.021057734825938</v>
      </c>
      <c r="N127">
        <v>27.663900000000002</v>
      </c>
    </row>
    <row r="128" spans="1:14" x14ac:dyDescent="0.35">
      <c r="A128" t="s">
        <v>37</v>
      </c>
      <c r="B128" s="2">
        <v>44800</v>
      </c>
      <c r="C128" s="3">
        <v>0.4375</v>
      </c>
      <c r="D128" t="s">
        <v>43</v>
      </c>
      <c r="E128" t="s">
        <v>13</v>
      </c>
      <c r="F128" s="1" t="s">
        <v>38</v>
      </c>
      <c r="G128">
        <v>0.495</v>
      </c>
      <c r="H128">
        <v>0.71799999999999997</v>
      </c>
      <c r="I128">
        <f t="shared" si="4"/>
        <v>0.45050505050505046</v>
      </c>
      <c r="J128">
        <f t="shared" si="5"/>
        <v>4.4591414391257698E-5</v>
      </c>
      <c r="K128">
        <f t="shared" si="8"/>
        <v>44.5914143912577</v>
      </c>
      <c r="L128">
        <v>3880.0925246250008</v>
      </c>
      <c r="M128">
        <f t="shared" si="7"/>
        <v>17.301881364197467</v>
      </c>
      <c r="N128">
        <v>29.2453</v>
      </c>
    </row>
    <row r="129" spans="1:14" x14ac:dyDescent="0.35">
      <c r="A129" t="s">
        <v>37</v>
      </c>
      <c r="B129" s="2">
        <v>44800</v>
      </c>
      <c r="C129" s="3">
        <v>0.45833333333333331</v>
      </c>
      <c r="D129" t="s">
        <v>43</v>
      </c>
      <c r="E129" t="s">
        <v>13</v>
      </c>
      <c r="F129" s="1" t="s">
        <v>38</v>
      </c>
      <c r="G129">
        <v>0.498</v>
      </c>
      <c r="H129">
        <v>0.71799999999999997</v>
      </c>
      <c r="I129">
        <f t="shared" si="4"/>
        <v>0.44176706827309231</v>
      </c>
      <c r="J129">
        <f t="shared" si="5"/>
        <v>4.3529127331919574E-5</v>
      </c>
      <c r="K129">
        <f t="shared" si="8"/>
        <v>43.529127331919575</v>
      </c>
      <c r="L129">
        <v>3880.0925246250008</v>
      </c>
      <c r="M129">
        <f t="shared" si="7"/>
        <v>16.889704156403095</v>
      </c>
      <c r="N129">
        <v>31.9986</v>
      </c>
    </row>
    <row r="130" spans="1:14" x14ac:dyDescent="0.35">
      <c r="A130" t="s">
        <v>37</v>
      </c>
      <c r="B130" s="2">
        <v>44800</v>
      </c>
      <c r="C130" s="3">
        <v>0.47916666666666669</v>
      </c>
      <c r="D130" t="s">
        <v>43</v>
      </c>
      <c r="E130" t="s">
        <v>13</v>
      </c>
      <c r="F130" s="1" t="s">
        <v>38</v>
      </c>
      <c r="G130">
        <v>0.501</v>
      </c>
      <c r="H130">
        <v>0.71799999999999997</v>
      </c>
      <c r="I130">
        <f t="shared" ref="I130:I193" si="9">(H130-G130)/G130</f>
        <v>0.43313373253493009</v>
      </c>
      <c r="J130">
        <f t="shared" ref="J130:J193" si="10">119*10^-6*(I130^1.231)</f>
        <v>4.248431822441061E-5</v>
      </c>
      <c r="K130">
        <f t="shared" si="8"/>
        <v>42.484318224410607</v>
      </c>
      <c r="L130">
        <v>3880.0925246250008</v>
      </c>
      <c r="M130">
        <f t="shared" si="7"/>
        <v>16.484308555632527</v>
      </c>
      <c r="N130">
        <v>31.6327</v>
      </c>
    </row>
    <row r="131" spans="1:14" x14ac:dyDescent="0.35">
      <c r="A131" t="s">
        <v>37</v>
      </c>
      <c r="B131" s="2">
        <v>44800</v>
      </c>
      <c r="C131" s="3">
        <v>0.5</v>
      </c>
      <c r="D131" t="s">
        <v>43</v>
      </c>
      <c r="E131" t="s">
        <v>13</v>
      </c>
      <c r="F131" s="1" t="s">
        <v>38</v>
      </c>
      <c r="G131">
        <v>0.498</v>
      </c>
      <c r="H131">
        <v>0.71799999999999997</v>
      </c>
      <c r="I131">
        <f t="shared" si="9"/>
        <v>0.44176706827309231</v>
      </c>
      <c r="J131">
        <f t="shared" si="10"/>
        <v>4.3529127331919574E-5</v>
      </c>
      <c r="K131">
        <f t="shared" si="8"/>
        <v>43.529127331919575</v>
      </c>
      <c r="L131">
        <v>3880.0925246250008</v>
      </c>
      <c r="M131">
        <f t="shared" ref="M131:M194" si="11">K131*(L131/10000)</f>
        <v>16.889704156403095</v>
      </c>
      <c r="N131">
        <v>31.8827</v>
      </c>
    </row>
    <row r="132" spans="1:14" x14ac:dyDescent="0.35">
      <c r="A132" t="s">
        <v>37</v>
      </c>
      <c r="B132" s="2">
        <v>44800</v>
      </c>
      <c r="C132" s="3">
        <v>0.52083333333333337</v>
      </c>
      <c r="D132" t="s">
        <v>43</v>
      </c>
      <c r="E132" t="s">
        <v>13</v>
      </c>
      <c r="F132" s="1" t="s">
        <v>38</v>
      </c>
      <c r="G132">
        <v>0.496</v>
      </c>
      <c r="H132">
        <v>0.71799999999999997</v>
      </c>
      <c r="I132">
        <f t="shared" si="9"/>
        <v>0.44758064516129026</v>
      </c>
      <c r="J132">
        <f t="shared" si="10"/>
        <v>4.4235356246351292E-5</v>
      </c>
      <c r="K132">
        <f t="shared" si="8"/>
        <v>44.235356246351294</v>
      </c>
      <c r="L132">
        <v>3880.0925246250008</v>
      </c>
      <c r="M132">
        <f t="shared" si="11"/>
        <v>17.163727509559148</v>
      </c>
      <c r="N132">
        <v>32.619799999999998</v>
      </c>
    </row>
    <row r="133" spans="1:14" x14ac:dyDescent="0.35">
      <c r="A133" t="s">
        <v>37</v>
      </c>
      <c r="B133" s="2">
        <v>44800</v>
      </c>
      <c r="C133" s="3">
        <v>0.54166666666666663</v>
      </c>
      <c r="D133" t="s">
        <v>43</v>
      </c>
      <c r="E133" t="s">
        <v>13</v>
      </c>
      <c r="F133" s="1" t="s">
        <v>38</v>
      </c>
      <c r="G133">
        <v>0.504</v>
      </c>
      <c r="H133">
        <v>0.71799999999999997</v>
      </c>
      <c r="I133">
        <f t="shared" si="9"/>
        <v>0.42460317460317454</v>
      </c>
      <c r="J133">
        <f t="shared" si="10"/>
        <v>4.1456661551330275E-5</v>
      </c>
      <c r="K133">
        <f t="shared" si="8"/>
        <v>41.456661551330278</v>
      </c>
      <c r="L133">
        <v>3880.0925246250008</v>
      </c>
      <c r="M133">
        <f t="shared" si="11"/>
        <v>16.085568258122528</v>
      </c>
      <c r="N133">
        <v>29.2163</v>
      </c>
    </row>
    <row r="134" spans="1:14" x14ac:dyDescent="0.35">
      <c r="A134" t="s">
        <v>37</v>
      </c>
      <c r="B134" s="2">
        <v>44800</v>
      </c>
      <c r="C134" s="3">
        <v>0.5625</v>
      </c>
      <c r="D134" t="s">
        <v>43</v>
      </c>
      <c r="E134" t="s">
        <v>13</v>
      </c>
      <c r="F134" s="1" t="s">
        <v>38</v>
      </c>
      <c r="G134">
        <v>0.51400000000000001</v>
      </c>
      <c r="H134">
        <v>0.71799999999999997</v>
      </c>
      <c r="I134">
        <f t="shared" si="9"/>
        <v>0.39688715953307385</v>
      </c>
      <c r="J134">
        <f t="shared" si="10"/>
        <v>3.8151015109772606E-5</v>
      </c>
      <c r="K134">
        <f t="shared" si="8"/>
        <v>38.151015109772608</v>
      </c>
      <c r="L134">
        <v>3880.0925246250008</v>
      </c>
      <c r="M134">
        <f t="shared" si="11"/>
        <v>14.802946853428415</v>
      </c>
      <c r="N134">
        <v>30.803799999999999</v>
      </c>
    </row>
    <row r="135" spans="1:14" x14ac:dyDescent="0.35">
      <c r="A135" t="s">
        <v>37</v>
      </c>
      <c r="B135" s="2">
        <v>44800</v>
      </c>
      <c r="C135" s="3">
        <v>0.58333333333333337</v>
      </c>
      <c r="D135" t="s">
        <v>43</v>
      </c>
      <c r="E135" t="s">
        <v>13</v>
      </c>
      <c r="F135" s="1" t="s">
        <v>38</v>
      </c>
      <c r="G135">
        <v>0.51100000000000001</v>
      </c>
      <c r="H135">
        <v>0.71799999999999997</v>
      </c>
      <c r="I135">
        <f t="shared" si="9"/>
        <v>0.40508806262230912</v>
      </c>
      <c r="J135">
        <f t="shared" si="10"/>
        <v>3.9123736800129668E-5</v>
      </c>
      <c r="K135">
        <f t="shared" si="8"/>
        <v>39.12373680012967</v>
      </c>
      <c r="L135">
        <v>3880.0925246250008</v>
      </c>
      <c r="M135">
        <f t="shared" si="11"/>
        <v>15.180371869357918</v>
      </c>
      <c r="N135">
        <v>30.016100000000002</v>
      </c>
    </row>
    <row r="136" spans="1:14" x14ac:dyDescent="0.35">
      <c r="A136" t="s">
        <v>37</v>
      </c>
      <c r="B136" s="2">
        <v>44800</v>
      </c>
      <c r="C136" s="3">
        <v>0.60416666666666663</v>
      </c>
      <c r="D136" t="s">
        <v>43</v>
      </c>
      <c r="E136" t="s">
        <v>13</v>
      </c>
      <c r="F136" s="1" t="s">
        <v>38</v>
      </c>
      <c r="G136">
        <v>0.504</v>
      </c>
      <c r="H136">
        <v>0.71799999999999997</v>
      </c>
      <c r="I136">
        <f t="shared" si="9"/>
        <v>0.42460317460317454</v>
      </c>
      <c r="J136">
        <f t="shared" si="10"/>
        <v>4.1456661551330275E-5</v>
      </c>
      <c r="K136">
        <f t="shared" si="8"/>
        <v>41.456661551330278</v>
      </c>
      <c r="L136">
        <v>3880.0925246250008</v>
      </c>
      <c r="M136">
        <f t="shared" si="11"/>
        <v>16.085568258122528</v>
      </c>
      <c r="N136">
        <v>31.1188</v>
      </c>
    </row>
    <row r="137" spans="1:14" x14ac:dyDescent="0.35">
      <c r="A137" t="s">
        <v>37</v>
      </c>
      <c r="B137" s="2">
        <v>44800</v>
      </c>
      <c r="C137" s="3">
        <v>0.625</v>
      </c>
      <c r="D137" t="s">
        <v>43</v>
      </c>
      <c r="E137" t="s">
        <v>13</v>
      </c>
      <c r="F137" s="1" t="s">
        <v>38</v>
      </c>
      <c r="G137">
        <v>0.504</v>
      </c>
      <c r="H137">
        <v>0.71799999999999997</v>
      </c>
      <c r="I137">
        <f t="shared" si="9"/>
        <v>0.42460317460317454</v>
      </c>
      <c r="J137">
        <f t="shared" si="10"/>
        <v>4.1456661551330275E-5</v>
      </c>
      <c r="K137">
        <f t="shared" si="8"/>
        <v>41.456661551330278</v>
      </c>
      <c r="L137">
        <v>3880.0925246250008</v>
      </c>
      <c r="M137">
        <f t="shared" si="11"/>
        <v>16.085568258122528</v>
      </c>
      <c r="N137">
        <v>33.7301</v>
      </c>
    </row>
    <row r="138" spans="1:14" x14ac:dyDescent="0.35">
      <c r="A138" t="s">
        <v>37</v>
      </c>
      <c r="B138" s="2">
        <v>44800</v>
      </c>
      <c r="C138" s="3">
        <v>0.64583333333333337</v>
      </c>
      <c r="D138" t="s">
        <v>43</v>
      </c>
      <c r="E138" t="s">
        <v>13</v>
      </c>
      <c r="F138" s="1" t="s">
        <v>38</v>
      </c>
      <c r="G138">
        <v>0.505</v>
      </c>
      <c r="H138">
        <v>0.71799999999999997</v>
      </c>
      <c r="I138">
        <f t="shared" si="9"/>
        <v>0.42178217821782171</v>
      </c>
      <c r="J138">
        <f t="shared" si="10"/>
        <v>4.111786598967133E-5</v>
      </c>
      <c r="K138">
        <f t="shared" si="8"/>
        <v>41.11786598967133</v>
      </c>
      <c r="L138">
        <v>3880.0925246250008</v>
      </c>
      <c r="M138">
        <f t="shared" si="11"/>
        <v>15.954112445505627</v>
      </c>
      <c r="N138">
        <v>32.391100000000002</v>
      </c>
    </row>
    <row r="139" spans="1:14" x14ac:dyDescent="0.35">
      <c r="A139" t="s">
        <v>37</v>
      </c>
      <c r="B139" s="2">
        <v>44800</v>
      </c>
      <c r="C139" s="3">
        <v>0.66666666666666663</v>
      </c>
      <c r="D139" t="s">
        <v>43</v>
      </c>
      <c r="E139" t="s">
        <v>13</v>
      </c>
      <c r="F139" s="1" t="s">
        <v>38</v>
      </c>
      <c r="G139">
        <v>0.50600000000000001</v>
      </c>
      <c r="H139">
        <v>0.71799999999999997</v>
      </c>
      <c r="I139">
        <f t="shared" si="9"/>
        <v>0.41897233201581019</v>
      </c>
      <c r="J139">
        <f t="shared" si="10"/>
        <v>4.078092947624725E-5</v>
      </c>
      <c r="K139">
        <f t="shared" si="8"/>
        <v>40.780929476247252</v>
      </c>
      <c r="L139">
        <v>3880.0925246250008</v>
      </c>
      <c r="M139">
        <f t="shared" si="11"/>
        <v>15.823377960804631</v>
      </c>
      <c r="N139">
        <v>28.613099999999999</v>
      </c>
    </row>
    <row r="140" spans="1:14" x14ac:dyDescent="0.35">
      <c r="A140" t="s">
        <v>37</v>
      </c>
      <c r="B140" s="2">
        <v>44800</v>
      </c>
      <c r="C140" s="3">
        <v>0.6875</v>
      </c>
      <c r="D140" t="s">
        <v>43</v>
      </c>
      <c r="E140" t="s">
        <v>13</v>
      </c>
      <c r="F140" s="1" t="s">
        <v>38</v>
      </c>
      <c r="G140">
        <v>0.54500000000000004</v>
      </c>
      <c r="H140">
        <v>0.71799999999999997</v>
      </c>
      <c r="I140">
        <f t="shared" si="9"/>
        <v>0.31743119266055031</v>
      </c>
      <c r="J140">
        <f t="shared" si="10"/>
        <v>2.8978614667840131E-5</v>
      </c>
      <c r="K140">
        <f t="shared" si="8"/>
        <v>28.97861466784013</v>
      </c>
      <c r="L140">
        <v>3880.0925246250008</v>
      </c>
      <c r="M140">
        <f t="shared" si="11"/>
        <v>11.243970614667489</v>
      </c>
      <c r="N140">
        <v>29.746700000000001</v>
      </c>
    </row>
    <row r="141" spans="1:14" x14ac:dyDescent="0.35">
      <c r="A141" t="s">
        <v>37</v>
      </c>
      <c r="B141" s="2">
        <v>44800</v>
      </c>
      <c r="C141" s="3">
        <v>0.70833333333333337</v>
      </c>
      <c r="D141" t="s">
        <v>43</v>
      </c>
      <c r="E141" t="s">
        <v>13</v>
      </c>
      <c r="F141" s="1" t="s">
        <v>38</v>
      </c>
      <c r="G141">
        <v>0.54500000000000004</v>
      </c>
      <c r="H141">
        <v>0.71799999999999997</v>
      </c>
      <c r="I141">
        <f t="shared" si="9"/>
        <v>0.31743119266055031</v>
      </c>
      <c r="J141">
        <f t="shared" si="10"/>
        <v>2.8978614667840131E-5</v>
      </c>
      <c r="K141">
        <f t="shared" si="8"/>
        <v>28.97861466784013</v>
      </c>
      <c r="L141">
        <v>3880.0925246250008</v>
      </c>
      <c r="M141">
        <f t="shared" si="11"/>
        <v>11.243970614667489</v>
      </c>
      <c r="N141">
        <v>26.706800000000001</v>
      </c>
    </row>
    <row r="142" spans="1:14" x14ac:dyDescent="0.35">
      <c r="A142" t="s">
        <v>37</v>
      </c>
      <c r="B142" s="2">
        <v>44800</v>
      </c>
      <c r="C142" s="3">
        <v>0.72916666666666663</v>
      </c>
      <c r="D142" t="s">
        <v>43</v>
      </c>
      <c r="E142" t="s">
        <v>13</v>
      </c>
      <c r="F142" s="1" t="s">
        <v>38</v>
      </c>
      <c r="G142">
        <v>0.57199999999999995</v>
      </c>
      <c r="H142">
        <v>0.71799999999999997</v>
      </c>
      <c r="I142">
        <f t="shared" si="9"/>
        <v>0.25524475524475532</v>
      </c>
      <c r="J142">
        <f t="shared" si="10"/>
        <v>2.2156992741208936E-5</v>
      </c>
      <c r="K142">
        <f t="shared" si="8"/>
        <v>22.156992741208935</v>
      </c>
      <c r="L142">
        <v>3880.0925246250008</v>
      </c>
      <c r="M142">
        <f t="shared" si="11"/>
        <v>8.5971181903335196</v>
      </c>
      <c r="N142">
        <v>24.7545</v>
      </c>
    </row>
    <row r="143" spans="1:14" x14ac:dyDescent="0.35">
      <c r="A143" t="s">
        <v>37</v>
      </c>
      <c r="B143" s="2">
        <v>44800</v>
      </c>
      <c r="C143" s="3">
        <v>0.75</v>
      </c>
      <c r="D143" t="s">
        <v>43</v>
      </c>
      <c r="E143" t="s">
        <v>13</v>
      </c>
      <c r="F143" s="1" t="s">
        <v>38</v>
      </c>
      <c r="G143">
        <v>0.61699999999999999</v>
      </c>
      <c r="H143">
        <v>0.71799999999999997</v>
      </c>
      <c r="I143">
        <f t="shared" si="9"/>
        <v>0.16369529983792541</v>
      </c>
      <c r="J143">
        <f t="shared" si="10"/>
        <v>1.2824059831900864E-5</v>
      </c>
      <c r="K143">
        <f t="shared" si="8"/>
        <v>12.824059831900863</v>
      </c>
      <c r="L143">
        <v>3880.0925246250008</v>
      </c>
      <c r="M143">
        <f t="shared" si="11"/>
        <v>4.9758538689102281</v>
      </c>
      <c r="N143">
        <v>21.6553</v>
      </c>
    </row>
    <row r="144" spans="1:14" x14ac:dyDescent="0.35">
      <c r="A144" t="s">
        <v>37</v>
      </c>
      <c r="B144" s="2">
        <v>44800</v>
      </c>
      <c r="C144" s="3">
        <v>0.77083333333333337</v>
      </c>
      <c r="D144" t="s">
        <v>43</v>
      </c>
      <c r="E144" t="s">
        <v>13</v>
      </c>
      <c r="F144" s="1" t="s">
        <v>38</v>
      </c>
      <c r="G144">
        <v>0.65400000000000003</v>
      </c>
      <c r="H144">
        <v>0.71799999999999997</v>
      </c>
      <c r="I144">
        <f t="shared" si="9"/>
        <v>9.78593272171253E-2</v>
      </c>
      <c r="J144">
        <f t="shared" si="10"/>
        <v>6.8073534600489564E-6</v>
      </c>
      <c r="K144">
        <f t="shared" si="8"/>
        <v>6.8073534600489563</v>
      </c>
      <c r="L144">
        <v>3880.0925246250008</v>
      </c>
      <c r="M144">
        <f t="shared" si="11"/>
        <v>2.641316127281609</v>
      </c>
      <c r="N144">
        <v>21.886700000000001</v>
      </c>
    </row>
    <row r="145" spans="1:14" x14ac:dyDescent="0.35">
      <c r="A145" t="s">
        <v>37</v>
      </c>
      <c r="B145" s="2">
        <v>44800</v>
      </c>
      <c r="C145" s="3">
        <v>0.79166666666666663</v>
      </c>
      <c r="D145" t="s">
        <v>43</v>
      </c>
      <c r="E145" t="s">
        <v>13</v>
      </c>
      <c r="F145" s="1" t="s">
        <v>38</v>
      </c>
      <c r="G145">
        <v>0.67100000000000004</v>
      </c>
      <c r="H145">
        <v>0.71799999999999997</v>
      </c>
      <c r="I145">
        <f t="shared" si="9"/>
        <v>7.0044709388971574E-2</v>
      </c>
      <c r="J145">
        <f t="shared" si="10"/>
        <v>4.5102851749170322E-6</v>
      </c>
      <c r="K145">
        <f t="shared" si="8"/>
        <v>4.5102851749170325</v>
      </c>
      <c r="L145">
        <v>3880.0925246250008</v>
      </c>
      <c r="M145">
        <f t="shared" si="11"/>
        <v>1.7500323791122541</v>
      </c>
      <c r="N145">
        <v>21.135999999999999</v>
      </c>
    </row>
    <row r="146" spans="1:14" x14ac:dyDescent="0.35">
      <c r="A146" t="s">
        <v>37</v>
      </c>
      <c r="B146" s="2">
        <v>44800</v>
      </c>
      <c r="C146" s="3">
        <v>0.8125</v>
      </c>
      <c r="D146" t="s">
        <v>43</v>
      </c>
      <c r="E146" t="s">
        <v>13</v>
      </c>
      <c r="F146" s="1" t="s">
        <v>38</v>
      </c>
      <c r="G146">
        <v>0.67900000000000005</v>
      </c>
      <c r="H146">
        <v>0.71799999999999997</v>
      </c>
      <c r="I146">
        <f t="shared" si="9"/>
        <v>5.7437407952871757E-2</v>
      </c>
      <c r="J146">
        <f t="shared" si="10"/>
        <v>3.5327735528932569E-6</v>
      </c>
      <c r="K146">
        <f t="shared" si="8"/>
        <v>3.5327735528932567</v>
      </c>
      <c r="L146">
        <v>3880.0925246250008</v>
      </c>
      <c r="M146">
        <f t="shared" si="11"/>
        <v>1.3707488253774029</v>
      </c>
      <c r="N146">
        <v>22.610600000000002</v>
      </c>
    </row>
    <row r="147" spans="1:14" x14ac:dyDescent="0.35">
      <c r="A147" t="s">
        <v>37</v>
      </c>
      <c r="B147" s="2">
        <v>44800</v>
      </c>
      <c r="C147" s="3">
        <v>0.83333333333333337</v>
      </c>
      <c r="D147" t="s">
        <v>43</v>
      </c>
      <c r="E147" t="s">
        <v>13</v>
      </c>
      <c r="F147" s="1" t="s">
        <v>38</v>
      </c>
      <c r="G147">
        <v>0.68400000000000005</v>
      </c>
      <c r="H147">
        <v>0.71799999999999997</v>
      </c>
      <c r="I147">
        <f t="shared" si="9"/>
        <v>4.9707602339181166E-2</v>
      </c>
      <c r="J147">
        <f t="shared" si="10"/>
        <v>2.9569463647950332E-6</v>
      </c>
      <c r="K147">
        <f t="shared" si="8"/>
        <v>2.9569463647950331</v>
      </c>
      <c r="L147">
        <v>3880.0925246250008</v>
      </c>
      <c r="M147">
        <f t="shared" si="11"/>
        <v>1.1473225485758278</v>
      </c>
      <c r="N147">
        <v>22.5307</v>
      </c>
    </row>
    <row r="148" spans="1:14" x14ac:dyDescent="0.35">
      <c r="A148" t="s">
        <v>37</v>
      </c>
      <c r="B148" s="2">
        <v>44800</v>
      </c>
      <c r="C148" s="3">
        <v>0.85416666666666663</v>
      </c>
      <c r="D148" t="s">
        <v>43</v>
      </c>
      <c r="E148" t="s">
        <v>13</v>
      </c>
      <c r="F148" s="1" t="s">
        <v>38</v>
      </c>
      <c r="G148">
        <v>0.68899999999999995</v>
      </c>
      <c r="H148">
        <v>0.71799999999999997</v>
      </c>
      <c r="I148">
        <f t="shared" si="9"/>
        <v>4.2089985486211942E-2</v>
      </c>
      <c r="J148">
        <f t="shared" si="10"/>
        <v>2.4094118093571723E-6</v>
      </c>
      <c r="K148">
        <f t="shared" si="8"/>
        <v>2.4094118093571724</v>
      </c>
      <c r="L148">
        <v>3880.0925246250008</v>
      </c>
      <c r="M148">
        <f t="shared" si="11"/>
        <v>0.93487407502299613</v>
      </c>
      <c r="N148">
        <v>22.331499999999998</v>
      </c>
    </row>
    <row r="149" spans="1:14" x14ac:dyDescent="0.35">
      <c r="A149" t="s">
        <v>37</v>
      </c>
      <c r="B149" s="2">
        <v>44800</v>
      </c>
      <c r="C149" s="3">
        <v>0.875</v>
      </c>
      <c r="D149" t="s">
        <v>43</v>
      </c>
      <c r="E149" t="s">
        <v>13</v>
      </c>
      <c r="F149" s="1" t="s">
        <v>38</v>
      </c>
      <c r="G149">
        <v>0.69</v>
      </c>
      <c r="H149">
        <v>0.71799999999999997</v>
      </c>
      <c r="I149">
        <f t="shared" si="9"/>
        <v>4.0579710144927575E-2</v>
      </c>
      <c r="J149">
        <f t="shared" si="10"/>
        <v>2.3034313178143229E-6</v>
      </c>
      <c r="K149">
        <f t="shared" si="8"/>
        <v>2.3034313178143231</v>
      </c>
      <c r="L149">
        <v>3880.0925246250008</v>
      </c>
      <c r="M149">
        <f t="shared" si="11"/>
        <v>0.89375266372384687</v>
      </c>
      <c r="N149">
        <v>22.132000000000001</v>
      </c>
    </row>
    <row r="150" spans="1:14" x14ac:dyDescent="0.35">
      <c r="A150" t="s">
        <v>37</v>
      </c>
      <c r="B150" s="2">
        <v>44800</v>
      </c>
      <c r="C150" s="3">
        <v>0.89583333333333337</v>
      </c>
      <c r="D150" t="s">
        <v>43</v>
      </c>
      <c r="E150" t="s">
        <v>13</v>
      </c>
      <c r="F150" s="1" t="s">
        <v>38</v>
      </c>
      <c r="G150">
        <v>0.69</v>
      </c>
      <c r="H150">
        <v>0.71799999999999997</v>
      </c>
      <c r="I150">
        <f t="shared" si="9"/>
        <v>4.0579710144927575E-2</v>
      </c>
      <c r="J150">
        <f t="shared" si="10"/>
        <v>2.3034313178143229E-6</v>
      </c>
      <c r="K150">
        <f t="shared" si="8"/>
        <v>2.3034313178143231</v>
      </c>
      <c r="L150">
        <v>3880.0925246250008</v>
      </c>
      <c r="M150">
        <f t="shared" si="11"/>
        <v>0.89375266372384687</v>
      </c>
      <c r="N150">
        <v>21.936800000000002</v>
      </c>
    </row>
    <row r="151" spans="1:14" x14ac:dyDescent="0.35">
      <c r="A151" t="s">
        <v>37</v>
      </c>
      <c r="B151" s="2">
        <v>44800</v>
      </c>
      <c r="C151" s="3">
        <v>0.91666666666666663</v>
      </c>
      <c r="D151" t="s">
        <v>43</v>
      </c>
      <c r="E151" t="s">
        <v>13</v>
      </c>
      <c r="F151" s="1" t="s">
        <v>38</v>
      </c>
      <c r="G151">
        <v>0.68799999999999994</v>
      </c>
      <c r="H151">
        <v>0.71799999999999997</v>
      </c>
      <c r="I151">
        <f t="shared" si="9"/>
        <v>4.360465116279074E-2</v>
      </c>
      <c r="J151">
        <f t="shared" si="10"/>
        <v>2.5165864764972687E-6</v>
      </c>
      <c r="K151">
        <f t="shared" si="8"/>
        <v>2.5165864764972685</v>
      </c>
      <c r="L151">
        <v>3880.0925246250008</v>
      </c>
      <c r="M151">
        <f t="shared" si="11"/>
        <v>0.97645883750294216</v>
      </c>
      <c r="N151">
        <v>21.610299999999999</v>
      </c>
    </row>
    <row r="152" spans="1:14" x14ac:dyDescent="0.35">
      <c r="A152" t="s">
        <v>37</v>
      </c>
      <c r="B152" s="2">
        <v>44800</v>
      </c>
      <c r="C152" s="3">
        <v>0.9375</v>
      </c>
      <c r="D152" t="s">
        <v>43</v>
      </c>
      <c r="E152" t="s">
        <v>13</v>
      </c>
      <c r="F152" s="1" t="s">
        <v>38</v>
      </c>
      <c r="G152">
        <v>0.68700000000000006</v>
      </c>
      <c r="H152">
        <v>0.71799999999999997</v>
      </c>
      <c r="I152">
        <f t="shared" si="9"/>
        <v>4.5123726346433642E-2</v>
      </c>
      <c r="J152">
        <f t="shared" si="10"/>
        <v>2.6249404973409374E-6</v>
      </c>
      <c r="K152">
        <f t="shared" si="8"/>
        <v>2.6249404973409374</v>
      </c>
      <c r="L152">
        <v>3880.0925246250008</v>
      </c>
      <c r="M152">
        <f t="shared" si="11"/>
        <v>1.0185012001318003</v>
      </c>
      <c r="N152">
        <v>21.201899999999998</v>
      </c>
    </row>
    <row r="153" spans="1:14" x14ac:dyDescent="0.35">
      <c r="A153" t="s">
        <v>37</v>
      </c>
      <c r="B153" s="2">
        <v>44800</v>
      </c>
      <c r="C153" s="3">
        <v>0.95833333333333337</v>
      </c>
      <c r="D153" t="s">
        <v>43</v>
      </c>
      <c r="E153" t="s">
        <v>13</v>
      </c>
      <c r="F153" s="1" t="s">
        <v>38</v>
      </c>
      <c r="G153">
        <v>0.68799999999999994</v>
      </c>
      <c r="H153">
        <v>0.71799999999999997</v>
      </c>
      <c r="I153">
        <f t="shared" si="9"/>
        <v>4.360465116279074E-2</v>
      </c>
      <c r="J153">
        <f t="shared" si="10"/>
        <v>2.5165864764972687E-6</v>
      </c>
      <c r="K153">
        <f t="shared" si="8"/>
        <v>2.5165864764972685</v>
      </c>
      <c r="L153">
        <v>3880.0925246250008</v>
      </c>
      <c r="M153">
        <f t="shared" si="11"/>
        <v>0.97645883750294216</v>
      </c>
      <c r="N153">
        <v>20.816600000000001</v>
      </c>
    </row>
    <row r="154" spans="1:14" x14ac:dyDescent="0.35">
      <c r="A154" t="s">
        <v>37</v>
      </c>
      <c r="B154" s="2">
        <v>44800</v>
      </c>
      <c r="C154" s="3">
        <v>0.97916666666666663</v>
      </c>
      <c r="D154" t="s">
        <v>43</v>
      </c>
      <c r="E154" t="s">
        <v>13</v>
      </c>
      <c r="F154" s="1" t="s">
        <v>38</v>
      </c>
      <c r="G154">
        <v>0.68899999999999995</v>
      </c>
      <c r="H154">
        <v>0.71799999999999997</v>
      </c>
      <c r="I154">
        <f t="shared" si="9"/>
        <v>4.2089985486211942E-2</v>
      </c>
      <c r="J154">
        <f t="shared" si="10"/>
        <v>2.4094118093571723E-6</v>
      </c>
      <c r="K154">
        <f t="shared" si="8"/>
        <v>2.4094118093571724</v>
      </c>
      <c r="L154">
        <v>3880.0925246250008</v>
      </c>
      <c r="M154">
        <f t="shared" si="11"/>
        <v>0.93487407502299613</v>
      </c>
      <c r="N154">
        <v>20.130299999999998</v>
      </c>
    </row>
    <row r="155" spans="1:14" x14ac:dyDescent="0.35">
      <c r="A155" t="s">
        <v>37</v>
      </c>
      <c r="B155" s="2">
        <v>44800</v>
      </c>
      <c r="C155" s="3">
        <v>0</v>
      </c>
      <c r="D155" t="s">
        <v>44</v>
      </c>
      <c r="E155" t="s">
        <v>63</v>
      </c>
      <c r="F155" s="1" t="s">
        <v>38</v>
      </c>
      <c r="G155">
        <v>0.78300000000000003</v>
      </c>
      <c r="H155">
        <f>MAX(G155:G202)</f>
        <v>0.83799999999999997</v>
      </c>
      <c r="I155">
        <f t="shared" si="9"/>
        <v>7.0242656449552923E-2</v>
      </c>
      <c r="J155">
        <f t="shared" si="10"/>
        <v>4.5259807561980215E-6</v>
      </c>
      <c r="K155">
        <f t="shared" si="8"/>
        <v>4.5259807561980212</v>
      </c>
      <c r="L155">
        <v>916.28907162499991</v>
      </c>
      <c r="M155">
        <f t="shared" si="11"/>
        <v>0.41471067052893001</v>
      </c>
      <c r="N155">
        <v>20.112200000000001</v>
      </c>
    </row>
    <row r="156" spans="1:14" x14ac:dyDescent="0.35">
      <c r="A156" t="s">
        <v>37</v>
      </c>
      <c r="B156" s="2">
        <v>44800</v>
      </c>
      <c r="C156" s="3">
        <v>2.0833333333333332E-2</v>
      </c>
      <c r="D156" t="s">
        <v>44</v>
      </c>
      <c r="E156" t="s">
        <v>63</v>
      </c>
      <c r="F156" s="1" t="s">
        <v>38</v>
      </c>
      <c r="G156">
        <v>0.78300000000000003</v>
      </c>
      <c r="H156">
        <v>0.83799999999999997</v>
      </c>
      <c r="I156">
        <f t="shared" si="9"/>
        <v>7.0242656449552923E-2</v>
      </c>
      <c r="J156">
        <f t="shared" si="10"/>
        <v>4.5259807561980215E-6</v>
      </c>
      <c r="K156">
        <f t="shared" si="8"/>
        <v>4.5259807561980212</v>
      </c>
      <c r="L156">
        <v>916.28907162499991</v>
      </c>
      <c r="M156">
        <f t="shared" si="11"/>
        <v>0.41471067052893001</v>
      </c>
      <c r="N156">
        <v>19.898800000000001</v>
      </c>
    </row>
    <row r="157" spans="1:14" x14ac:dyDescent="0.35">
      <c r="A157" t="s">
        <v>37</v>
      </c>
      <c r="B157" s="2">
        <v>44800</v>
      </c>
      <c r="C157" s="3">
        <v>4.1666666666666664E-2</v>
      </c>
      <c r="D157" t="s">
        <v>44</v>
      </c>
      <c r="E157" t="s">
        <v>63</v>
      </c>
      <c r="F157" s="1" t="s">
        <v>38</v>
      </c>
      <c r="G157">
        <v>0.78400000000000003</v>
      </c>
      <c r="H157">
        <v>0.83799999999999997</v>
      </c>
      <c r="I157">
        <f t="shared" si="9"/>
        <v>6.8877551020408087E-2</v>
      </c>
      <c r="J157">
        <f t="shared" si="10"/>
        <v>4.4179480684067469E-6</v>
      </c>
      <c r="K157">
        <f t="shared" si="8"/>
        <v>4.4179480684067469</v>
      </c>
      <c r="L157">
        <v>916.28907162499991</v>
      </c>
      <c r="M157">
        <f t="shared" si="11"/>
        <v>0.404811753408788</v>
      </c>
      <c r="N157">
        <v>19.249500000000001</v>
      </c>
    </row>
    <row r="158" spans="1:14" x14ac:dyDescent="0.35">
      <c r="A158" t="s">
        <v>37</v>
      </c>
      <c r="B158" s="2">
        <v>44800</v>
      </c>
      <c r="C158" s="3">
        <v>6.25E-2</v>
      </c>
      <c r="D158" t="s">
        <v>44</v>
      </c>
      <c r="E158" t="s">
        <v>63</v>
      </c>
      <c r="F158" s="1" t="s">
        <v>38</v>
      </c>
      <c r="G158">
        <v>0.78200000000000003</v>
      </c>
      <c r="H158">
        <v>0.83799999999999997</v>
      </c>
      <c r="I158">
        <f t="shared" si="9"/>
        <v>7.161125319693086E-2</v>
      </c>
      <c r="J158">
        <f t="shared" si="10"/>
        <v>4.6347777096988373E-6</v>
      </c>
      <c r="K158">
        <f t="shared" si="8"/>
        <v>4.6347777096988372</v>
      </c>
      <c r="L158">
        <v>916.28907162499991</v>
      </c>
      <c r="M158">
        <f t="shared" si="11"/>
        <v>0.42467961648081909</v>
      </c>
      <c r="N158">
        <v>17.116900000000001</v>
      </c>
    </row>
    <row r="159" spans="1:14" x14ac:dyDescent="0.35">
      <c r="A159" t="s">
        <v>37</v>
      </c>
      <c r="B159" s="2">
        <v>44800</v>
      </c>
      <c r="C159" s="3">
        <v>8.3333333333333329E-2</v>
      </c>
      <c r="D159" t="s">
        <v>44</v>
      </c>
      <c r="E159" t="s">
        <v>63</v>
      </c>
      <c r="F159" s="1" t="s">
        <v>38</v>
      </c>
      <c r="G159">
        <v>0.77900000000000003</v>
      </c>
      <c r="H159">
        <v>0.83799999999999997</v>
      </c>
      <c r="I159">
        <f t="shared" si="9"/>
        <v>7.5738125802310582E-2</v>
      </c>
      <c r="J159">
        <f t="shared" si="10"/>
        <v>4.9657308600582753E-6</v>
      </c>
      <c r="K159">
        <f t="shared" si="8"/>
        <v>4.965730860058275</v>
      </c>
      <c r="L159">
        <v>916.28907162499991</v>
      </c>
      <c r="M159">
        <f t="shared" si="11"/>
        <v>0.45500449197024095</v>
      </c>
      <c r="N159">
        <v>16.752199999999998</v>
      </c>
    </row>
    <row r="160" spans="1:14" x14ac:dyDescent="0.35">
      <c r="A160" t="s">
        <v>37</v>
      </c>
      <c r="B160" s="2">
        <v>44800</v>
      </c>
      <c r="C160" s="3">
        <v>0.10416666666666667</v>
      </c>
      <c r="D160" t="s">
        <v>44</v>
      </c>
      <c r="E160" t="s">
        <v>63</v>
      </c>
      <c r="F160" s="1" t="s">
        <v>38</v>
      </c>
      <c r="G160">
        <v>0.77700000000000002</v>
      </c>
      <c r="H160">
        <v>0.83799999999999997</v>
      </c>
      <c r="I160">
        <f t="shared" si="9"/>
        <v>7.8507078507078429E-2</v>
      </c>
      <c r="J160">
        <f t="shared" si="10"/>
        <v>5.190147665014558E-6</v>
      </c>
      <c r="K160">
        <f t="shared" si="8"/>
        <v>5.1901476650145577</v>
      </c>
      <c r="L160">
        <v>916.28907162499991</v>
      </c>
      <c r="M160">
        <f t="shared" si="11"/>
        <v>0.47556755855728505</v>
      </c>
      <c r="N160">
        <v>16.4085</v>
      </c>
    </row>
    <row r="161" spans="1:14" x14ac:dyDescent="0.35">
      <c r="A161" t="s">
        <v>37</v>
      </c>
      <c r="B161" s="2">
        <v>44800</v>
      </c>
      <c r="C161" s="3">
        <v>0.125</v>
      </c>
      <c r="D161" t="s">
        <v>44</v>
      </c>
      <c r="E161" t="s">
        <v>63</v>
      </c>
      <c r="F161" s="1" t="s">
        <v>38</v>
      </c>
      <c r="G161">
        <v>0.77700000000000002</v>
      </c>
      <c r="H161">
        <v>0.83799999999999997</v>
      </c>
      <c r="I161">
        <f t="shared" si="9"/>
        <v>7.8507078507078429E-2</v>
      </c>
      <c r="J161">
        <f t="shared" si="10"/>
        <v>5.190147665014558E-6</v>
      </c>
      <c r="K161">
        <f t="shared" si="8"/>
        <v>5.1901476650145577</v>
      </c>
      <c r="L161">
        <v>916.28907162499991</v>
      </c>
      <c r="M161">
        <f t="shared" si="11"/>
        <v>0.47556755855728505</v>
      </c>
      <c r="N161">
        <v>17.264900000000001</v>
      </c>
    </row>
    <row r="162" spans="1:14" x14ac:dyDescent="0.35">
      <c r="A162" t="s">
        <v>37</v>
      </c>
      <c r="B162" s="2">
        <v>44800</v>
      </c>
      <c r="C162" s="3">
        <v>0.14583333333333334</v>
      </c>
      <c r="D162" t="s">
        <v>44</v>
      </c>
      <c r="E162" t="s">
        <v>63</v>
      </c>
      <c r="F162" s="1" t="s">
        <v>38</v>
      </c>
      <c r="G162">
        <v>0.77900000000000003</v>
      </c>
      <c r="H162">
        <v>0.83799999999999997</v>
      </c>
      <c r="I162">
        <f t="shared" si="9"/>
        <v>7.5738125802310582E-2</v>
      </c>
      <c r="J162">
        <f t="shared" si="10"/>
        <v>4.9657308600582753E-6</v>
      </c>
      <c r="K162">
        <f t="shared" si="8"/>
        <v>4.965730860058275</v>
      </c>
      <c r="L162">
        <v>916.28907162499991</v>
      </c>
      <c r="M162">
        <f t="shared" si="11"/>
        <v>0.45500449197024095</v>
      </c>
      <c r="N162">
        <v>15.769</v>
      </c>
    </row>
    <row r="163" spans="1:14" x14ac:dyDescent="0.35">
      <c r="A163" t="s">
        <v>37</v>
      </c>
      <c r="B163" s="2">
        <v>44800</v>
      </c>
      <c r="C163" s="3">
        <v>0.16666666666666666</v>
      </c>
      <c r="D163" t="s">
        <v>44</v>
      </c>
      <c r="E163" t="s">
        <v>63</v>
      </c>
      <c r="F163" s="1" t="s">
        <v>38</v>
      </c>
      <c r="G163">
        <v>0.77900000000000003</v>
      </c>
      <c r="H163">
        <v>0.83799999999999997</v>
      </c>
      <c r="I163">
        <f t="shared" si="9"/>
        <v>7.5738125802310582E-2</v>
      </c>
      <c r="J163">
        <f t="shared" si="10"/>
        <v>4.9657308600582753E-6</v>
      </c>
      <c r="K163">
        <f t="shared" si="8"/>
        <v>4.965730860058275</v>
      </c>
      <c r="L163">
        <v>916.28907162499991</v>
      </c>
      <c r="M163">
        <f t="shared" si="11"/>
        <v>0.45500449197024095</v>
      </c>
      <c r="N163">
        <v>16.060199999999998</v>
      </c>
    </row>
    <row r="164" spans="1:14" x14ac:dyDescent="0.35">
      <c r="A164" t="s">
        <v>37</v>
      </c>
      <c r="B164" s="2">
        <v>44800</v>
      </c>
      <c r="C164" s="3">
        <v>0.1875</v>
      </c>
      <c r="D164" t="s">
        <v>44</v>
      </c>
      <c r="E164" t="s">
        <v>63</v>
      </c>
      <c r="F164" s="1" t="s">
        <v>38</v>
      </c>
      <c r="G164">
        <v>0.78100000000000003</v>
      </c>
      <c r="H164">
        <v>0.83799999999999997</v>
      </c>
      <c r="I164">
        <f t="shared" si="9"/>
        <v>7.298335467349544E-2</v>
      </c>
      <c r="J164">
        <f t="shared" si="10"/>
        <v>4.7443365165108205E-6</v>
      </c>
      <c r="K164">
        <f t="shared" si="8"/>
        <v>4.7443365165108204</v>
      </c>
      <c r="L164">
        <v>916.28907162499991</v>
      </c>
      <c r="M164">
        <f t="shared" si="11"/>
        <v>0.43471837021902859</v>
      </c>
      <c r="N164">
        <v>15.727600000000001</v>
      </c>
    </row>
    <row r="165" spans="1:14" x14ac:dyDescent="0.35">
      <c r="A165" t="s">
        <v>37</v>
      </c>
      <c r="B165" s="2">
        <v>44800</v>
      </c>
      <c r="C165" s="3">
        <v>0.20833333333333334</v>
      </c>
      <c r="D165" t="s">
        <v>44</v>
      </c>
      <c r="E165" t="s">
        <v>63</v>
      </c>
      <c r="F165" s="1" t="s">
        <v>38</v>
      </c>
      <c r="G165">
        <v>0.78100000000000003</v>
      </c>
      <c r="H165">
        <v>0.83799999999999997</v>
      </c>
      <c r="I165">
        <f t="shared" si="9"/>
        <v>7.298335467349544E-2</v>
      </c>
      <c r="J165">
        <f t="shared" si="10"/>
        <v>4.7443365165108205E-6</v>
      </c>
      <c r="K165">
        <f t="shared" si="8"/>
        <v>4.7443365165108204</v>
      </c>
      <c r="L165">
        <v>916.28907162499991</v>
      </c>
      <c r="M165">
        <f t="shared" si="11"/>
        <v>0.43471837021902859</v>
      </c>
      <c r="N165">
        <v>15.0184</v>
      </c>
    </row>
    <row r="166" spans="1:14" x14ac:dyDescent="0.35">
      <c r="A166" t="s">
        <v>37</v>
      </c>
      <c r="B166" s="2">
        <v>44800</v>
      </c>
      <c r="C166" s="3">
        <v>0.22916666666666666</v>
      </c>
      <c r="D166" t="s">
        <v>44</v>
      </c>
      <c r="E166" t="s">
        <v>63</v>
      </c>
      <c r="F166" s="1" t="s">
        <v>38</v>
      </c>
      <c r="G166">
        <v>0.78100000000000003</v>
      </c>
      <c r="H166">
        <v>0.83799999999999997</v>
      </c>
      <c r="I166">
        <f t="shared" si="9"/>
        <v>7.298335467349544E-2</v>
      </c>
      <c r="J166">
        <f t="shared" si="10"/>
        <v>4.7443365165108205E-6</v>
      </c>
      <c r="K166">
        <f t="shared" si="8"/>
        <v>4.7443365165108204</v>
      </c>
      <c r="L166">
        <v>916.28907162499991</v>
      </c>
      <c r="M166">
        <f t="shared" si="11"/>
        <v>0.43471837021902859</v>
      </c>
      <c r="N166">
        <v>14.711399999999999</v>
      </c>
    </row>
    <row r="167" spans="1:14" x14ac:dyDescent="0.35">
      <c r="A167" t="s">
        <v>37</v>
      </c>
      <c r="B167" s="2">
        <v>44800</v>
      </c>
      <c r="C167" s="3">
        <v>0.25</v>
      </c>
      <c r="D167" t="s">
        <v>44</v>
      </c>
      <c r="E167" t="s">
        <v>63</v>
      </c>
      <c r="F167" s="1" t="s">
        <v>38</v>
      </c>
      <c r="G167">
        <v>0.78100000000000003</v>
      </c>
      <c r="H167">
        <v>0.83799999999999997</v>
      </c>
      <c r="I167">
        <f t="shared" si="9"/>
        <v>7.298335467349544E-2</v>
      </c>
      <c r="J167">
        <f t="shared" si="10"/>
        <v>4.7443365165108205E-6</v>
      </c>
      <c r="K167">
        <f t="shared" si="8"/>
        <v>4.7443365165108204</v>
      </c>
      <c r="L167">
        <v>916.28907162499991</v>
      </c>
      <c r="M167">
        <f t="shared" si="11"/>
        <v>0.43471837021902859</v>
      </c>
      <c r="N167">
        <v>15.889900000000001</v>
      </c>
    </row>
    <row r="168" spans="1:14" x14ac:dyDescent="0.35">
      <c r="A168" t="s">
        <v>37</v>
      </c>
      <c r="B168" s="2">
        <v>44800</v>
      </c>
      <c r="C168" s="3">
        <v>0.27083333333333331</v>
      </c>
      <c r="D168" t="s">
        <v>44</v>
      </c>
      <c r="E168" t="s">
        <v>63</v>
      </c>
      <c r="F168" s="1" t="s">
        <v>38</v>
      </c>
      <c r="G168">
        <v>0.78400000000000003</v>
      </c>
      <c r="H168">
        <v>0.83799999999999997</v>
      </c>
      <c r="I168">
        <f t="shared" si="9"/>
        <v>6.8877551020408087E-2</v>
      </c>
      <c r="J168">
        <f t="shared" si="10"/>
        <v>4.4179480684067469E-6</v>
      </c>
      <c r="K168">
        <f t="shared" si="8"/>
        <v>4.4179480684067469</v>
      </c>
      <c r="L168">
        <v>916.28907162499991</v>
      </c>
      <c r="M168">
        <f t="shared" si="11"/>
        <v>0.404811753408788</v>
      </c>
      <c r="N168">
        <v>16.3066</v>
      </c>
    </row>
    <row r="169" spans="1:14" x14ac:dyDescent="0.35">
      <c r="A169" t="s">
        <v>37</v>
      </c>
      <c r="B169" s="2">
        <v>44800</v>
      </c>
      <c r="C169" s="3">
        <v>0.29166666666666669</v>
      </c>
      <c r="D169" t="s">
        <v>44</v>
      </c>
      <c r="E169" t="s">
        <v>63</v>
      </c>
      <c r="F169" s="1" t="s">
        <v>38</v>
      </c>
      <c r="G169">
        <v>0.78800000000000003</v>
      </c>
      <c r="H169">
        <v>0.83799999999999997</v>
      </c>
      <c r="I169">
        <f t="shared" si="9"/>
        <v>6.3451776649746106E-2</v>
      </c>
      <c r="J169">
        <f t="shared" si="10"/>
        <v>3.9935144756778915E-6</v>
      </c>
      <c r="K169">
        <f t="shared" si="8"/>
        <v>3.9935144756778915</v>
      </c>
      <c r="L169">
        <v>916.28907162499991</v>
      </c>
      <c r="M169">
        <f t="shared" si="11"/>
        <v>0.36592136714398937</v>
      </c>
      <c r="N169">
        <v>17.531300000000002</v>
      </c>
    </row>
    <row r="170" spans="1:14" x14ac:dyDescent="0.35">
      <c r="A170" t="s">
        <v>37</v>
      </c>
      <c r="B170" s="2">
        <v>44800</v>
      </c>
      <c r="C170" s="3">
        <v>0.3125</v>
      </c>
      <c r="D170" t="s">
        <v>44</v>
      </c>
      <c r="E170" t="s">
        <v>63</v>
      </c>
      <c r="F170" s="1" t="s">
        <v>38</v>
      </c>
      <c r="G170">
        <v>0.79200000000000004</v>
      </c>
      <c r="H170">
        <v>0.83799999999999997</v>
      </c>
      <c r="I170">
        <f t="shared" si="9"/>
        <v>5.808080808080799E-2</v>
      </c>
      <c r="J170">
        <f t="shared" si="10"/>
        <v>3.5815511147938012E-6</v>
      </c>
      <c r="K170">
        <f t="shared" si="8"/>
        <v>3.5815511147938013</v>
      </c>
      <c r="L170">
        <v>916.28907162499991</v>
      </c>
      <c r="M170">
        <f t="shared" si="11"/>
        <v>0.32817361459518957</v>
      </c>
      <c r="N170">
        <v>18.497699999999998</v>
      </c>
    </row>
    <row r="171" spans="1:14" x14ac:dyDescent="0.35">
      <c r="A171" t="s">
        <v>37</v>
      </c>
      <c r="B171" s="2">
        <v>44800</v>
      </c>
      <c r="C171" s="3">
        <v>0.33333333333333331</v>
      </c>
      <c r="D171" t="s">
        <v>44</v>
      </c>
      <c r="E171" t="s">
        <v>63</v>
      </c>
      <c r="F171" s="1" t="s">
        <v>38</v>
      </c>
      <c r="G171">
        <v>0.79600000000000004</v>
      </c>
      <c r="H171">
        <v>0.83799999999999997</v>
      </c>
      <c r="I171">
        <f t="shared" si="9"/>
        <v>5.2763819095477289E-2</v>
      </c>
      <c r="J171">
        <f t="shared" si="10"/>
        <v>3.1823126962745038E-6</v>
      </c>
      <c r="K171">
        <f t="shared" ref="K171:K234" si="12">J171*10^6</f>
        <v>3.1823126962745039</v>
      </c>
      <c r="L171">
        <v>916.28907162499991</v>
      </c>
      <c r="M171">
        <f t="shared" si="11"/>
        <v>0.29159183460898158</v>
      </c>
      <c r="N171">
        <v>20.640699999999999</v>
      </c>
    </row>
    <row r="172" spans="1:14" x14ac:dyDescent="0.35">
      <c r="A172" t="s">
        <v>37</v>
      </c>
      <c r="B172" s="2">
        <v>44800</v>
      </c>
      <c r="C172" s="3">
        <v>0.35416666666666669</v>
      </c>
      <c r="D172" t="s">
        <v>44</v>
      </c>
      <c r="E172" t="s">
        <v>63</v>
      </c>
      <c r="F172" s="1" t="s">
        <v>38</v>
      </c>
      <c r="G172">
        <v>0.80100000000000005</v>
      </c>
      <c r="H172">
        <v>0.83799999999999997</v>
      </c>
      <c r="I172">
        <f t="shared" si="9"/>
        <v>4.6192259675405641E-2</v>
      </c>
      <c r="J172">
        <f t="shared" si="10"/>
        <v>2.7016659945350038E-6</v>
      </c>
      <c r="K172">
        <f t="shared" si="12"/>
        <v>2.7016659945350039</v>
      </c>
      <c r="L172">
        <v>916.28907162499991</v>
      </c>
      <c r="M172">
        <f t="shared" si="11"/>
        <v>0.24755070259733108</v>
      </c>
      <c r="N172">
        <v>21.7852</v>
      </c>
    </row>
    <row r="173" spans="1:14" x14ac:dyDescent="0.35">
      <c r="A173" t="s">
        <v>37</v>
      </c>
      <c r="B173" s="2">
        <v>44800</v>
      </c>
      <c r="C173" s="3">
        <v>0.375</v>
      </c>
      <c r="D173" t="s">
        <v>44</v>
      </c>
      <c r="E173" t="s">
        <v>63</v>
      </c>
      <c r="F173" s="1" t="s">
        <v>38</v>
      </c>
      <c r="G173">
        <v>0.80600000000000005</v>
      </c>
      <c r="H173">
        <v>0.83799999999999997</v>
      </c>
      <c r="I173">
        <f t="shared" si="9"/>
        <v>3.9702233250620243E-2</v>
      </c>
      <c r="J173">
        <f t="shared" si="10"/>
        <v>2.2422712485952499E-6</v>
      </c>
      <c r="K173">
        <f t="shared" si="12"/>
        <v>2.2422712485952498</v>
      </c>
      <c r="L173">
        <v>916.28907162499991</v>
      </c>
      <c r="M173">
        <f t="shared" si="11"/>
        <v>0.20545686407067709</v>
      </c>
      <c r="N173">
        <v>23.6355</v>
      </c>
    </row>
    <row r="174" spans="1:14" x14ac:dyDescent="0.35">
      <c r="A174" t="s">
        <v>37</v>
      </c>
      <c r="B174" s="2">
        <v>44800</v>
      </c>
      <c r="C174" s="3">
        <v>0.39583333333333331</v>
      </c>
      <c r="D174" t="s">
        <v>44</v>
      </c>
      <c r="E174" t="s">
        <v>63</v>
      </c>
      <c r="F174" s="1" t="s">
        <v>38</v>
      </c>
      <c r="G174">
        <v>0.81599999999999995</v>
      </c>
      <c r="H174">
        <v>0.83799999999999997</v>
      </c>
      <c r="I174">
        <f t="shared" si="9"/>
        <v>2.6960784313725516E-2</v>
      </c>
      <c r="J174">
        <f t="shared" si="10"/>
        <v>1.3924470712670146E-6</v>
      </c>
      <c r="K174">
        <f t="shared" si="12"/>
        <v>1.3924470712670145</v>
      </c>
      <c r="L174">
        <v>916.28907162499991</v>
      </c>
      <c r="M174">
        <f t="shared" si="11"/>
        <v>0.12758840342182029</v>
      </c>
      <c r="N174">
        <v>25.8127</v>
      </c>
    </row>
    <row r="175" spans="1:14" x14ac:dyDescent="0.35">
      <c r="A175" t="s">
        <v>37</v>
      </c>
      <c r="B175" s="2">
        <v>44800</v>
      </c>
      <c r="C175" s="3">
        <v>0.41666666666666669</v>
      </c>
      <c r="D175" t="s">
        <v>44</v>
      </c>
      <c r="E175" t="s">
        <v>63</v>
      </c>
      <c r="F175" s="1" t="s">
        <v>38</v>
      </c>
      <c r="G175">
        <v>0.81899999999999995</v>
      </c>
      <c r="H175">
        <v>0.83799999999999997</v>
      </c>
      <c r="I175">
        <f t="shared" si="9"/>
        <v>2.3199023199023221E-2</v>
      </c>
      <c r="J175">
        <f t="shared" si="10"/>
        <v>1.1572845656214792E-6</v>
      </c>
      <c r="K175">
        <f t="shared" si="12"/>
        <v>1.1572845656214792</v>
      </c>
      <c r="L175">
        <v>916.28907162499991</v>
      </c>
      <c r="M175">
        <f t="shared" si="11"/>
        <v>0.10604072002392465</v>
      </c>
      <c r="N175">
        <v>27.663900000000002</v>
      </c>
    </row>
    <row r="176" spans="1:14" x14ac:dyDescent="0.35">
      <c r="A176" t="s">
        <v>37</v>
      </c>
      <c r="B176" s="2">
        <v>44800</v>
      </c>
      <c r="C176" s="3">
        <v>0.4375</v>
      </c>
      <c r="D176" t="s">
        <v>44</v>
      </c>
      <c r="E176" t="s">
        <v>63</v>
      </c>
      <c r="F176" s="1" t="s">
        <v>38</v>
      </c>
      <c r="G176">
        <v>0.81799999999999995</v>
      </c>
      <c r="H176">
        <v>0.83799999999999997</v>
      </c>
      <c r="I176">
        <f t="shared" si="9"/>
        <v>2.4449877750611269E-2</v>
      </c>
      <c r="J176">
        <f t="shared" si="10"/>
        <v>1.2345695730663899E-6</v>
      </c>
      <c r="K176">
        <f t="shared" si="12"/>
        <v>1.2345695730663899</v>
      </c>
      <c r="L176">
        <v>916.28907162499991</v>
      </c>
      <c r="M176">
        <f t="shared" si="11"/>
        <v>0.1131222607961475</v>
      </c>
      <c r="N176">
        <v>29.2453</v>
      </c>
    </row>
    <row r="177" spans="1:14" x14ac:dyDescent="0.35">
      <c r="A177" t="s">
        <v>37</v>
      </c>
      <c r="B177" s="2">
        <v>44800</v>
      </c>
      <c r="C177" s="3">
        <v>0.45833333333333331</v>
      </c>
      <c r="D177" t="s">
        <v>44</v>
      </c>
      <c r="E177" t="s">
        <v>63</v>
      </c>
      <c r="F177" s="1" t="s">
        <v>38</v>
      </c>
      <c r="G177">
        <v>0.81699999999999995</v>
      </c>
      <c r="H177">
        <v>0.83799999999999997</v>
      </c>
      <c r="I177">
        <f t="shared" si="9"/>
        <v>2.5703794369645067E-2</v>
      </c>
      <c r="J177">
        <f t="shared" si="10"/>
        <v>1.3129662469534371E-6</v>
      </c>
      <c r="K177">
        <f t="shared" si="12"/>
        <v>1.3129662469534371</v>
      </c>
      <c r="L177">
        <v>916.28907162499991</v>
      </c>
      <c r="M177">
        <f t="shared" si="11"/>
        <v>0.12030566234959253</v>
      </c>
      <c r="N177">
        <v>31.9986</v>
      </c>
    </row>
    <row r="178" spans="1:14" x14ac:dyDescent="0.35">
      <c r="A178" t="s">
        <v>37</v>
      </c>
      <c r="B178" s="2">
        <v>44800</v>
      </c>
      <c r="C178" s="3">
        <v>0.47916666666666669</v>
      </c>
      <c r="D178" t="s">
        <v>44</v>
      </c>
      <c r="E178" t="s">
        <v>63</v>
      </c>
      <c r="F178" s="1" t="s">
        <v>38</v>
      </c>
      <c r="G178">
        <v>0.83099999999999996</v>
      </c>
      <c r="H178">
        <v>0.83799999999999997</v>
      </c>
      <c r="I178">
        <f t="shared" si="9"/>
        <v>8.4235860409145689E-3</v>
      </c>
      <c r="J178">
        <f t="shared" si="10"/>
        <v>3.3253226338111642E-7</v>
      </c>
      <c r="K178">
        <f t="shared" si="12"/>
        <v>0.33253226338111641</v>
      </c>
      <c r="L178">
        <v>916.28907162499991</v>
      </c>
      <c r="M178">
        <f t="shared" si="11"/>
        <v>3.0469567889884312E-2</v>
      </c>
      <c r="N178">
        <v>31.6327</v>
      </c>
    </row>
    <row r="179" spans="1:14" x14ac:dyDescent="0.35">
      <c r="A179" t="s">
        <v>37</v>
      </c>
      <c r="B179" s="2">
        <v>44800</v>
      </c>
      <c r="C179" s="3">
        <v>0.5</v>
      </c>
      <c r="D179" t="s">
        <v>44</v>
      </c>
      <c r="E179" t="s">
        <v>63</v>
      </c>
      <c r="F179" s="1" t="s">
        <v>38</v>
      </c>
      <c r="G179">
        <v>0.83799999999999997</v>
      </c>
      <c r="H179">
        <v>0.83799999999999997</v>
      </c>
      <c r="I179">
        <f t="shared" si="9"/>
        <v>0</v>
      </c>
      <c r="J179">
        <f t="shared" si="10"/>
        <v>0</v>
      </c>
      <c r="K179">
        <f t="shared" si="12"/>
        <v>0</v>
      </c>
      <c r="L179">
        <v>916.28907162499991</v>
      </c>
      <c r="M179">
        <f t="shared" si="11"/>
        <v>0</v>
      </c>
      <c r="N179">
        <v>31.8827</v>
      </c>
    </row>
    <row r="180" spans="1:14" x14ac:dyDescent="0.35">
      <c r="A180" t="s">
        <v>37</v>
      </c>
      <c r="B180" s="2">
        <v>44800</v>
      </c>
      <c r="C180" s="3">
        <v>0.52083333333333337</v>
      </c>
      <c r="D180" t="s">
        <v>44</v>
      </c>
      <c r="E180" t="s">
        <v>63</v>
      </c>
      <c r="F180" s="1" t="s">
        <v>38</v>
      </c>
      <c r="G180">
        <v>0.83599999999999997</v>
      </c>
      <c r="H180">
        <v>0.83799999999999997</v>
      </c>
      <c r="I180">
        <f t="shared" si="9"/>
        <v>2.3923444976076576E-3</v>
      </c>
      <c r="J180">
        <f t="shared" si="10"/>
        <v>7.0612072513523419E-8</v>
      </c>
      <c r="K180">
        <f t="shared" si="12"/>
        <v>7.0612072513523416E-2</v>
      </c>
      <c r="L180">
        <v>916.28907162499991</v>
      </c>
      <c r="M180">
        <f t="shared" si="11"/>
        <v>6.4701070368933548E-3</v>
      </c>
      <c r="N180">
        <v>32.619799999999998</v>
      </c>
    </row>
    <row r="181" spans="1:14" x14ac:dyDescent="0.35">
      <c r="A181" t="s">
        <v>37</v>
      </c>
      <c r="B181" s="2">
        <v>44800</v>
      </c>
      <c r="C181" s="3">
        <v>0.54166666666666663</v>
      </c>
      <c r="D181" t="s">
        <v>44</v>
      </c>
      <c r="E181" t="s">
        <v>63</v>
      </c>
      <c r="F181" s="1" t="s">
        <v>38</v>
      </c>
      <c r="G181">
        <v>0.83399999999999996</v>
      </c>
      <c r="H181">
        <v>0.83799999999999997</v>
      </c>
      <c r="I181">
        <f t="shared" si="9"/>
        <v>4.7961630695443694E-3</v>
      </c>
      <c r="J181">
        <f t="shared" si="10"/>
        <v>1.6623688884380856E-7</v>
      </c>
      <c r="K181">
        <f t="shared" si="12"/>
        <v>0.16623688884380855</v>
      </c>
      <c r="L181">
        <v>916.28907162499991</v>
      </c>
      <c r="M181">
        <f t="shared" si="11"/>
        <v>1.5232104454852164E-2</v>
      </c>
      <c r="N181">
        <v>29.2163</v>
      </c>
    </row>
    <row r="182" spans="1:14" x14ac:dyDescent="0.35">
      <c r="A182" t="s">
        <v>37</v>
      </c>
      <c r="B182" s="2">
        <v>44800</v>
      </c>
      <c r="C182" s="3">
        <v>0.5625</v>
      </c>
      <c r="D182" t="s">
        <v>44</v>
      </c>
      <c r="E182" t="s">
        <v>63</v>
      </c>
      <c r="F182" s="1" t="s">
        <v>38</v>
      </c>
      <c r="G182">
        <v>0.81599999999999995</v>
      </c>
      <c r="H182">
        <v>0.83799999999999997</v>
      </c>
      <c r="I182">
        <f t="shared" si="9"/>
        <v>2.6960784313725516E-2</v>
      </c>
      <c r="J182">
        <f t="shared" si="10"/>
        <v>1.3924470712670146E-6</v>
      </c>
      <c r="K182">
        <f t="shared" si="12"/>
        <v>1.3924470712670145</v>
      </c>
      <c r="L182">
        <v>916.28907162499991</v>
      </c>
      <c r="M182">
        <f t="shared" si="11"/>
        <v>0.12758840342182029</v>
      </c>
      <c r="N182">
        <v>30.803799999999999</v>
      </c>
    </row>
    <row r="183" spans="1:14" x14ac:dyDescent="0.35">
      <c r="A183" t="s">
        <v>37</v>
      </c>
      <c r="B183" s="2">
        <v>44800</v>
      </c>
      <c r="C183" s="3">
        <v>0.58333333333333337</v>
      </c>
      <c r="D183" t="s">
        <v>44</v>
      </c>
      <c r="E183" t="s">
        <v>63</v>
      </c>
      <c r="F183" s="1" t="s">
        <v>38</v>
      </c>
      <c r="G183">
        <v>0.81100000000000005</v>
      </c>
      <c r="H183">
        <v>0.83799999999999997</v>
      </c>
      <c r="I183">
        <f t="shared" si="9"/>
        <v>3.3292231812576956E-2</v>
      </c>
      <c r="J183">
        <f t="shared" si="10"/>
        <v>1.8053070724324109E-6</v>
      </c>
      <c r="K183">
        <f t="shared" si="12"/>
        <v>1.805307072432411</v>
      </c>
      <c r="L183">
        <v>916.28907162499991</v>
      </c>
      <c r="M183">
        <f t="shared" si="11"/>
        <v>0.16541831413971403</v>
      </c>
      <c r="N183">
        <v>30.016100000000002</v>
      </c>
    </row>
    <row r="184" spans="1:14" x14ac:dyDescent="0.35">
      <c r="A184" t="s">
        <v>37</v>
      </c>
      <c r="B184" s="2">
        <v>44800</v>
      </c>
      <c r="C184" s="3">
        <v>0.60416666666666663</v>
      </c>
      <c r="D184" t="s">
        <v>44</v>
      </c>
      <c r="E184" t="s">
        <v>63</v>
      </c>
      <c r="F184" s="1" t="s">
        <v>38</v>
      </c>
      <c r="G184">
        <v>0.80800000000000005</v>
      </c>
      <c r="H184">
        <v>0.83799999999999997</v>
      </c>
      <c r="I184">
        <f t="shared" si="9"/>
        <v>3.7128712871287023E-2</v>
      </c>
      <c r="J184">
        <f t="shared" si="10"/>
        <v>2.0647137065347106E-6</v>
      </c>
      <c r="K184">
        <f t="shared" si="12"/>
        <v>2.0647137065347105</v>
      </c>
      <c r="L184">
        <v>916.28907162499991</v>
      </c>
      <c r="M184">
        <f t="shared" si="11"/>
        <v>0.18918746053321026</v>
      </c>
      <c r="N184">
        <v>31.1188</v>
      </c>
    </row>
    <row r="185" spans="1:14" x14ac:dyDescent="0.35">
      <c r="A185" t="s">
        <v>37</v>
      </c>
      <c r="B185" s="2">
        <v>44800</v>
      </c>
      <c r="C185" s="3">
        <v>0.625</v>
      </c>
      <c r="D185" t="s">
        <v>44</v>
      </c>
      <c r="E185" t="s">
        <v>63</v>
      </c>
      <c r="F185" s="1" t="s">
        <v>38</v>
      </c>
      <c r="G185">
        <v>0.80800000000000005</v>
      </c>
      <c r="H185">
        <v>0.83799999999999997</v>
      </c>
      <c r="I185">
        <f t="shared" si="9"/>
        <v>3.7128712871287023E-2</v>
      </c>
      <c r="J185">
        <f t="shared" si="10"/>
        <v>2.0647137065347106E-6</v>
      </c>
      <c r="K185">
        <f t="shared" si="12"/>
        <v>2.0647137065347105</v>
      </c>
      <c r="L185">
        <v>916.28907162499991</v>
      </c>
      <c r="M185">
        <f t="shared" si="11"/>
        <v>0.18918746053321026</v>
      </c>
      <c r="N185">
        <v>33.7301</v>
      </c>
    </row>
    <row r="186" spans="1:14" x14ac:dyDescent="0.35">
      <c r="A186" t="s">
        <v>37</v>
      </c>
      <c r="B186" s="2">
        <v>44800</v>
      </c>
      <c r="C186" s="3">
        <v>0.64583333333333337</v>
      </c>
      <c r="D186" t="s">
        <v>44</v>
      </c>
      <c r="E186" t="s">
        <v>63</v>
      </c>
      <c r="F186" s="1" t="s">
        <v>38</v>
      </c>
      <c r="G186">
        <v>0.82599999999999996</v>
      </c>
      <c r="H186">
        <v>0.83799999999999997</v>
      </c>
      <c r="I186">
        <f t="shared" si="9"/>
        <v>1.4527845036319625E-2</v>
      </c>
      <c r="J186">
        <f t="shared" si="10"/>
        <v>6.5045407230509873E-7</v>
      </c>
      <c r="K186">
        <f t="shared" si="12"/>
        <v>0.65045407230509877</v>
      </c>
      <c r="L186">
        <v>916.28907162499991</v>
      </c>
      <c r="M186">
        <f t="shared" si="11"/>
        <v>5.9600395804713956E-2</v>
      </c>
      <c r="N186">
        <v>32.391100000000002</v>
      </c>
    </row>
    <row r="187" spans="1:14" x14ac:dyDescent="0.35">
      <c r="A187" t="s">
        <v>37</v>
      </c>
      <c r="B187" s="2">
        <v>44800</v>
      </c>
      <c r="C187" s="3">
        <v>0.66666666666666663</v>
      </c>
      <c r="D187" t="s">
        <v>44</v>
      </c>
      <c r="E187" t="s">
        <v>63</v>
      </c>
      <c r="F187" s="1" t="s">
        <v>38</v>
      </c>
      <c r="G187">
        <v>0.82299999999999995</v>
      </c>
      <c r="H187">
        <v>0.83799999999999997</v>
      </c>
      <c r="I187">
        <f t="shared" si="9"/>
        <v>1.8226002430133673E-2</v>
      </c>
      <c r="J187">
        <f t="shared" si="10"/>
        <v>8.5992010744890809E-7</v>
      </c>
      <c r="K187">
        <f t="shared" si="12"/>
        <v>0.85992010744890812</v>
      </c>
      <c r="L187">
        <v>916.28907162499991</v>
      </c>
      <c r="M187">
        <f t="shared" si="11"/>
        <v>7.8793539692603026E-2</v>
      </c>
      <c r="N187">
        <v>28.613099999999999</v>
      </c>
    </row>
    <row r="188" spans="1:14" x14ac:dyDescent="0.35">
      <c r="A188" t="s">
        <v>37</v>
      </c>
      <c r="B188" s="2">
        <v>44800</v>
      </c>
      <c r="C188" s="3">
        <v>0.6875</v>
      </c>
      <c r="D188" t="s">
        <v>44</v>
      </c>
      <c r="E188" t="s">
        <v>63</v>
      </c>
      <c r="F188" s="1" t="s">
        <v>38</v>
      </c>
      <c r="G188">
        <v>0.8</v>
      </c>
      <c r="H188">
        <v>0.83799999999999997</v>
      </c>
      <c r="I188">
        <f t="shared" si="9"/>
        <v>4.7499999999999903E-2</v>
      </c>
      <c r="J188">
        <f t="shared" si="10"/>
        <v>2.7961263669681052E-6</v>
      </c>
      <c r="K188">
        <f t="shared" si="12"/>
        <v>2.7961263669681053</v>
      </c>
      <c r="L188">
        <v>916.28907162499991</v>
      </c>
      <c r="M188">
        <f t="shared" si="11"/>
        <v>0.25620600329353893</v>
      </c>
      <c r="N188">
        <v>29.746700000000001</v>
      </c>
    </row>
    <row r="189" spans="1:14" x14ac:dyDescent="0.35">
      <c r="A189" t="s">
        <v>37</v>
      </c>
      <c r="B189" s="2">
        <v>44800</v>
      </c>
      <c r="C189" s="3">
        <v>0.70833333333333337</v>
      </c>
      <c r="D189" t="s">
        <v>44</v>
      </c>
      <c r="E189" t="s">
        <v>63</v>
      </c>
      <c r="F189" s="1" t="s">
        <v>38</v>
      </c>
      <c r="G189">
        <v>0.78700000000000003</v>
      </c>
      <c r="H189">
        <v>0.83799999999999997</v>
      </c>
      <c r="I189">
        <f t="shared" si="9"/>
        <v>6.4803049555273107E-2</v>
      </c>
      <c r="J189">
        <f t="shared" si="10"/>
        <v>4.0984623762804117E-6</v>
      </c>
      <c r="K189">
        <f t="shared" si="12"/>
        <v>4.0984623762804118</v>
      </c>
      <c r="L189">
        <v>916.28907162499991</v>
      </c>
      <c r="M189">
        <f t="shared" si="11"/>
        <v>0.37553762858519696</v>
      </c>
      <c r="N189">
        <v>26.706800000000001</v>
      </c>
    </row>
    <row r="190" spans="1:14" x14ac:dyDescent="0.35">
      <c r="A190" t="s">
        <v>37</v>
      </c>
      <c r="B190" s="2">
        <v>44800</v>
      </c>
      <c r="C190" s="3">
        <v>0.72916666666666663</v>
      </c>
      <c r="D190" t="s">
        <v>44</v>
      </c>
      <c r="E190" t="s">
        <v>63</v>
      </c>
      <c r="F190" s="1" t="s">
        <v>38</v>
      </c>
      <c r="G190">
        <v>0.77900000000000003</v>
      </c>
      <c r="H190">
        <v>0.83799999999999997</v>
      </c>
      <c r="I190">
        <f t="shared" si="9"/>
        <v>7.5738125802310582E-2</v>
      </c>
      <c r="J190">
        <f t="shared" si="10"/>
        <v>4.9657308600582753E-6</v>
      </c>
      <c r="K190">
        <f t="shared" si="12"/>
        <v>4.965730860058275</v>
      </c>
      <c r="L190">
        <v>916.28907162499991</v>
      </c>
      <c r="M190">
        <f t="shared" si="11"/>
        <v>0.45500449197024095</v>
      </c>
      <c r="N190">
        <v>24.7545</v>
      </c>
    </row>
    <row r="191" spans="1:14" x14ac:dyDescent="0.35">
      <c r="A191" t="s">
        <v>37</v>
      </c>
      <c r="B191" s="2">
        <v>44800</v>
      </c>
      <c r="C191" s="3">
        <v>0.75</v>
      </c>
      <c r="D191" t="s">
        <v>44</v>
      </c>
      <c r="E191" t="s">
        <v>63</v>
      </c>
      <c r="F191" s="1" t="s">
        <v>38</v>
      </c>
      <c r="G191">
        <v>0.77300000000000002</v>
      </c>
      <c r="H191">
        <v>0.83799999999999997</v>
      </c>
      <c r="I191">
        <f t="shared" si="9"/>
        <v>8.4087968952134468E-2</v>
      </c>
      <c r="J191">
        <f t="shared" si="10"/>
        <v>5.6479955570081957E-6</v>
      </c>
      <c r="K191">
        <f t="shared" si="12"/>
        <v>5.6479955570081959</v>
      </c>
      <c r="L191">
        <v>916.28907162499991</v>
      </c>
      <c r="M191">
        <f t="shared" si="11"/>
        <v>0.51751966054731646</v>
      </c>
      <c r="N191">
        <v>21.6553</v>
      </c>
    </row>
    <row r="192" spans="1:14" x14ac:dyDescent="0.35">
      <c r="A192" t="s">
        <v>37</v>
      </c>
      <c r="B192" s="2">
        <v>44800</v>
      </c>
      <c r="C192" s="3">
        <v>0.77083333333333337</v>
      </c>
      <c r="D192" t="s">
        <v>44</v>
      </c>
      <c r="E192" t="s">
        <v>63</v>
      </c>
      <c r="F192" s="1" t="s">
        <v>38</v>
      </c>
      <c r="G192">
        <v>0.77</v>
      </c>
      <c r="H192">
        <v>0.83799999999999997</v>
      </c>
      <c r="I192">
        <f t="shared" si="9"/>
        <v>8.8311688311688244E-2</v>
      </c>
      <c r="J192">
        <f t="shared" si="10"/>
        <v>5.9992277607666182E-6</v>
      </c>
      <c r="K192">
        <f t="shared" si="12"/>
        <v>5.999227760766618</v>
      </c>
      <c r="L192">
        <v>916.28907162499991</v>
      </c>
      <c r="M192">
        <f t="shared" si="11"/>
        <v>0.54970268353797713</v>
      </c>
      <c r="N192">
        <v>21.886700000000001</v>
      </c>
    </row>
    <row r="193" spans="1:14" x14ac:dyDescent="0.35">
      <c r="A193" t="s">
        <v>37</v>
      </c>
      <c r="B193" s="2">
        <v>44800</v>
      </c>
      <c r="C193" s="3">
        <v>0.79166666666666663</v>
      </c>
      <c r="D193" t="s">
        <v>44</v>
      </c>
      <c r="E193" t="s">
        <v>63</v>
      </c>
      <c r="F193" s="1" t="s">
        <v>38</v>
      </c>
      <c r="G193">
        <v>0.77200000000000002</v>
      </c>
      <c r="H193">
        <v>0.83799999999999997</v>
      </c>
      <c r="I193">
        <f t="shared" si="9"/>
        <v>8.549222797927454E-2</v>
      </c>
      <c r="J193">
        <f t="shared" si="10"/>
        <v>5.7643275274414037E-6</v>
      </c>
      <c r="K193">
        <f t="shared" si="12"/>
        <v>5.7643275274414041</v>
      </c>
      <c r="L193">
        <v>916.28907162499991</v>
      </c>
      <c r="M193">
        <f t="shared" si="11"/>
        <v>0.52817903186617154</v>
      </c>
      <c r="N193">
        <v>21.135999999999999</v>
      </c>
    </row>
    <row r="194" spans="1:14" x14ac:dyDescent="0.35">
      <c r="A194" t="s">
        <v>37</v>
      </c>
      <c r="B194" s="2">
        <v>44800</v>
      </c>
      <c r="C194" s="3">
        <v>0.8125</v>
      </c>
      <c r="D194" t="s">
        <v>44</v>
      </c>
      <c r="E194" t="s">
        <v>63</v>
      </c>
      <c r="F194" s="1" t="s">
        <v>38</v>
      </c>
      <c r="G194">
        <v>0.77500000000000002</v>
      </c>
      <c r="H194">
        <v>0.83799999999999997</v>
      </c>
      <c r="I194">
        <f t="shared" ref="I194:I257" si="13">(H194-G194)/G194</f>
        <v>8.1290322580645086E-2</v>
      </c>
      <c r="J194">
        <f t="shared" ref="J194:J257" si="14">119*10^-6*(I194^1.231)</f>
        <v>5.417573124484557E-6</v>
      </c>
      <c r="K194">
        <f t="shared" si="12"/>
        <v>5.4175731244845569</v>
      </c>
      <c r="L194">
        <v>916.28907162499991</v>
      </c>
      <c r="M194">
        <f t="shared" si="11"/>
        <v>0.49640630486945048</v>
      </c>
      <c r="N194">
        <v>22.610600000000002</v>
      </c>
    </row>
    <row r="195" spans="1:14" x14ac:dyDescent="0.35">
      <c r="A195" t="s">
        <v>37</v>
      </c>
      <c r="B195" s="2">
        <v>44800</v>
      </c>
      <c r="C195" s="3">
        <v>0.83333333333333337</v>
      </c>
      <c r="D195" t="s">
        <v>44</v>
      </c>
      <c r="E195" t="s">
        <v>63</v>
      </c>
      <c r="F195" s="1" t="s">
        <v>38</v>
      </c>
      <c r="G195">
        <v>0.78</v>
      </c>
      <c r="H195">
        <v>0.83799999999999997</v>
      </c>
      <c r="I195">
        <f t="shared" si="13"/>
        <v>7.4358974358974275E-2</v>
      </c>
      <c r="J195">
        <f t="shared" si="14"/>
        <v>4.8546549296432349E-6</v>
      </c>
      <c r="K195">
        <f t="shared" si="12"/>
        <v>4.8546549296432353</v>
      </c>
      <c r="L195">
        <v>916.28907162499991</v>
      </c>
      <c r="M195">
        <f t="shared" ref="M195:M258" si="15">K195*(L195/10000)</f>
        <v>0.44482672585425298</v>
      </c>
      <c r="N195">
        <v>22.5307</v>
      </c>
    </row>
    <row r="196" spans="1:14" x14ac:dyDescent="0.35">
      <c r="A196" t="s">
        <v>37</v>
      </c>
      <c r="B196" s="2">
        <v>44800</v>
      </c>
      <c r="C196" s="3">
        <v>0.85416666666666663</v>
      </c>
      <c r="D196" t="s">
        <v>44</v>
      </c>
      <c r="E196" t="s">
        <v>63</v>
      </c>
      <c r="F196" s="1" t="s">
        <v>38</v>
      </c>
      <c r="G196">
        <v>0.78400000000000003</v>
      </c>
      <c r="H196">
        <v>0.83799999999999997</v>
      </c>
      <c r="I196">
        <f t="shared" si="13"/>
        <v>6.8877551020408087E-2</v>
      </c>
      <c r="J196">
        <f t="shared" si="14"/>
        <v>4.4179480684067469E-6</v>
      </c>
      <c r="K196">
        <f t="shared" si="12"/>
        <v>4.4179480684067469</v>
      </c>
      <c r="L196">
        <v>916.28907162499991</v>
      </c>
      <c r="M196">
        <f t="shared" si="15"/>
        <v>0.404811753408788</v>
      </c>
      <c r="N196">
        <v>22.331499999999998</v>
      </c>
    </row>
    <row r="197" spans="1:14" x14ac:dyDescent="0.35">
      <c r="A197" t="s">
        <v>37</v>
      </c>
      <c r="B197" s="2">
        <v>44800</v>
      </c>
      <c r="C197" s="3">
        <v>0.875</v>
      </c>
      <c r="D197" t="s">
        <v>44</v>
      </c>
      <c r="E197" t="s">
        <v>63</v>
      </c>
      <c r="F197" s="1" t="s">
        <v>38</v>
      </c>
      <c r="G197">
        <v>0.78600000000000003</v>
      </c>
      <c r="H197">
        <v>0.83799999999999997</v>
      </c>
      <c r="I197">
        <f t="shared" si="13"/>
        <v>6.6157760814249275E-2</v>
      </c>
      <c r="J197">
        <f t="shared" si="14"/>
        <v>4.2041860150988285E-6</v>
      </c>
      <c r="K197">
        <f t="shared" si="12"/>
        <v>4.2041860150988288</v>
      </c>
      <c r="L197">
        <v>916.28907162499991</v>
      </c>
      <c r="M197">
        <f t="shared" si="15"/>
        <v>0.38522497007137141</v>
      </c>
      <c r="N197">
        <v>22.132000000000001</v>
      </c>
    </row>
    <row r="198" spans="1:14" x14ac:dyDescent="0.35">
      <c r="A198" t="s">
        <v>37</v>
      </c>
      <c r="B198" s="2">
        <v>44800</v>
      </c>
      <c r="C198" s="3">
        <v>0.89583333333333337</v>
      </c>
      <c r="D198" t="s">
        <v>44</v>
      </c>
      <c r="E198" t="s">
        <v>63</v>
      </c>
      <c r="F198" s="1" t="s">
        <v>38</v>
      </c>
      <c r="G198">
        <v>0.78700000000000003</v>
      </c>
      <c r="H198">
        <v>0.83799999999999997</v>
      </c>
      <c r="I198">
        <f t="shared" si="13"/>
        <v>6.4803049555273107E-2</v>
      </c>
      <c r="J198">
        <f t="shared" si="14"/>
        <v>4.0984623762804117E-6</v>
      </c>
      <c r="K198">
        <f t="shared" si="12"/>
        <v>4.0984623762804118</v>
      </c>
      <c r="L198">
        <v>916.28907162499991</v>
      </c>
      <c r="M198">
        <f t="shared" si="15"/>
        <v>0.37553762858519696</v>
      </c>
      <c r="N198">
        <v>21.936800000000002</v>
      </c>
    </row>
    <row r="199" spans="1:14" x14ac:dyDescent="0.35">
      <c r="A199" t="s">
        <v>37</v>
      </c>
      <c r="B199" s="2">
        <v>44800</v>
      </c>
      <c r="C199" s="3">
        <v>0.91666666666666663</v>
      </c>
      <c r="D199" t="s">
        <v>44</v>
      </c>
      <c r="E199" t="s">
        <v>63</v>
      </c>
      <c r="F199" s="1" t="s">
        <v>38</v>
      </c>
      <c r="G199">
        <v>0.78700000000000003</v>
      </c>
      <c r="H199">
        <v>0.83799999999999997</v>
      </c>
      <c r="I199">
        <f t="shared" si="13"/>
        <v>6.4803049555273107E-2</v>
      </c>
      <c r="J199">
        <f t="shared" si="14"/>
        <v>4.0984623762804117E-6</v>
      </c>
      <c r="K199">
        <f t="shared" si="12"/>
        <v>4.0984623762804118</v>
      </c>
      <c r="L199">
        <v>916.28907162499991</v>
      </c>
      <c r="M199">
        <f t="shared" si="15"/>
        <v>0.37553762858519696</v>
      </c>
      <c r="N199">
        <v>21.610299999999999</v>
      </c>
    </row>
    <row r="200" spans="1:14" x14ac:dyDescent="0.35">
      <c r="A200" t="s">
        <v>37</v>
      </c>
      <c r="B200" s="2">
        <v>44800</v>
      </c>
      <c r="C200" s="3">
        <v>0.9375</v>
      </c>
      <c r="D200" t="s">
        <v>44</v>
      </c>
      <c r="E200" t="s">
        <v>63</v>
      </c>
      <c r="F200" s="1" t="s">
        <v>38</v>
      </c>
      <c r="G200">
        <v>0.78700000000000003</v>
      </c>
      <c r="H200">
        <v>0.83799999999999997</v>
      </c>
      <c r="I200">
        <f t="shared" si="13"/>
        <v>6.4803049555273107E-2</v>
      </c>
      <c r="J200">
        <f t="shared" si="14"/>
        <v>4.0984623762804117E-6</v>
      </c>
      <c r="K200">
        <f t="shared" si="12"/>
        <v>4.0984623762804118</v>
      </c>
      <c r="L200">
        <v>916.28907162499991</v>
      </c>
      <c r="M200">
        <f t="shared" si="15"/>
        <v>0.37553762858519696</v>
      </c>
      <c r="N200">
        <v>21.201899999999998</v>
      </c>
    </row>
    <row r="201" spans="1:14" x14ac:dyDescent="0.35">
      <c r="A201" t="s">
        <v>37</v>
      </c>
      <c r="B201" s="2">
        <v>44800</v>
      </c>
      <c r="C201" s="3">
        <v>0.95833333333333337</v>
      </c>
      <c r="D201" t="s">
        <v>44</v>
      </c>
      <c r="E201" t="s">
        <v>63</v>
      </c>
      <c r="F201" s="1" t="s">
        <v>38</v>
      </c>
      <c r="G201">
        <v>0.78800000000000003</v>
      </c>
      <c r="H201">
        <v>0.83799999999999997</v>
      </c>
      <c r="I201">
        <f t="shared" si="13"/>
        <v>6.3451776649746106E-2</v>
      </c>
      <c r="J201">
        <f t="shared" si="14"/>
        <v>3.9935144756778915E-6</v>
      </c>
      <c r="K201">
        <f t="shared" si="12"/>
        <v>3.9935144756778915</v>
      </c>
      <c r="L201">
        <v>916.28907162499991</v>
      </c>
      <c r="M201">
        <f t="shared" si="15"/>
        <v>0.36592136714398937</v>
      </c>
      <c r="N201">
        <v>20.816600000000001</v>
      </c>
    </row>
    <row r="202" spans="1:14" x14ac:dyDescent="0.35">
      <c r="A202" t="s">
        <v>37</v>
      </c>
      <c r="B202" s="2">
        <v>44800</v>
      </c>
      <c r="C202" s="3">
        <v>0.97916666666666663</v>
      </c>
      <c r="D202" t="s">
        <v>44</v>
      </c>
      <c r="E202" t="s">
        <v>63</v>
      </c>
      <c r="F202" s="1" t="s">
        <v>38</v>
      </c>
      <c r="G202">
        <v>0.78900000000000003</v>
      </c>
      <c r="H202">
        <v>0.83799999999999997</v>
      </c>
      <c r="I202">
        <f t="shared" si="13"/>
        <v>6.2103929024081024E-2</v>
      </c>
      <c r="J202">
        <f t="shared" si="14"/>
        <v>3.8893456850474658E-6</v>
      </c>
      <c r="K202">
        <f t="shared" si="12"/>
        <v>3.8893456850474659</v>
      </c>
      <c r="L202">
        <v>916.28907162499991</v>
      </c>
      <c r="M202">
        <f t="shared" si="15"/>
        <v>0.35637649469808419</v>
      </c>
      <c r="N202">
        <v>20.130299999999998</v>
      </c>
    </row>
    <row r="203" spans="1:14" x14ac:dyDescent="0.35">
      <c r="A203" t="s">
        <v>37</v>
      </c>
      <c r="B203" s="2">
        <v>44800</v>
      </c>
      <c r="C203" s="3">
        <v>0</v>
      </c>
      <c r="D203" t="s">
        <v>46</v>
      </c>
      <c r="E203" t="s">
        <v>64</v>
      </c>
      <c r="F203" s="1" t="s">
        <v>38</v>
      </c>
      <c r="G203">
        <v>0.89</v>
      </c>
      <c r="H203">
        <f>MAX(G203:G250)</f>
        <v>0.90100000000000002</v>
      </c>
      <c r="I203">
        <f t="shared" si="13"/>
        <v>1.2359550561797763E-2</v>
      </c>
      <c r="J203">
        <f t="shared" si="14"/>
        <v>5.3309211469037612E-7</v>
      </c>
      <c r="K203">
        <f t="shared" si="12"/>
        <v>0.5330921146903761</v>
      </c>
      <c r="L203">
        <v>899.4706625</v>
      </c>
      <c r="M203">
        <f t="shared" si="15"/>
        <v>4.7950071757407856E-2</v>
      </c>
      <c r="N203">
        <v>20.112200000000001</v>
      </c>
    </row>
    <row r="204" spans="1:14" x14ac:dyDescent="0.35">
      <c r="A204" t="s">
        <v>37</v>
      </c>
      <c r="B204" s="2">
        <v>44800</v>
      </c>
      <c r="C204" s="3">
        <v>2.0833333333333332E-2</v>
      </c>
      <c r="D204" t="s">
        <v>46</v>
      </c>
      <c r="E204" t="s">
        <v>64</v>
      </c>
      <c r="F204" s="1" t="s">
        <v>38</v>
      </c>
      <c r="G204">
        <v>0.88900000000000001</v>
      </c>
      <c r="H204">
        <v>0.90100000000000002</v>
      </c>
      <c r="I204">
        <f t="shared" si="13"/>
        <v>1.3498312710911148E-2</v>
      </c>
      <c r="J204">
        <f t="shared" si="14"/>
        <v>5.9418407448674981E-7</v>
      </c>
      <c r="K204">
        <f t="shared" si="12"/>
        <v>0.59418407448674981</v>
      </c>
      <c r="L204">
        <v>899.4706625</v>
      </c>
      <c r="M204">
        <f t="shared" si="15"/>
        <v>5.3445114312554623E-2</v>
      </c>
      <c r="N204">
        <v>19.898800000000001</v>
      </c>
    </row>
    <row r="205" spans="1:14" x14ac:dyDescent="0.35">
      <c r="A205" t="s">
        <v>37</v>
      </c>
      <c r="B205" s="2">
        <v>44800</v>
      </c>
      <c r="C205" s="3">
        <v>4.1666666666666664E-2</v>
      </c>
      <c r="D205" t="s">
        <v>46</v>
      </c>
      <c r="E205" t="s">
        <v>64</v>
      </c>
      <c r="F205" s="1" t="s">
        <v>38</v>
      </c>
      <c r="G205">
        <v>0.88900000000000001</v>
      </c>
      <c r="H205">
        <v>0.90100000000000002</v>
      </c>
      <c r="I205">
        <f t="shared" si="13"/>
        <v>1.3498312710911148E-2</v>
      </c>
      <c r="J205">
        <f t="shared" si="14"/>
        <v>5.9418407448674981E-7</v>
      </c>
      <c r="K205">
        <f t="shared" si="12"/>
        <v>0.59418407448674981</v>
      </c>
      <c r="L205">
        <v>899.4706625</v>
      </c>
      <c r="M205">
        <f t="shared" si="15"/>
        <v>5.3445114312554623E-2</v>
      </c>
      <c r="N205">
        <v>19.249500000000001</v>
      </c>
    </row>
    <row r="206" spans="1:14" x14ac:dyDescent="0.35">
      <c r="A206" t="s">
        <v>37</v>
      </c>
      <c r="B206" s="2">
        <v>44800</v>
      </c>
      <c r="C206" s="3">
        <v>6.25E-2</v>
      </c>
      <c r="D206" t="s">
        <v>46</v>
      </c>
      <c r="E206" t="s">
        <v>64</v>
      </c>
      <c r="F206" s="1" t="s">
        <v>38</v>
      </c>
      <c r="G206">
        <v>0.89100000000000001</v>
      </c>
      <c r="H206">
        <v>0.90100000000000002</v>
      </c>
      <c r="I206">
        <f t="shared" si="13"/>
        <v>1.12233445566779E-2</v>
      </c>
      <c r="J206">
        <f t="shared" si="14"/>
        <v>4.7342098831003216E-7</v>
      </c>
      <c r="K206">
        <f t="shared" si="12"/>
        <v>0.47342098831003215</v>
      </c>
      <c r="L206">
        <v>899.4706625</v>
      </c>
      <c r="M206">
        <f t="shared" si="15"/>
        <v>4.2582828999662939E-2</v>
      </c>
      <c r="N206">
        <v>17.116900000000001</v>
      </c>
    </row>
    <row r="207" spans="1:14" x14ac:dyDescent="0.35">
      <c r="A207" t="s">
        <v>37</v>
      </c>
      <c r="B207" s="2">
        <v>44800</v>
      </c>
      <c r="C207" s="3">
        <v>8.3333333333333329E-2</v>
      </c>
      <c r="D207" t="s">
        <v>46</v>
      </c>
      <c r="E207" t="s">
        <v>64</v>
      </c>
      <c r="F207" s="1" t="s">
        <v>38</v>
      </c>
      <c r="G207">
        <v>0.89200000000000002</v>
      </c>
      <c r="H207">
        <v>0.90100000000000002</v>
      </c>
      <c r="I207">
        <f t="shared" si="13"/>
        <v>1.0089686098654717E-2</v>
      </c>
      <c r="J207">
        <f t="shared" si="14"/>
        <v>4.1526024396811838E-7</v>
      </c>
      <c r="K207">
        <f t="shared" si="12"/>
        <v>0.41526024396811839</v>
      </c>
      <c r="L207">
        <v>899.4706625</v>
      </c>
      <c r="M207">
        <f t="shared" si="15"/>
        <v>3.7351440675191507E-2</v>
      </c>
      <c r="N207">
        <v>16.752199999999998</v>
      </c>
    </row>
    <row r="208" spans="1:14" x14ac:dyDescent="0.35">
      <c r="A208" t="s">
        <v>37</v>
      </c>
      <c r="B208" s="2">
        <v>44800</v>
      </c>
      <c r="C208" s="3">
        <v>0.10416666666666667</v>
      </c>
      <c r="D208" t="s">
        <v>46</v>
      </c>
      <c r="E208" t="s">
        <v>64</v>
      </c>
      <c r="F208" s="1" t="s">
        <v>38</v>
      </c>
      <c r="G208">
        <v>0.89400000000000002</v>
      </c>
      <c r="H208">
        <v>0.90100000000000002</v>
      </c>
      <c r="I208">
        <f t="shared" si="13"/>
        <v>7.829977628635354E-3</v>
      </c>
      <c r="J208">
        <f t="shared" si="14"/>
        <v>3.0392481639905515E-7</v>
      </c>
      <c r="K208">
        <f t="shared" si="12"/>
        <v>0.30392481639905516</v>
      </c>
      <c r="L208">
        <v>899.4706625</v>
      </c>
      <c r="M208">
        <f t="shared" si="15"/>
        <v>2.73371455956649E-2</v>
      </c>
      <c r="N208">
        <v>16.4085</v>
      </c>
    </row>
    <row r="209" spans="1:14" x14ac:dyDescent="0.35">
      <c r="A209" t="s">
        <v>37</v>
      </c>
      <c r="B209" s="2">
        <v>44800</v>
      </c>
      <c r="C209" s="3">
        <v>0.125</v>
      </c>
      <c r="D209" t="s">
        <v>46</v>
      </c>
      <c r="E209" t="s">
        <v>64</v>
      </c>
      <c r="F209" s="1" t="s">
        <v>38</v>
      </c>
      <c r="G209">
        <v>0.89600000000000002</v>
      </c>
      <c r="H209">
        <v>0.90100000000000002</v>
      </c>
      <c r="I209">
        <f t="shared" si="13"/>
        <v>5.5803571428571473E-3</v>
      </c>
      <c r="J209">
        <f t="shared" si="14"/>
        <v>2.0030319506208591E-7</v>
      </c>
      <c r="K209">
        <f t="shared" si="12"/>
        <v>0.20030319506208591</v>
      </c>
      <c r="L209">
        <v>899.4706625</v>
      </c>
      <c r="M209">
        <f t="shared" si="15"/>
        <v>1.8016684756336113E-2</v>
      </c>
      <c r="N209">
        <v>17.264900000000001</v>
      </c>
    </row>
    <row r="210" spans="1:14" x14ac:dyDescent="0.35">
      <c r="A210" t="s">
        <v>37</v>
      </c>
      <c r="B210" s="2">
        <v>44800</v>
      </c>
      <c r="C210" s="3">
        <v>0.14583333333333334</v>
      </c>
      <c r="D210" t="s">
        <v>46</v>
      </c>
      <c r="E210" t="s">
        <v>64</v>
      </c>
      <c r="F210" s="1" t="s">
        <v>38</v>
      </c>
      <c r="G210">
        <v>0.89700000000000002</v>
      </c>
      <c r="H210">
        <v>0.90100000000000002</v>
      </c>
      <c r="I210">
        <f t="shared" si="13"/>
        <v>4.4593088071348983E-3</v>
      </c>
      <c r="J210">
        <f t="shared" si="14"/>
        <v>1.5198310516492499E-7</v>
      </c>
      <c r="K210">
        <f t="shared" si="12"/>
        <v>0.151983105164925</v>
      </c>
      <c r="L210">
        <v>899.4706625</v>
      </c>
      <c r="M210">
        <f t="shared" si="15"/>
        <v>1.3670434429150226E-2</v>
      </c>
      <c r="N210">
        <v>15.769</v>
      </c>
    </row>
    <row r="211" spans="1:14" x14ac:dyDescent="0.35">
      <c r="A211" t="s">
        <v>37</v>
      </c>
      <c r="B211" s="2">
        <v>44800</v>
      </c>
      <c r="C211" s="3">
        <v>0.16666666666666666</v>
      </c>
      <c r="D211" t="s">
        <v>46</v>
      </c>
      <c r="E211" t="s">
        <v>64</v>
      </c>
      <c r="F211" s="1" t="s">
        <v>38</v>
      </c>
      <c r="G211">
        <v>0.89700000000000002</v>
      </c>
      <c r="H211">
        <v>0.90100000000000002</v>
      </c>
      <c r="I211">
        <f t="shared" si="13"/>
        <v>4.4593088071348983E-3</v>
      </c>
      <c r="J211">
        <f t="shared" si="14"/>
        <v>1.5198310516492499E-7</v>
      </c>
      <c r="K211">
        <f t="shared" si="12"/>
        <v>0.151983105164925</v>
      </c>
      <c r="L211">
        <v>899.4706625</v>
      </c>
      <c r="M211">
        <f t="shared" si="15"/>
        <v>1.3670434429150226E-2</v>
      </c>
      <c r="N211">
        <v>16.060199999999998</v>
      </c>
    </row>
    <row r="212" spans="1:14" x14ac:dyDescent="0.35">
      <c r="A212" t="s">
        <v>37</v>
      </c>
      <c r="B212" s="2">
        <v>44800</v>
      </c>
      <c r="C212" s="3">
        <v>0.1875</v>
      </c>
      <c r="D212" t="s">
        <v>46</v>
      </c>
      <c r="E212" t="s">
        <v>64</v>
      </c>
      <c r="F212" s="1" t="s">
        <v>38</v>
      </c>
      <c r="G212">
        <v>0.89600000000000002</v>
      </c>
      <c r="H212">
        <v>0.90100000000000002</v>
      </c>
      <c r="I212">
        <f t="shared" si="13"/>
        <v>5.5803571428571473E-3</v>
      </c>
      <c r="J212">
        <f t="shared" si="14"/>
        <v>2.0030319506208591E-7</v>
      </c>
      <c r="K212">
        <f t="shared" si="12"/>
        <v>0.20030319506208591</v>
      </c>
      <c r="L212">
        <v>899.4706625</v>
      </c>
      <c r="M212">
        <f t="shared" si="15"/>
        <v>1.8016684756336113E-2</v>
      </c>
      <c r="N212">
        <v>15.727600000000001</v>
      </c>
    </row>
    <row r="213" spans="1:14" x14ac:dyDescent="0.35">
      <c r="A213" t="s">
        <v>37</v>
      </c>
      <c r="B213" s="2">
        <v>44800</v>
      </c>
      <c r="C213" s="3">
        <v>0.20833333333333334</v>
      </c>
      <c r="D213" t="s">
        <v>46</v>
      </c>
      <c r="E213" t="s">
        <v>64</v>
      </c>
      <c r="F213" s="1" t="s">
        <v>38</v>
      </c>
      <c r="G213">
        <v>0.89600000000000002</v>
      </c>
      <c r="H213">
        <v>0.90100000000000002</v>
      </c>
      <c r="I213">
        <f t="shared" si="13"/>
        <v>5.5803571428571473E-3</v>
      </c>
      <c r="J213">
        <f t="shared" si="14"/>
        <v>2.0030319506208591E-7</v>
      </c>
      <c r="K213">
        <f t="shared" si="12"/>
        <v>0.20030319506208591</v>
      </c>
      <c r="L213">
        <v>899.4706625</v>
      </c>
      <c r="M213">
        <f t="shared" si="15"/>
        <v>1.8016684756336113E-2</v>
      </c>
      <c r="N213">
        <v>15.0184</v>
      </c>
    </row>
    <row r="214" spans="1:14" x14ac:dyDescent="0.35">
      <c r="A214" t="s">
        <v>37</v>
      </c>
      <c r="B214" s="2">
        <v>44800</v>
      </c>
      <c r="C214" s="3">
        <v>0.22916666666666666</v>
      </c>
      <c r="D214" t="s">
        <v>46</v>
      </c>
      <c r="E214" t="s">
        <v>64</v>
      </c>
      <c r="F214" s="1" t="s">
        <v>38</v>
      </c>
      <c r="G214">
        <v>0.89600000000000002</v>
      </c>
      <c r="H214">
        <v>0.90100000000000002</v>
      </c>
      <c r="I214">
        <f t="shared" si="13"/>
        <v>5.5803571428571473E-3</v>
      </c>
      <c r="J214">
        <f t="shared" si="14"/>
        <v>2.0030319506208591E-7</v>
      </c>
      <c r="K214">
        <f t="shared" si="12"/>
        <v>0.20030319506208591</v>
      </c>
      <c r="L214">
        <v>899.4706625</v>
      </c>
      <c r="M214">
        <f t="shared" si="15"/>
        <v>1.8016684756336113E-2</v>
      </c>
      <c r="N214">
        <v>14.711399999999999</v>
      </c>
    </row>
    <row r="215" spans="1:14" x14ac:dyDescent="0.35">
      <c r="A215" t="s">
        <v>37</v>
      </c>
      <c r="B215" s="2">
        <v>44800</v>
      </c>
      <c r="C215" s="3">
        <v>0.25</v>
      </c>
      <c r="D215" t="s">
        <v>46</v>
      </c>
      <c r="E215" t="s">
        <v>64</v>
      </c>
      <c r="F215" s="1" t="s">
        <v>38</v>
      </c>
      <c r="G215">
        <v>0.89600000000000002</v>
      </c>
      <c r="H215">
        <v>0.90100000000000002</v>
      </c>
      <c r="I215">
        <f t="shared" si="13"/>
        <v>5.5803571428571473E-3</v>
      </c>
      <c r="J215">
        <f t="shared" si="14"/>
        <v>2.0030319506208591E-7</v>
      </c>
      <c r="K215">
        <f t="shared" si="12"/>
        <v>0.20030319506208591</v>
      </c>
      <c r="L215">
        <v>899.4706625</v>
      </c>
      <c r="M215">
        <f t="shared" si="15"/>
        <v>1.8016684756336113E-2</v>
      </c>
      <c r="N215">
        <v>15.889900000000001</v>
      </c>
    </row>
    <row r="216" spans="1:14" x14ac:dyDescent="0.35">
      <c r="A216" t="s">
        <v>37</v>
      </c>
      <c r="B216" s="2">
        <v>44800</v>
      </c>
      <c r="C216" s="3">
        <v>0.27083333333333331</v>
      </c>
      <c r="D216" t="s">
        <v>46</v>
      </c>
      <c r="E216" t="s">
        <v>64</v>
      </c>
      <c r="F216" s="1" t="s">
        <v>38</v>
      </c>
      <c r="G216">
        <v>0.89500000000000002</v>
      </c>
      <c r="H216">
        <v>0.90100000000000002</v>
      </c>
      <c r="I216">
        <f t="shared" si="13"/>
        <v>6.7039106145251456E-3</v>
      </c>
      <c r="J216">
        <f t="shared" si="14"/>
        <v>2.5104813195302351E-7</v>
      </c>
      <c r="K216">
        <f t="shared" si="12"/>
        <v>0.2510481319530235</v>
      </c>
      <c r="L216">
        <v>899.4706625</v>
      </c>
      <c r="M216">
        <f t="shared" si="15"/>
        <v>2.2581042956717347E-2</v>
      </c>
      <c r="N216">
        <v>16.3066</v>
      </c>
    </row>
    <row r="217" spans="1:14" x14ac:dyDescent="0.35">
      <c r="A217" t="s">
        <v>37</v>
      </c>
      <c r="B217" s="2">
        <v>44800</v>
      </c>
      <c r="C217" s="3">
        <v>0.29166666666666669</v>
      </c>
      <c r="D217" t="s">
        <v>46</v>
      </c>
      <c r="E217" t="s">
        <v>64</v>
      </c>
      <c r="F217" s="1" t="s">
        <v>38</v>
      </c>
      <c r="G217">
        <v>0.89500000000000002</v>
      </c>
      <c r="H217">
        <v>0.90100000000000002</v>
      </c>
      <c r="I217">
        <f t="shared" si="13"/>
        <v>6.7039106145251456E-3</v>
      </c>
      <c r="J217">
        <f t="shared" si="14"/>
        <v>2.5104813195302351E-7</v>
      </c>
      <c r="K217">
        <f t="shared" si="12"/>
        <v>0.2510481319530235</v>
      </c>
      <c r="L217">
        <v>899.4706625</v>
      </c>
      <c r="M217">
        <f t="shared" si="15"/>
        <v>2.2581042956717347E-2</v>
      </c>
      <c r="N217">
        <v>17.531300000000002</v>
      </c>
    </row>
    <row r="218" spans="1:14" x14ac:dyDescent="0.35">
      <c r="A218" t="s">
        <v>37</v>
      </c>
      <c r="B218" s="2">
        <v>44800</v>
      </c>
      <c r="C218" s="3">
        <v>0.3125</v>
      </c>
      <c r="D218" t="s">
        <v>46</v>
      </c>
      <c r="E218" t="s">
        <v>64</v>
      </c>
      <c r="F218" s="1" t="s">
        <v>38</v>
      </c>
      <c r="G218">
        <v>0.89400000000000002</v>
      </c>
      <c r="H218">
        <v>0.90100000000000002</v>
      </c>
      <c r="I218">
        <f t="shared" si="13"/>
        <v>7.829977628635354E-3</v>
      </c>
      <c r="J218">
        <f t="shared" si="14"/>
        <v>3.0392481639905515E-7</v>
      </c>
      <c r="K218">
        <f t="shared" si="12"/>
        <v>0.30392481639905516</v>
      </c>
      <c r="L218">
        <v>899.4706625</v>
      </c>
      <c r="M218">
        <f t="shared" si="15"/>
        <v>2.73371455956649E-2</v>
      </c>
      <c r="N218">
        <v>18.497699999999998</v>
      </c>
    </row>
    <row r="219" spans="1:14" x14ac:dyDescent="0.35">
      <c r="A219" t="s">
        <v>37</v>
      </c>
      <c r="B219" s="2">
        <v>44800</v>
      </c>
      <c r="C219" s="3">
        <v>0.33333333333333331</v>
      </c>
      <c r="D219" t="s">
        <v>46</v>
      </c>
      <c r="E219" t="s">
        <v>64</v>
      </c>
      <c r="F219" s="1" t="s">
        <v>38</v>
      </c>
      <c r="G219">
        <v>0.89300000000000002</v>
      </c>
      <c r="H219">
        <v>0.90100000000000002</v>
      </c>
      <c r="I219">
        <f t="shared" si="13"/>
        <v>8.9585666293393127E-3</v>
      </c>
      <c r="J219">
        <f t="shared" si="14"/>
        <v>3.5871752087985984E-7</v>
      </c>
      <c r="K219">
        <f t="shared" si="12"/>
        <v>0.35871752087985986</v>
      </c>
      <c r="L219">
        <v>899.4706625</v>
      </c>
      <c r="M219">
        <f t="shared" si="15"/>
        <v>3.2265588615616514E-2</v>
      </c>
      <c r="N219">
        <v>20.640699999999999</v>
      </c>
    </row>
    <row r="220" spans="1:14" x14ac:dyDescent="0.35">
      <c r="A220" t="s">
        <v>37</v>
      </c>
      <c r="B220" s="2">
        <v>44800</v>
      </c>
      <c r="C220" s="3">
        <v>0.35416666666666669</v>
      </c>
      <c r="D220" t="s">
        <v>46</v>
      </c>
      <c r="E220" t="s">
        <v>64</v>
      </c>
      <c r="F220" s="1" t="s">
        <v>38</v>
      </c>
      <c r="G220">
        <v>0.89</v>
      </c>
      <c r="H220">
        <v>0.90100000000000002</v>
      </c>
      <c r="I220">
        <f t="shared" si="13"/>
        <v>1.2359550561797763E-2</v>
      </c>
      <c r="J220">
        <f t="shared" si="14"/>
        <v>5.3309211469037612E-7</v>
      </c>
      <c r="K220">
        <f t="shared" si="12"/>
        <v>0.5330921146903761</v>
      </c>
      <c r="L220">
        <v>899.4706625</v>
      </c>
      <c r="M220">
        <f t="shared" si="15"/>
        <v>4.7950071757407856E-2</v>
      </c>
      <c r="N220">
        <v>21.7852</v>
      </c>
    </row>
    <row r="221" spans="1:14" x14ac:dyDescent="0.35">
      <c r="A221" t="s">
        <v>37</v>
      </c>
      <c r="B221" s="2">
        <v>44800</v>
      </c>
      <c r="C221" s="3">
        <v>0.375</v>
      </c>
      <c r="D221" t="s">
        <v>46</v>
      </c>
      <c r="E221" t="s">
        <v>64</v>
      </c>
      <c r="F221" s="1" t="s">
        <v>38</v>
      </c>
      <c r="G221">
        <v>0.88300000000000001</v>
      </c>
      <c r="H221">
        <v>0.90100000000000002</v>
      </c>
      <c r="I221">
        <f t="shared" si="13"/>
        <v>2.0385050962627424E-2</v>
      </c>
      <c r="J221">
        <f t="shared" si="14"/>
        <v>9.8698326524783168E-7</v>
      </c>
      <c r="K221">
        <f t="shared" si="12"/>
        <v>0.98698326524783164</v>
      </c>
      <c r="L221">
        <v>899.4706625</v>
      </c>
      <c r="M221">
        <f t="shared" si="15"/>
        <v>8.8776249146888031E-2</v>
      </c>
      <c r="N221">
        <v>23.6355</v>
      </c>
    </row>
    <row r="222" spans="1:14" x14ac:dyDescent="0.35">
      <c r="A222" t="s">
        <v>37</v>
      </c>
      <c r="B222" s="2">
        <v>44800</v>
      </c>
      <c r="C222" s="3">
        <v>0.39583333333333331</v>
      </c>
      <c r="D222" t="s">
        <v>46</v>
      </c>
      <c r="E222" t="s">
        <v>64</v>
      </c>
      <c r="F222" s="1" t="s">
        <v>38</v>
      </c>
      <c r="G222">
        <v>0.86799999999999999</v>
      </c>
      <c r="H222">
        <v>0.90100000000000002</v>
      </c>
      <c r="I222">
        <f t="shared" si="13"/>
        <v>3.8018433179723539E-2</v>
      </c>
      <c r="J222">
        <f t="shared" si="14"/>
        <v>2.1257874544423795E-6</v>
      </c>
      <c r="K222">
        <f t="shared" si="12"/>
        <v>2.1257874544423796</v>
      </c>
      <c r="L222">
        <v>899.4706625</v>
      </c>
      <c r="M222">
        <f t="shared" si="15"/>
        <v>0.19120834499814757</v>
      </c>
      <c r="N222">
        <v>25.8127</v>
      </c>
    </row>
    <row r="223" spans="1:14" x14ac:dyDescent="0.35">
      <c r="A223" t="s">
        <v>37</v>
      </c>
      <c r="B223" s="2">
        <v>44800</v>
      </c>
      <c r="C223" s="3">
        <v>0.41666666666666669</v>
      </c>
      <c r="D223" t="s">
        <v>46</v>
      </c>
      <c r="E223" t="s">
        <v>64</v>
      </c>
      <c r="F223" s="1" t="s">
        <v>38</v>
      </c>
      <c r="G223">
        <v>0.84399999999999997</v>
      </c>
      <c r="H223">
        <v>0.90100000000000002</v>
      </c>
      <c r="I223">
        <f t="shared" si="13"/>
        <v>6.7535545023696741E-2</v>
      </c>
      <c r="J223">
        <f t="shared" si="14"/>
        <v>4.3122244426879673E-6</v>
      </c>
      <c r="K223">
        <f t="shared" si="12"/>
        <v>4.3122244426879677</v>
      </c>
      <c r="L223">
        <v>899.4706625</v>
      </c>
      <c r="M223">
        <f t="shared" si="15"/>
        <v>0.38787193763132394</v>
      </c>
      <c r="N223">
        <v>27.663900000000002</v>
      </c>
    </row>
    <row r="224" spans="1:14" x14ac:dyDescent="0.35">
      <c r="A224" t="s">
        <v>37</v>
      </c>
      <c r="B224" s="2">
        <v>44800</v>
      </c>
      <c r="C224" s="3">
        <v>0.4375</v>
      </c>
      <c r="D224" t="s">
        <v>46</v>
      </c>
      <c r="E224" t="s">
        <v>64</v>
      </c>
      <c r="F224" s="1" t="s">
        <v>38</v>
      </c>
      <c r="G224">
        <v>0.81699999999999995</v>
      </c>
      <c r="H224">
        <v>0.90100000000000002</v>
      </c>
      <c r="I224">
        <f t="shared" si="13"/>
        <v>0.10281517747858027</v>
      </c>
      <c r="J224">
        <f t="shared" si="14"/>
        <v>7.2341816710620251E-6</v>
      </c>
      <c r="K224">
        <f t="shared" si="12"/>
        <v>7.234181671062025</v>
      </c>
      <c r="L224">
        <v>899.4706625</v>
      </c>
      <c r="M224">
        <f t="shared" si="15"/>
        <v>0.65069341803155167</v>
      </c>
      <c r="N224">
        <v>29.2453</v>
      </c>
    </row>
    <row r="225" spans="1:14" x14ac:dyDescent="0.35">
      <c r="A225" t="s">
        <v>37</v>
      </c>
      <c r="B225" s="2">
        <v>44800</v>
      </c>
      <c r="C225" s="3">
        <v>0.45833333333333331</v>
      </c>
      <c r="D225" t="s">
        <v>46</v>
      </c>
      <c r="E225" t="s">
        <v>64</v>
      </c>
      <c r="F225" s="1" t="s">
        <v>38</v>
      </c>
      <c r="G225">
        <v>0.79200000000000004</v>
      </c>
      <c r="H225">
        <v>0.90100000000000002</v>
      </c>
      <c r="I225">
        <f t="shared" si="13"/>
        <v>0.1376262626262626</v>
      </c>
      <c r="J225">
        <f t="shared" si="14"/>
        <v>1.0358295153450727E-5</v>
      </c>
      <c r="K225">
        <f t="shared" si="12"/>
        <v>10.358295153450726</v>
      </c>
      <c r="L225">
        <v>899.4706625</v>
      </c>
      <c r="M225">
        <f t="shared" si="15"/>
        <v>0.93169826040448633</v>
      </c>
      <c r="N225">
        <v>31.9986</v>
      </c>
    </row>
    <row r="226" spans="1:14" x14ac:dyDescent="0.35">
      <c r="A226" t="s">
        <v>37</v>
      </c>
      <c r="B226" s="2">
        <v>44800</v>
      </c>
      <c r="C226" s="3">
        <v>0.47916666666666669</v>
      </c>
      <c r="D226" t="s">
        <v>46</v>
      </c>
      <c r="E226" t="s">
        <v>64</v>
      </c>
      <c r="F226" s="1" t="s">
        <v>38</v>
      </c>
      <c r="G226">
        <v>0.78100000000000003</v>
      </c>
      <c r="H226">
        <v>0.90100000000000002</v>
      </c>
      <c r="I226">
        <f t="shared" si="13"/>
        <v>0.15364916773367476</v>
      </c>
      <c r="J226">
        <f t="shared" si="14"/>
        <v>1.1862211211991072E-5</v>
      </c>
      <c r="K226">
        <f t="shared" si="12"/>
        <v>11.862211211991072</v>
      </c>
      <c r="L226">
        <v>899.4706625</v>
      </c>
      <c r="M226">
        <f t="shared" si="15"/>
        <v>1.0669710977564537</v>
      </c>
      <c r="N226">
        <v>31.6327</v>
      </c>
    </row>
    <row r="227" spans="1:14" x14ac:dyDescent="0.35">
      <c r="A227" t="s">
        <v>37</v>
      </c>
      <c r="B227" s="2">
        <v>44800</v>
      </c>
      <c r="C227" s="3">
        <v>0.5</v>
      </c>
      <c r="D227" t="s">
        <v>46</v>
      </c>
      <c r="E227" t="s">
        <v>64</v>
      </c>
      <c r="F227" s="1" t="s">
        <v>38</v>
      </c>
      <c r="G227">
        <v>0.77900000000000003</v>
      </c>
      <c r="H227">
        <v>0.90100000000000002</v>
      </c>
      <c r="I227">
        <f t="shared" si="13"/>
        <v>0.15661103979460847</v>
      </c>
      <c r="J227">
        <f t="shared" si="14"/>
        <v>1.2144322804658613E-5</v>
      </c>
      <c r="K227">
        <f t="shared" si="12"/>
        <v>12.144322804658612</v>
      </c>
      <c r="L227">
        <v>899.4706625</v>
      </c>
      <c r="M227">
        <f t="shared" si="15"/>
        <v>1.0923462078720141</v>
      </c>
      <c r="N227">
        <v>31.8827</v>
      </c>
    </row>
    <row r="228" spans="1:14" x14ac:dyDescent="0.35">
      <c r="A228" t="s">
        <v>37</v>
      </c>
      <c r="B228" s="2">
        <v>44800</v>
      </c>
      <c r="C228" s="3">
        <v>0.52083333333333337</v>
      </c>
      <c r="D228" t="s">
        <v>46</v>
      </c>
      <c r="E228" t="s">
        <v>64</v>
      </c>
      <c r="F228" s="1" t="s">
        <v>38</v>
      </c>
      <c r="G228">
        <v>0.79300000000000004</v>
      </c>
      <c r="H228">
        <v>0.90100000000000002</v>
      </c>
      <c r="I228">
        <f t="shared" si="13"/>
        <v>0.13619167717528372</v>
      </c>
      <c r="J228">
        <f t="shared" si="14"/>
        <v>1.0225541386569302E-5</v>
      </c>
      <c r="K228">
        <f t="shared" si="12"/>
        <v>10.225541386569303</v>
      </c>
      <c r="L228">
        <v>899.4706625</v>
      </c>
      <c r="M228">
        <f t="shared" si="15"/>
        <v>0.91975744853986596</v>
      </c>
      <c r="N228">
        <v>32.619799999999998</v>
      </c>
    </row>
    <row r="229" spans="1:14" x14ac:dyDescent="0.35">
      <c r="A229" t="s">
        <v>37</v>
      </c>
      <c r="B229" s="2">
        <v>44800</v>
      </c>
      <c r="C229" s="3">
        <v>0.54166666666666663</v>
      </c>
      <c r="D229" t="s">
        <v>46</v>
      </c>
      <c r="E229" t="s">
        <v>64</v>
      </c>
      <c r="F229" s="1" t="s">
        <v>38</v>
      </c>
      <c r="G229">
        <v>0.80600000000000005</v>
      </c>
      <c r="H229">
        <v>0.90100000000000002</v>
      </c>
      <c r="I229">
        <f t="shared" si="13"/>
        <v>0.11786600496277912</v>
      </c>
      <c r="J229">
        <f t="shared" si="14"/>
        <v>8.5590641820133253E-6</v>
      </c>
      <c r="K229">
        <f t="shared" si="12"/>
        <v>8.5590641820133246</v>
      </c>
      <c r="L229">
        <v>899.4706625</v>
      </c>
      <c r="M229">
        <f t="shared" si="15"/>
        <v>0.7698627130175546</v>
      </c>
      <c r="N229">
        <v>29.2163</v>
      </c>
    </row>
    <row r="230" spans="1:14" x14ac:dyDescent="0.35">
      <c r="A230" t="s">
        <v>37</v>
      </c>
      <c r="B230" s="2">
        <v>44800</v>
      </c>
      <c r="C230" s="3">
        <v>0.5625</v>
      </c>
      <c r="D230" t="s">
        <v>46</v>
      </c>
      <c r="E230" t="s">
        <v>64</v>
      </c>
      <c r="F230" s="1" t="s">
        <v>38</v>
      </c>
      <c r="G230">
        <v>0.80800000000000005</v>
      </c>
      <c r="H230">
        <v>0.90100000000000002</v>
      </c>
      <c r="I230">
        <f t="shared" si="13"/>
        <v>0.11509900990099006</v>
      </c>
      <c r="J230">
        <f t="shared" si="14"/>
        <v>8.3123933443412558E-6</v>
      </c>
      <c r="K230">
        <f t="shared" si="12"/>
        <v>8.3123933443412561</v>
      </c>
      <c r="L230">
        <v>899.4706625</v>
      </c>
      <c r="M230">
        <f t="shared" si="15"/>
        <v>0.74767539483952206</v>
      </c>
      <c r="N230">
        <v>30.803799999999999</v>
      </c>
    </row>
    <row r="231" spans="1:14" x14ac:dyDescent="0.35">
      <c r="A231" t="s">
        <v>37</v>
      </c>
      <c r="B231" s="2">
        <v>44800</v>
      </c>
      <c r="C231" s="3">
        <v>0.58333333333333337</v>
      </c>
      <c r="D231" t="s">
        <v>46</v>
      </c>
      <c r="E231" t="s">
        <v>64</v>
      </c>
      <c r="F231" s="1" t="s">
        <v>38</v>
      </c>
      <c r="G231">
        <v>0.81599999999999995</v>
      </c>
      <c r="H231">
        <v>0.90100000000000002</v>
      </c>
      <c r="I231">
        <f t="shared" si="13"/>
        <v>0.10416666666666677</v>
      </c>
      <c r="J231">
        <f t="shared" si="14"/>
        <v>7.3514172582651037E-6</v>
      </c>
      <c r="K231">
        <f t="shared" si="12"/>
        <v>7.3514172582651041</v>
      </c>
      <c r="L231">
        <v>899.4706625</v>
      </c>
      <c r="M231">
        <f t="shared" si="15"/>
        <v>0.6612384151605647</v>
      </c>
      <c r="N231">
        <v>30.016100000000002</v>
      </c>
    </row>
    <row r="232" spans="1:14" x14ac:dyDescent="0.35">
      <c r="A232" t="s">
        <v>37</v>
      </c>
      <c r="B232" s="2">
        <v>44800</v>
      </c>
      <c r="C232" s="3">
        <v>0.60416666666666663</v>
      </c>
      <c r="D232" t="s">
        <v>46</v>
      </c>
      <c r="E232" t="s">
        <v>64</v>
      </c>
      <c r="F232" s="1" t="s">
        <v>38</v>
      </c>
      <c r="G232">
        <v>0.81599999999999995</v>
      </c>
      <c r="H232">
        <v>0.90100000000000002</v>
      </c>
      <c r="I232">
        <f t="shared" si="13"/>
        <v>0.10416666666666677</v>
      </c>
      <c r="J232">
        <f t="shared" si="14"/>
        <v>7.3514172582651037E-6</v>
      </c>
      <c r="K232">
        <f t="shared" si="12"/>
        <v>7.3514172582651041</v>
      </c>
      <c r="L232">
        <v>899.4706625</v>
      </c>
      <c r="M232">
        <f t="shared" si="15"/>
        <v>0.6612384151605647</v>
      </c>
      <c r="N232">
        <v>31.1188</v>
      </c>
    </row>
    <row r="233" spans="1:14" x14ac:dyDescent="0.35">
      <c r="A233" t="s">
        <v>37</v>
      </c>
      <c r="B233" s="2">
        <v>44800</v>
      </c>
      <c r="C233" s="3">
        <v>0.625</v>
      </c>
      <c r="D233" t="s">
        <v>46</v>
      </c>
      <c r="E233" t="s">
        <v>64</v>
      </c>
      <c r="F233" s="1" t="s">
        <v>38</v>
      </c>
      <c r="G233">
        <v>0.81899999999999995</v>
      </c>
      <c r="H233">
        <v>0.90100000000000002</v>
      </c>
      <c r="I233">
        <f t="shared" si="13"/>
        <v>0.10012210012210021</v>
      </c>
      <c r="J233">
        <f t="shared" si="14"/>
        <v>7.0016328019096574E-6</v>
      </c>
      <c r="K233">
        <f t="shared" si="12"/>
        <v>7.0016328019096576</v>
      </c>
      <c r="L233">
        <v>899.4706625</v>
      </c>
      <c r="M233">
        <f t="shared" si="15"/>
        <v>0.62977632949154105</v>
      </c>
      <c r="N233">
        <v>33.7301</v>
      </c>
    </row>
    <row r="234" spans="1:14" x14ac:dyDescent="0.35">
      <c r="A234" t="s">
        <v>37</v>
      </c>
      <c r="B234" s="2">
        <v>44800</v>
      </c>
      <c r="C234" s="3">
        <v>0.64583333333333337</v>
      </c>
      <c r="D234" t="s">
        <v>46</v>
      </c>
      <c r="E234" t="s">
        <v>64</v>
      </c>
      <c r="F234" s="1" t="s">
        <v>38</v>
      </c>
      <c r="G234">
        <v>0.82</v>
      </c>
      <c r="H234">
        <v>0.90100000000000002</v>
      </c>
      <c r="I234">
        <f t="shared" si="13"/>
        <v>9.8780487804878137E-2</v>
      </c>
      <c r="J234">
        <f t="shared" si="14"/>
        <v>6.8863194815838576E-6</v>
      </c>
      <c r="K234">
        <f t="shared" si="12"/>
        <v>6.8863194815838575</v>
      </c>
      <c r="L234">
        <v>899.4706625</v>
      </c>
      <c r="M234">
        <f t="shared" si="15"/>
        <v>0.61940423462868888</v>
      </c>
      <c r="N234">
        <v>32.391100000000002</v>
      </c>
    </row>
    <row r="235" spans="1:14" x14ac:dyDescent="0.35">
      <c r="A235" t="s">
        <v>37</v>
      </c>
      <c r="B235" s="2">
        <v>44800</v>
      </c>
      <c r="C235" s="3">
        <v>0.66666666666666663</v>
      </c>
      <c r="D235" t="s">
        <v>46</v>
      </c>
      <c r="E235" t="s">
        <v>64</v>
      </c>
      <c r="F235" s="1" t="s">
        <v>38</v>
      </c>
      <c r="G235">
        <v>0.81799999999999995</v>
      </c>
      <c r="H235">
        <v>0.90100000000000002</v>
      </c>
      <c r="I235">
        <f t="shared" si="13"/>
        <v>0.10146699266503677</v>
      </c>
      <c r="J235">
        <f t="shared" si="14"/>
        <v>7.1175868680596164E-6</v>
      </c>
      <c r="K235">
        <f t="shared" ref="K235:K298" si="16">J235*10^6</f>
        <v>7.1175868680596164</v>
      </c>
      <c r="L235">
        <v>899.4706625</v>
      </c>
      <c r="M235">
        <f t="shared" si="15"/>
        <v>0.6402060575614883</v>
      </c>
      <c r="N235">
        <v>28.613099999999999</v>
      </c>
    </row>
    <row r="236" spans="1:14" x14ac:dyDescent="0.35">
      <c r="A236" t="s">
        <v>37</v>
      </c>
      <c r="B236" s="2">
        <v>44800</v>
      </c>
      <c r="C236" s="3">
        <v>0.6875</v>
      </c>
      <c r="D236" t="s">
        <v>46</v>
      </c>
      <c r="E236" t="s">
        <v>64</v>
      </c>
      <c r="F236" s="1" t="s">
        <v>38</v>
      </c>
      <c r="G236">
        <v>0.82599999999999996</v>
      </c>
      <c r="H236">
        <v>0.90100000000000002</v>
      </c>
      <c r="I236">
        <f t="shared" si="13"/>
        <v>9.0799031476997666E-2</v>
      </c>
      <c r="J236">
        <f t="shared" si="14"/>
        <v>6.2079032291433799E-6</v>
      </c>
      <c r="K236">
        <f t="shared" si="16"/>
        <v>6.2079032291433798</v>
      </c>
      <c r="L236">
        <v>899.4706625</v>
      </c>
      <c r="M236">
        <f t="shared" si="15"/>
        <v>0.55838268302534855</v>
      </c>
      <c r="N236">
        <v>29.746700000000001</v>
      </c>
    </row>
    <row r="237" spans="1:14" x14ac:dyDescent="0.35">
      <c r="A237" t="s">
        <v>37</v>
      </c>
      <c r="B237" s="2">
        <v>44800</v>
      </c>
      <c r="C237" s="3">
        <v>0.70833333333333337</v>
      </c>
      <c r="D237" t="s">
        <v>46</v>
      </c>
      <c r="E237" t="s">
        <v>64</v>
      </c>
      <c r="F237" s="1" t="s">
        <v>38</v>
      </c>
      <c r="G237">
        <v>0.83899999999999997</v>
      </c>
      <c r="H237">
        <v>0.90100000000000002</v>
      </c>
      <c r="I237">
        <f t="shared" si="13"/>
        <v>7.3897497020262284E-2</v>
      </c>
      <c r="J237">
        <f t="shared" si="14"/>
        <v>4.8175935574065085E-6</v>
      </c>
      <c r="K237">
        <f t="shared" si="16"/>
        <v>4.817593557406509</v>
      </c>
      <c r="L237">
        <v>899.4706625</v>
      </c>
      <c r="M237">
        <f t="shared" si="15"/>
        <v>0.43332840687361646</v>
      </c>
      <c r="N237">
        <v>26.706800000000001</v>
      </c>
    </row>
    <row r="238" spans="1:14" x14ac:dyDescent="0.35">
      <c r="A238" t="s">
        <v>37</v>
      </c>
      <c r="B238" s="2">
        <v>44800</v>
      </c>
      <c r="C238" s="3">
        <v>0.72916666666666663</v>
      </c>
      <c r="D238" t="s">
        <v>46</v>
      </c>
      <c r="E238" t="s">
        <v>64</v>
      </c>
      <c r="F238" s="1" t="s">
        <v>38</v>
      </c>
      <c r="G238">
        <v>0.85299999999999998</v>
      </c>
      <c r="H238">
        <v>0.90100000000000002</v>
      </c>
      <c r="I238">
        <f t="shared" si="13"/>
        <v>5.6271981242672971E-2</v>
      </c>
      <c r="J238">
        <f t="shared" si="14"/>
        <v>3.4447417384143497E-6</v>
      </c>
      <c r="K238">
        <f t="shared" si="16"/>
        <v>3.4447417384143497</v>
      </c>
      <c r="L238">
        <v>899.4706625</v>
      </c>
      <c r="M238">
        <f t="shared" si="15"/>
        <v>0.30984441335929569</v>
      </c>
      <c r="N238">
        <v>24.7545</v>
      </c>
    </row>
    <row r="239" spans="1:14" x14ac:dyDescent="0.35">
      <c r="A239" t="s">
        <v>37</v>
      </c>
      <c r="B239" s="2">
        <v>44800</v>
      </c>
      <c r="C239" s="3">
        <v>0.75</v>
      </c>
      <c r="D239" t="s">
        <v>46</v>
      </c>
      <c r="E239" t="s">
        <v>64</v>
      </c>
      <c r="F239" s="1" t="s">
        <v>38</v>
      </c>
      <c r="G239">
        <v>0.86899999999999999</v>
      </c>
      <c r="H239">
        <v>0.90100000000000002</v>
      </c>
      <c r="I239">
        <f t="shared" si="13"/>
        <v>3.6823935558112808E-2</v>
      </c>
      <c r="J239">
        <f t="shared" si="14"/>
        <v>2.0438698624889051E-6</v>
      </c>
      <c r="K239">
        <f t="shared" si="16"/>
        <v>2.0438698624889051</v>
      </c>
      <c r="L239">
        <v>899.4706625</v>
      </c>
      <c r="M239">
        <f t="shared" si="15"/>
        <v>0.18384009792766795</v>
      </c>
      <c r="N239">
        <v>21.6553</v>
      </c>
    </row>
    <row r="240" spans="1:14" x14ac:dyDescent="0.35">
      <c r="A240" t="s">
        <v>37</v>
      </c>
      <c r="B240" s="2">
        <v>44800</v>
      </c>
      <c r="C240" s="3">
        <v>0.77083333333333337</v>
      </c>
      <c r="D240" t="s">
        <v>46</v>
      </c>
      <c r="E240" t="s">
        <v>64</v>
      </c>
      <c r="F240" s="1" t="s">
        <v>38</v>
      </c>
      <c r="G240">
        <v>0.88400000000000001</v>
      </c>
      <c r="H240">
        <v>0.90100000000000002</v>
      </c>
      <c r="I240">
        <f t="shared" si="13"/>
        <v>1.9230769230769249E-2</v>
      </c>
      <c r="J240">
        <f t="shared" si="14"/>
        <v>9.1864315925615838E-7</v>
      </c>
      <c r="K240">
        <f t="shared" si="16"/>
        <v>0.91864315925615836</v>
      </c>
      <c r="L240">
        <v>899.4706625</v>
      </c>
      <c r="M240">
        <f t="shared" si="15"/>
        <v>8.262925710572297E-2</v>
      </c>
      <c r="N240">
        <v>21.886700000000001</v>
      </c>
    </row>
    <row r="241" spans="1:14" x14ac:dyDescent="0.35">
      <c r="A241" t="s">
        <v>37</v>
      </c>
      <c r="B241" s="2">
        <v>44800</v>
      </c>
      <c r="C241" s="3">
        <v>0.79166666666666663</v>
      </c>
      <c r="D241" t="s">
        <v>46</v>
      </c>
      <c r="E241" t="s">
        <v>64</v>
      </c>
      <c r="F241" s="1" t="s">
        <v>38</v>
      </c>
      <c r="G241">
        <v>0.89500000000000002</v>
      </c>
      <c r="H241">
        <v>0.90100000000000002</v>
      </c>
      <c r="I241">
        <f t="shared" si="13"/>
        <v>6.7039106145251456E-3</v>
      </c>
      <c r="J241">
        <f t="shared" si="14"/>
        <v>2.5104813195302351E-7</v>
      </c>
      <c r="K241">
        <f t="shared" si="16"/>
        <v>0.2510481319530235</v>
      </c>
      <c r="L241">
        <v>899.4706625</v>
      </c>
      <c r="M241">
        <f t="shared" si="15"/>
        <v>2.2581042956717347E-2</v>
      </c>
      <c r="N241">
        <v>21.135999999999999</v>
      </c>
    </row>
    <row r="242" spans="1:14" x14ac:dyDescent="0.35">
      <c r="A242" t="s">
        <v>37</v>
      </c>
      <c r="B242" s="2">
        <v>44800</v>
      </c>
      <c r="C242" s="3">
        <v>0.8125</v>
      </c>
      <c r="D242" t="s">
        <v>46</v>
      </c>
      <c r="E242" t="s">
        <v>64</v>
      </c>
      <c r="F242" s="1" t="s">
        <v>38</v>
      </c>
      <c r="G242">
        <v>0.9</v>
      </c>
      <c r="H242">
        <v>0.90100000000000002</v>
      </c>
      <c r="I242">
        <f t="shared" si="13"/>
        <v>1.111111111111112E-3</v>
      </c>
      <c r="J242">
        <f t="shared" si="14"/>
        <v>2.7470997682759057E-8</v>
      </c>
      <c r="K242">
        <f t="shared" si="16"/>
        <v>2.7470997682759058E-2</v>
      </c>
      <c r="L242">
        <v>899.4706625</v>
      </c>
      <c r="M242">
        <f t="shared" si="15"/>
        <v>2.4709356485247253E-3</v>
      </c>
      <c r="N242">
        <v>22.610600000000002</v>
      </c>
    </row>
    <row r="243" spans="1:14" x14ac:dyDescent="0.35">
      <c r="A243" t="s">
        <v>37</v>
      </c>
      <c r="B243" s="2">
        <v>44800</v>
      </c>
      <c r="C243" s="3">
        <v>0.83333333333333337</v>
      </c>
      <c r="D243" t="s">
        <v>46</v>
      </c>
      <c r="E243" t="s">
        <v>64</v>
      </c>
      <c r="F243" s="1" t="s">
        <v>38</v>
      </c>
      <c r="G243">
        <v>0.90100000000000002</v>
      </c>
      <c r="H243">
        <v>0.90100000000000002</v>
      </c>
      <c r="I243">
        <f t="shared" si="13"/>
        <v>0</v>
      </c>
      <c r="J243">
        <f t="shared" si="14"/>
        <v>0</v>
      </c>
      <c r="K243">
        <f t="shared" si="16"/>
        <v>0</v>
      </c>
      <c r="L243">
        <v>899.4706625</v>
      </c>
      <c r="M243">
        <f t="shared" si="15"/>
        <v>0</v>
      </c>
      <c r="N243">
        <v>22.5307</v>
      </c>
    </row>
    <row r="244" spans="1:14" x14ac:dyDescent="0.35">
      <c r="A244" t="s">
        <v>37</v>
      </c>
      <c r="B244" s="2">
        <v>44800</v>
      </c>
      <c r="C244" s="3">
        <v>0.85416666666666663</v>
      </c>
      <c r="D244" t="s">
        <v>46</v>
      </c>
      <c r="E244" t="s">
        <v>64</v>
      </c>
      <c r="F244" s="1" t="s">
        <v>38</v>
      </c>
      <c r="G244">
        <v>0.89900000000000002</v>
      </c>
      <c r="H244">
        <v>0.90100000000000002</v>
      </c>
      <c r="I244">
        <f t="shared" si="13"/>
        <v>2.2246941045606246E-3</v>
      </c>
      <c r="J244">
        <f t="shared" si="14"/>
        <v>6.4570880049253753E-8</v>
      </c>
      <c r="K244">
        <f t="shared" si="16"/>
        <v>6.4570880049253751E-2</v>
      </c>
      <c r="L244">
        <v>899.4706625</v>
      </c>
      <c r="M244">
        <f t="shared" si="15"/>
        <v>5.8079612256110302E-3</v>
      </c>
      <c r="N244">
        <v>22.331499999999998</v>
      </c>
    </row>
    <row r="245" spans="1:14" x14ac:dyDescent="0.35">
      <c r="A245" t="s">
        <v>37</v>
      </c>
      <c r="B245" s="2">
        <v>44800</v>
      </c>
      <c r="C245" s="3">
        <v>0.875</v>
      </c>
      <c r="D245" t="s">
        <v>46</v>
      </c>
      <c r="E245" t="s">
        <v>64</v>
      </c>
      <c r="F245" s="1" t="s">
        <v>38</v>
      </c>
      <c r="G245">
        <v>0.89800000000000002</v>
      </c>
      <c r="H245">
        <v>0.90100000000000002</v>
      </c>
      <c r="I245">
        <f t="shared" si="13"/>
        <v>3.3407572383073528E-3</v>
      </c>
      <c r="J245">
        <f t="shared" si="14"/>
        <v>1.0651237178139777E-7</v>
      </c>
      <c r="K245">
        <f t="shared" si="16"/>
        <v>0.10651237178139777</v>
      </c>
      <c r="L245">
        <v>899.4706625</v>
      </c>
      <c r="M245">
        <f t="shared" si="15"/>
        <v>9.5804753610660154E-3</v>
      </c>
      <c r="N245">
        <v>22.132000000000001</v>
      </c>
    </row>
    <row r="246" spans="1:14" x14ac:dyDescent="0.35">
      <c r="A246" t="s">
        <v>37</v>
      </c>
      <c r="B246" s="2">
        <v>44800</v>
      </c>
      <c r="C246" s="3">
        <v>0.89583333333333337</v>
      </c>
      <c r="D246" t="s">
        <v>46</v>
      </c>
      <c r="E246" t="s">
        <v>64</v>
      </c>
      <c r="F246" s="1" t="s">
        <v>38</v>
      </c>
      <c r="G246">
        <v>0.89700000000000002</v>
      </c>
      <c r="H246">
        <v>0.90100000000000002</v>
      </c>
      <c r="I246">
        <f t="shared" si="13"/>
        <v>4.4593088071348983E-3</v>
      </c>
      <c r="J246">
        <f t="shared" si="14"/>
        <v>1.5198310516492499E-7</v>
      </c>
      <c r="K246">
        <f t="shared" si="16"/>
        <v>0.151983105164925</v>
      </c>
      <c r="L246">
        <v>899.4706625</v>
      </c>
      <c r="M246">
        <f t="shared" si="15"/>
        <v>1.3670434429150226E-2</v>
      </c>
      <c r="N246">
        <v>21.936800000000002</v>
      </c>
    </row>
    <row r="247" spans="1:14" x14ac:dyDescent="0.35">
      <c r="A247" t="s">
        <v>37</v>
      </c>
      <c r="B247" s="2">
        <v>44800</v>
      </c>
      <c r="C247" s="3">
        <v>0.91666666666666663</v>
      </c>
      <c r="D247" t="s">
        <v>46</v>
      </c>
      <c r="E247" t="s">
        <v>64</v>
      </c>
      <c r="F247" s="1" t="s">
        <v>38</v>
      </c>
      <c r="G247">
        <v>0.89600000000000002</v>
      </c>
      <c r="H247">
        <v>0.90100000000000002</v>
      </c>
      <c r="I247">
        <f t="shared" si="13"/>
        <v>5.5803571428571473E-3</v>
      </c>
      <c r="J247">
        <f t="shared" si="14"/>
        <v>2.0030319506208591E-7</v>
      </c>
      <c r="K247">
        <f t="shared" si="16"/>
        <v>0.20030319506208591</v>
      </c>
      <c r="L247">
        <v>899.4706625</v>
      </c>
      <c r="M247">
        <f t="shared" si="15"/>
        <v>1.8016684756336113E-2</v>
      </c>
      <c r="N247">
        <v>21.610299999999999</v>
      </c>
    </row>
    <row r="248" spans="1:14" x14ac:dyDescent="0.35">
      <c r="A248" t="s">
        <v>37</v>
      </c>
      <c r="B248" s="2">
        <v>44800</v>
      </c>
      <c r="C248" s="3">
        <v>0.9375</v>
      </c>
      <c r="D248" t="s">
        <v>46</v>
      </c>
      <c r="E248" t="s">
        <v>64</v>
      </c>
      <c r="F248" s="1" t="s">
        <v>38</v>
      </c>
      <c r="G248">
        <v>0.89500000000000002</v>
      </c>
      <c r="H248">
        <v>0.90100000000000002</v>
      </c>
      <c r="I248">
        <f t="shared" si="13"/>
        <v>6.7039106145251456E-3</v>
      </c>
      <c r="J248">
        <f t="shared" si="14"/>
        <v>2.5104813195302351E-7</v>
      </c>
      <c r="K248">
        <f t="shared" si="16"/>
        <v>0.2510481319530235</v>
      </c>
      <c r="L248">
        <v>899.4706625</v>
      </c>
      <c r="M248">
        <f t="shared" si="15"/>
        <v>2.2581042956717347E-2</v>
      </c>
      <c r="N248">
        <v>21.201899999999998</v>
      </c>
    </row>
    <row r="249" spans="1:14" x14ac:dyDescent="0.35">
      <c r="A249" t="s">
        <v>37</v>
      </c>
      <c r="B249" s="2">
        <v>44800</v>
      </c>
      <c r="C249" s="3">
        <v>0.95833333333333337</v>
      </c>
      <c r="D249" t="s">
        <v>46</v>
      </c>
      <c r="E249" t="s">
        <v>64</v>
      </c>
      <c r="F249" s="1" t="s">
        <v>38</v>
      </c>
      <c r="G249">
        <v>0.89600000000000002</v>
      </c>
      <c r="H249">
        <v>0.90100000000000002</v>
      </c>
      <c r="I249">
        <f t="shared" si="13"/>
        <v>5.5803571428571473E-3</v>
      </c>
      <c r="J249">
        <f t="shared" si="14"/>
        <v>2.0030319506208591E-7</v>
      </c>
      <c r="K249">
        <f t="shared" si="16"/>
        <v>0.20030319506208591</v>
      </c>
      <c r="L249">
        <v>899.4706625</v>
      </c>
      <c r="M249">
        <f t="shared" si="15"/>
        <v>1.8016684756336113E-2</v>
      </c>
      <c r="N249">
        <v>20.816600000000001</v>
      </c>
    </row>
    <row r="250" spans="1:14" x14ac:dyDescent="0.35">
      <c r="A250" t="s">
        <v>37</v>
      </c>
      <c r="B250" s="2">
        <v>44800</v>
      </c>
      <c r="C250" s="3">
        <v>0.97916666666666663</v>
      </c>
      <c r="D250" t="s">
        <v>46</v>
      </c>
      <c r="E250" t="s">
        <v>64</v>
      </c>
      <c r="F250" s="1" t="s">
        <v>38</v>
      </c>
      <c r="G250">
        <v>0.89600000000000002</v>
      </c>
      <c r="H250">
        <v>0.90100000000000002</v>
      </c>
      <c r="I250">
        <f t="shared" si="13"/>
        <v>5.5803571428571473E-3</v>
      </c>
      <c r="J250">
        <f t="shared" si="14"/>
        <v>2.0030319506208591E-7</v>
      </c>
      <c r="K250">
        <f t="shared" si="16"/>
        <v>0.20030319506208591</v>
      </c>
      <c r="L250">
        <v>899.4706625</v>
      </c>
      <c r="M250">
        <f t="shared" si="15"/>
        <v>1.8016684756336113E-2</v>
      </c>
      <c r="N250">
        <v>20.130299999999998</v>
      </c>
    </row>
    <row r="251" spans="1:14" x14ac:dyDescent="0.35">
      <c r="A251" t="s">
        <v>37</v>
      </c>
      <c r="B251" s="1">
        <v>44800</v>
      </c>
      <c r="C251" s="3">
        <v>0</v>
      </c>
      <c r="D251" t="s">
        <v>39</v>
      </c>
      <c r="E251" t="s">
        <v>17</v>
      </c>
      <c r="F251" s="1" t="s">
        <v>38</v>
      </c>
      <c r="G251">
        <v>0.69</v>
      </c>
      <c r="H251">
        <f>MAX(G251:G298)</f>
        <v>0.71199999999999997</v>
      </c>
      <c r="I251">
        <f t="shared" si="13"/>
        <v>3.1884057971014526E-2</v>
      </c>
      <c r="J251">
        <f t="shared" si="14"/>
        <v>1.7117725225701494E-6</v>
      </c>
      <c r="K251">
        <f t="shared" si="16"/>
        <v>1.7117725225701494</v>
      </c>
      <c r="L251">
        <v>1252.5483746250002</v>
      </c>
      <c r="M251">
        <f t="shared" si="15"/>
        <v>0.21440778908729771</v>
      </c>
      <c r="N251">
        <v>20.112200000000001</v>
      </c>
    </row>
    <row r="252" spans="1:14" x14ac:dyDescent="0.35">
      <c r="A252" t="s">
        <v>37</v>
      </c>
      <c r="B252" s="2">
        <v>44800</v>
      </c>
      <c r="C252" s="3">
        <v>2.0833333333333332E-2</v>
      </c>
      <c r="D252" t="s">
        <v>39</v>
      </c>
      <c r="E252" t="s">
        <v>17</v>
      </c>
      <c r="F252" s="1" t="s">
        <v>38</v>
      </c>
      <c r="G252">
        <v>0.69</v>
      </c>
      <c r="H252">
        <v>0.71199999999999997</v>
      </c>
      <c r="I252">
        <f t="shared" si="13"/>
        <v>3.1884057971014526E-2</v>
      </c>
      <c r="J252">
        <f t="shared" si="14"/>
        <v>1.7117725225701494E-6</v>
      </c>
      <c r="K252">
        <f t="shared" si="16"/>
        <v>1.7117725225701494</v>
      </c>
      <c r="L252">
        <v>1252.5483746250002</v>
      </c>
      <c r="M252">
        <f t="shared" si="15"/>
        <v>0.21440778908729771</v>
      </c>
      <c r="N252">
        <v>19.898800000000001</v>
      </c>
    </row>
    <row r="253" spans="1:14" x14ac:dyDescent="0.35">
      <c r="A253" t="s">
        <v>37</v>
      </c>
      <c r="B253" s="2">
        <v>44800</v>
      </c>
      <c r="C253" s="3">
        <v>4.1666666666666664E-2</v>
      </c>
      <c r="D253" t="s">
        <v>39</v>
      </c>
      <c r="E253" t="s">
        <v>17</v>
      </c>
      <c r="F253" s="1" t="s">
        <v>38</v>
      </c>
      <c r="G253">
        <v>0.69099999999999995</v>
      </c>
      <c r="H253">
        <v>0.71199999999999997</v>
      </c>
      <c r="I253">
        <f t="shared" si="13"/>
        <v>3.0390738060781505E-2</v>
      </c>
      <c r="J253">
        <f t="shared" si="14"/>
        <v>1.6136206271569273E-6</v>
      </c>
      <c r="K253">
        <f t="shared" si="16"/>
        <v>1.6136206271569273</v>
      </c>
      <c r="L253">
        <v>1252.5483746250002</v>
      </c>
      <c r="M253">
        <f t="shared" si="15"/>
        <v>0.20211378938067828</v>
      </c>
      <c r="N253">
        <v>19.249500000000001</v>
      </c>
    </row>
    <row r="254" spans="1:14" x14ac:dyDescent="0.35">
      <c r="A254" t="s">
        <v>37</v>
      </c>
      <c r="B254" s="2">
        <v>44800</v>
      </c>
      <c r="C254" s="3">
        <v>6.25E-2</v>
      </c>
      <c r="D254" t="s">
        <v>39</v>
      </c>
      <c r="E254" t="s">
        <v>17</v>
      </c>
      <c r="F254" s="1" t="s">
        <v>38</v>
      </c>
      <c r="G254">
        <v>0.69199999999999995</v>
      </c>
      <c r="H254">
        <v>0.71199999999999997</v>
      </c>
      <c r="I254">
        <f t="shared" si="13"/>
        <v>2.890173410404627E-2</v>
      </c>
      <c r="J254">
        <f t="shared" si="14"/>
        <v>1.5168557555174441E-6</v>
      </c>
      <c r="K254">
        <f t="shared" si="16"/>
        <v>1.516855755517444</v>
      </c>
      <c r="L254">
        <v>1252.5483746250002</v>
      </c>
      <c r="M254">
        <f t="shared" si="15"/>
        <v>0.18999352111139511</v>
      </c>
      <c r="N254">
        <v>17.116900000000001</v>
      </c>
    </row>
    <row r="255" spans="1:14" x14ac:dyDescent="0.35">
      <c r="A255" t="s">
        <v>37</v>
      </c>
      <c r="B255" s="2">
        <v>44800</v>
      </c>
      <c r="C255" s="3">
        <v>8.3333333333333329E-2</v>
      </c>
      <c r="D255" t="s">
        <v>39</v>
      </c>
      <c r="E255" t="s">
        <v>17</v>
      </c>
      <c r="F255" s="1" t="s">
        <v>38</v>
      </c>
      <c r="G255">
        <v>0.69099999999999995</v>
      </c>
      <c r="H255">
        <v>0.71199999999999997</v>
      </c>
      <c r="I255">
        <f t="shared" si="13"/>
        <v>3.0390738060781505E-2</v>
      </c>
      <c r="J255">
        <f t="shared" si="14"/>
        <v>1.6136206271569273E-6</v>
      </c>
      <c r="K255">
        <f t="shared" si="16"/>
        <v>1.6136206271569273</v>
      </c>
      <c r="L255">
        <v>1252.5483746250002</v>
      </c>
      <c r="M255">
        <f t="shared" si="15"/>
        <v>0.20211378938067828</v>
      </c>
      <c r="N255">
        <v>16.752199999999998</v>
      </c>
    </row>
    <row r="256" spans="1:14" x14ac:dyDescent="0.35">
      <c r="A256" t="s">
        <v>37</v>
      </c>
      <c r="B256" s="2">
        <v>44800</v>
      </c>
      <c r="C256" s="3">
        <v>0.10416666666666667</v>
      </c>
      <c r="D256" t="s">
        <v>39</v>
      </c>
      <c r="E256" t="s">
        <v>17</v>
      </c>
      <c r="F256" s="1" t="s">
        <v>38</v>
      </c>
      <c r="G256">
        <v>0.69099999999999995</v>
      </c>
      <c r="H256">
        <v>0.71199999999999997</v>
      </c>
      <c r="I256">
        <f t="shared" si="13"/>
        <v>3.0390738060781505E-2</v>
      </c>
      <c r="J256">
        <f t="shared" si="14"/>
        <v>1.6136206271569273E-6</v>
      </c>
      <c r="K256">
        <f t="shared" si="16"/>
        <v>1.6136206271569273</v>
      </c>
      <c r="L256">
        <v>1252.5483746250002</v>
      </c>
      <c r="M256">
        <f t="shared" si="15"/>
        <v>0.20211378938067828</v>
      </c>
      <c r="N256">
        <v>16.4085</v>
      </c>
    </row>
    <row r="257" spans="1:14" x14ac:dyDescent="0.35">
      <c r="A257" t="s">
        <v>37</v>
      </c>
      <c r="B257" s="2">
        <v>44800</v>
      </c>
      <c r="C257" s="3">
        <v>0.125</v>
      </c>
      <c r="D257" t="s">
        <v>39</v>
      </c>
      <c r="E257" t="s">
        <v>17</v>
      </c>
      <c r="F257" s="1" t="s">
        <v>38</v>
      </c>
      <c r="G257">
        <v>0.69199999999999995</v>
      </c>
      <c r="H257">
        <v>0.71199999999999997</v>
      </c>
      <c r="I257">
        <f t="shared" si="13"/>
        <v>2.890173410404627E-2</v>
      </c>
      <c r="J257">
        <f t="shared" si="14"/>
        <v>1.5168557555174441E-6</v>
      </c>
      <c r="K257">
        <f t="shared" si="16"/>
        <v>1.516855755517444</v>
      </c>
      <c r="L257">
        <v>1252.5483746250002</v>
      </c>
      <c r="M257">
        <f t="shared" si="15"/>
        <v>0.18999352111139511</v>
      </c>
      <c r="N257">
        <v>17.264900000000001</v>
      </c>
    </row>
    <row r="258" spans="1:14" x14ac:dyDescent="0.35">
      <c r="A258" t="s">
        <v>37</v>
      </c>
      <c r="B258" s="2">
        <v>44800</v>
      </c>
      <c r="C258" s="3">
        <v>0.14583333333333334</v>
      </c>
      <c r="D258" t="s">
        <v>39</v>
      </c>
      <c r="E258" t="s">
        <v>17</v>
      </c>
      <c r="F258" s="1" t="s">
        <v>38</v>
      </c>
      <c r="G258">
        <v>0.69299999999999995</v>
      </c>
      <c r="H258">
        <v>0.71199999999999997</v>
      </c>
      <c r="I258">
        <f t="shared" ref="I258:I321" si="17">(H258-G258)/G258</f>
        <v>2.7417027417027444E-2</v>
      </c>
      <c r="J258">
        <f t="shared" ref="J258:J321" si="18">119*10^-6*(I258^1.231)</f>
        <v>1.4215103703831553E-6</v>
      </c>
      <c r="K258">
        <f t="shared" si="16"/>
        <v>1.4215103703831553</v>
      </c>
      <c r="L258">
        <v>1252.5483746250002</v>
      </c>
      <c r="M258">
        <f t="shared" si="15"/>
        <v>0.17805105039360031</v>
      </c>
      <c r="N258">
        <v>15.769</v>
      </c>
    </row>
    <row r="259" spans="1:14" x14ac:dyDescent="0.35">
      <c r="A259" t="s">
        <v>37</v>
      </c>
      <c r="B259" s="2">
        <v>44800</v>
      </c>
      <c r="C259" s="3">
        <v>0.16666666666666666</v>
      </c>
      <c r="D259" t="s">
        <v>39</v>
      </c>
      <c r="E259" t="s">
        <v>17</v>
      </c>
      <c r="F259" s="1" t="s">
        <v>38</v>
      </c>
      <c r="G259">
        <v>0.69399999999999995</v>
      </c>
      <c r="H259">
        <v>0.71199999999999997</v>
      </c>
      <c r="I259">
        <f t="shared" si="17"/>
        <v>2.5936599423631149E-2</v>
      </c>
      <c r="J259">
        <f t="shared" si="18"/>
        <v>1.3276203693028785E-6</v>
      </c>
      <c r="K259">
        <f t="shared" si="16"/>
        <v>1.3276203693028785</v>
      </c>
      <c r="L259">
        <v>1252.5483746250002</v>
      </c>
      <c r="M259">
        <f t="shared" ref="M259:M322" si="19">K259*(L259/10000)</f>
        <v>0.16629087356893629</v>
      </c>
      <c r="N259">
        <v>16.060199999999998</v>
      </c>
    </row>
    <row r="260" spans="1:14" x14ac:dyDescent="0.35">
      <c r="A260" t="s">
        <v>37</v>
      </c>
      <c r="B260" s="2">
        <v>44800</v>
      </c>
      <c r="C260" s="3">
        <v>0.1875</v>
      </c>
      <c r="D260" t="s">
        <v>39</v>
      </c>
      <c r="E260" t="s">
        <v>17</v>
      </c>
      <c r="F260" s="1" t="s">
        <v>38</v>
      </c>
      <c r="G260">
        <v>0.69399999999999995</v>
      </c>
      <c r="H260">
        <v>0.71199999999999997</v>
      </c>
      <c r="I260">
        <f t="shared" si="17"/>
        <v>2.5936599423631149E-2</v>
      </c>
      <c r="J260">
        <f t="shared" si="18"/>
        <v>1.3276203693028785E-6</v>
      </c>
      <c r="K260">
        <f t="shared" si="16"/>
        <v>1.3276203693028785</v>
      </c>
      <c r="L260">
        <v>1252.5483746250002</v>
      </c>
      <c r="M260">
        <f t="shared" si="19"/>
        <v>0.16629087356893629</v>
      </c>
      <c r="N260">
        <v>15.727600000000001</v>
      </c>
    </row>
    <row r="261" spans="1:14" x14ac:dyDescent="0.35">
      <c r="A261" t="s">
        <v>37</v>
      </c>
      <c r="B261" s="2">
        <v>44800</v>
      </c>
      <c r="C261" s="3">
        <v>0.20833333333333334</v>
      </c>
      <c r="D261" t="s">
        <v>39</v>
      </c>
      <c r="E261" t="s">
        <v>17</v>
      </c>
      <c r="F261" s="1" t="s">
        <v>38</v>
      </c>
      <c r="G261">
        <v>0.69599999999999995</v>
      </c>
      <c r="H261">
        <v>0.71199999999999997</v>
      </c>
      <c r="I261">
        <f t="shared" si="17"/>
        <v>2.2988505747126457E-2</v>
      </c>
      <c r="J261">
        <f t="shared" si="18"/>
        <v>1.1443705848614467E-6</v>
      </c>
      <c r="K261">
        <f t="shared" si="16"/>
        <v>1.1443705848614467</v>
      </c>
      <c r="L261">
        <v>1252.5483746250002</v>
      </c>
      <c r="M261">
        <f t="shared" si="19"/>
        <v>0.14333795160368659</v>
      </c>
      <c r="N261">
        <v>15.0184</v>
      </c>
    </row>
    <row r="262" spans="1:14" x14ac:dyDescent="0.35">
      <c r="A262" t="s">
        <v>37</v>
      </c>
      <c r="B262" s="2">
        <v>44800</v>
      </c>
      <c r="C262" s="3">
        <v>0.22916666666666666</v>
      </c>
      <c r="D262" t="s">
        <v>39</v>
      </c>
      <c r="E262" t="s">
        <v>17</v>
      </c>
      <c r="F262" s="1" t="s">
        <v>38</v>
      </c>
      <c r="G262">
        <v>0.69599999999999995</v>
      </c>
      <c r="H262">
        <v>0.71199999999999997</v>
      </c>
      <c r="I262">
        <f t="shared" si="17"/>
        <v>2.2988505747126457E-2</v>
      </c>
      <c r="J262">
        <f t="shared" si="18"/>
        <v>1.1443705848614467E-6</v>
      </c>
      <c r="K262">
        <f t="shared" si="16"/>
        <v>1.1443705848614467</v>
      </c>
      <c r="L262">
        <v>1252.5483746250002</v>
      </c>
      <c r="M262">
        <f t="shared" si="19"/>
        <v>0.14333795160368659</v>
      </c>
      <c r="N262">
        <v>14.711399999999999</v>
      </c>
    </row>
    <row r="263" spans="1:14" x14ac:dyDescent="0.35">
      <c r="A263" t="s">
        <v>37</v>
      </c>
      <c r="B263" s="2">
        <v>44800</v>
      </c>
      <c r="C263" s="3">
        <v>0.25</v>
      </c>
      <c r="D263" t="s">
        <v>39</v>
      </c>
      <c r="E263" t="s">
        <v>17</v>
      </c>
      <c r="F263" s="1" t="s">
        <v>38</v>
      </c>
      <c r="G263">
        <v>0.69499999999999995</v>
      </c>
      <c r="H263">
        <v>0.71199999999999997</v>
      </c>
      <c r="I263">
        <f t="shared" si="17"/>
        <v>2.4460431654676283E-2</v>
      </c>
      <c r="J263">
        <f t="shared" si="18"/>
        <v>1.2352256151837207E-6</v>
      </c>
      <c r="K263">
        <f t="shared" si="16"/>
        <v>1.2352256151837206</v>
      </c>
      <c r="L263">
        <v>1252.5483746250002</v>
      </c>
      <c r="M263">
        <f t="shared" si="19"/>
        <v>0.15471798365935352</v>
      </c>
      <c r="N263">
        <v>15.889900000000001</v>
      </c>
    </row>
    <row r="264" spans="1:14" x14ac:dyDescent="0.35">
      <c r="A264" t="s">
        <v>37</v>
      </c>
      <c r="B264" s="2">
        <v>44800</v>
      </c>
      <c r="C264" s="3">
        <v>0.27083333333333331</v>
      </c>
      <c r="D264" t="s">
        <v>39</v>
      </c>
      <c r="E264" t="s">
        <v>17</v>
      </c>
      <c r="F264" s="1" t="s">
        <v>38</v>
      </c>
      <c r="G264">
        <v>0.69599999999999995</v>
      </c>
      <c r="H264">
        <v>0.71199999999999997</v>
      </c>
      <c r="I264">
        <f t="shared" si="17"/>
        <v>2.2988505747126457E-2</v>
      </c>
      <c r="J264">
        <f t="shared" si="18"/>
        <v>1.1443705848614467E-6</v>
      </c>
      <c r="K264">
        <f t="shared" si="16"/>
        <v>1.1443705848614467</v>
      </c>
      <c r="L264">
        <v>1252.5483746250002</v>
      </c>
      <c r="M264">
        <f t="shared" si="19"/>
        <v>0.14333795160368659</v>
      </c>
      <c r="N264">
        <v>16.3066</v>
      </c>
    </row>
    <row r="265" spans="1:14" x14ac:dyDescent="0.35">
      <c r="A265" t="s">
        <v>37</v>
      </c>
      <c r="B265" s="2">
        <v>44800</v>
      </c>
      <c r="C265" s="3">
        <v>0.29166666666666669</v>
      </c>
      <c r="D265" t="s">
        <v>39</v>
      </c>
      <c r="E265" t="s">
        <v>17</v>
      </c>
      <c r="F265" s="1" t="s">
        <v>38</v>
      </c>
      <c r="G265">
        <v>0.69499999999999995</v>
      </c>
      <c r="H265">
        <v>0.71199999999999997</v>
      </c>
      <c r="I265">
        <f t="shared" si="17"/>
        <v>2.4460431654676283E-2</v>
      </c>
      <c r="J265">
        <f t="shared" si="18"/>
        <v>1.2352256151837207E-6</v>
      </c>
      <c r="K265">
        <f t="shared" si="16"/>
        <v>1.2352256151837206</v>
      </c>
      <c r="L265">
        <v>1252.5483746250002</v>
      </c>
      <c r="M265">
        <f t="shared" si="19"/>
        <v>0.15471798365935352</v>
      </c>
      <c r="N265">
        <v>17.531300000000002</v>
      </c>
    </row>
    <row r="266" spans="1:14" x14ac:dyDescent="0.35">
      <c r="A266" t="s">
        <v>37</v>
      </c>
      <c r="B266" s="2">
        <v>44800</v>
      </c>
      <c r="C266" s="3">
        <v>0.3125</v>
      </c>
      <c r="D266" t="s">
        <v>39</v>
      </c>
      <c r="E266" t="s">
        <v>17</v>
      </c>
      <c r="F266" s="1" t="s">
        <v>38</v>
      </c>
      <c r="G266">
        <v>0.69199999999999995</v>
      </c>
      <c r="H266">
        <v>0.71199999999999997</v>
      </c>
      <c r="I266">
        <f t="shared" si="17"/>
        <v>2.890173410404627E-2</v>
      </c>
      <c r="J266">
        <f t="shared" si="18"/>
        <v>1.5168557555174441E-6</v>
      </c>
      <c r="K266">
        <f t="shared" si="16"/>
        <v>1.516855755517444</v>
      </c>
      <c r="L266">
        <v>1252.5483746250002</v>
      </c>
      <c r="M266">
        <f t="shared" si="19"/>
        <v>0.18999352111139511</v>
      </c>
      <c r="N266">
        <v>18.497699999999998</v>
      </c>
    </row>
    <row r="267" spans="1:14" x14ac:dyDescent="0.35">
      <c r="A267" t="s">
        <v>37</v>
      </c>
      <c r="B267" s="2">
        <v>44800</v>
      </c>
      <c r="C267" s="3">
        <v>0.33333333333333331</v>
      </c>
      <c r="D267" t="s">
        <v>39</v>
      </c>
      <c r="E267" t="s">
        <v>17</v>
      </c>
      <c r="F267" s="1" t="s">
        <v>38</v>
      </c>
      <c r="G267">
        <v>0.67700000000000005</v>
      </c>
      <c r="H267">
        <v>0.71199999999999997</v>
      </c>
      <c r="I267">
        <f t="shared" si="17"/>
        <v>5.1698670605612874E-2</v>
      </c>
      <c r="J267">
        <f t="shared" si="18"/>
        <v>3.1034165572502746E-6</v>
      </c>
      <c r="K267">
        <f t="shared" si="16"/>
        <v>3.1034165572502745</v>
      </c>
      <c r="L267">
        <v>1252.5483746250002</v>
      </c>
      <c r="M267">
        <f t="shared" si="19"/>
        <v>0.38871793645681452</v>
      </c>
      <c r="N267">
        <v>20.640699999999999</v>
      </c>
    </row>
    <row r="268" spans="1:14" x14ac:dyDescent="0.35">
      <c r="A268" t="s">
        <v>37</v>
      </c>
      <c r="B268" s="2">
        <v>44800</v>
      </c>
      <c r="C268" s="3">
        <v>0.35416666666666669</v>
      </c>
      <c r="D268" t="s">
        <v>39</v>
      </c>
      <c r="E268" t="s">
        <v>17</v>
      </c>
      <c r="F268" s="1" t="s">
        <v>38</v>
      </c>
      <c r="G268">
        <v>0.63300000000000001</v>
      </c>
      <c r="H268">
        <v>0.71199999999999997</v>
      </c>
      <c r="I268">
        <f t="shared" si="17"/>
        <v>0.12480252764612948</v>
      </c>
      <c r="J268">
        <f t="shared" si="18"/>
        <v>9.1832824845138417E-6</v>
      </c>
      <c r="K268">
        <f t="shared" si="16"/>
        <v>9.1832824845138425</v>
      </c>
      <c r="L268">
        <v>1252.5483746250002</v>
      </c>
      <c r="M268">
        <f t="shared" si="19"/>
        <v>1.1502505549700046</v>
      </c>
      <c r="N268">
        <v>21.7852</v>
      </c>
    </row>
    <row r="269" spans="1:14" x14ac:dyDescent="0.35">
      <c r="A269" t="s">
        <v>37</v>
      </c>
      <c r="B269" s="2">
        <v>44800</v>
      </c>
      <c r="C269" s="3">
        <v>0.375</v>
      </c>
      <c r="D269" t="s">
        <v>39</v>
      </c>
      <c r="E269" t="s">
        <v>17</v>
      </c>
      <c r="F269" s="1" t="s">
        <v>38</v>
      </c>
      <c r="G269">
        <v>0.55700000000000005</v>
      </c>
      <c r="H269">
        <v>0.71199999999999997</v>
      </c>
      <c r="I269">
        <f t="shared" si="17"/>
        <v>0.27827648114901238</v>
      </c>
      <c r="J269">
        <f t="shared" si="18"/>
        <v>2.4643224675885302E-5</v>
      </c>
      <c r="K269">
        <f t="shared" si="16"/>
        <v>24.643224675885303</v>
      </c>
      <c r="L269">
        <v>1252.5483746250002</v>
      </c>
      <c r="M269">
        <f t="shared" si="19"/>
        <v>3.0866831013298834</v>
      </c>
      <c r="N269">
        <v>23.6355</v>
      </c>
    </row>
    <row r="270" spans="1:14" x14ac:dyDescent="0.35">
      <c r="A270" t="s">
        <v>37</v>
      </c>
      <c r="B270" s="2">
        <v>44800</v>
      </c>
      <c r="C270" s="3">
        <v>0.39583333333333331</v>
      </c>
      <c r="D270" t="s">
        <v>39</v>
      </c>
      <c r="E270" t="s">
        <v>17</v>
      </c>
      <c r="F270" s="1" t="s">
        <v>38</v>
      </c>
      <c r="G270">
        <v>0.47799999999999998</v>
      </c>
      <c r="H270">
        <v>0.71199999999999997</v>
      </c>
      <c r="I270">
        <f t="shared" si="17"/>
        <v>0.4895397489539749</v>
      </c>
      <c r="J270">
        <f t="shared" si="18"/>
        <v>4.9394198321873994E-5</v>
      </c>
      <c r="K270">
        <f t="shared" si="16"/>
        <v>49.394198321873994</v>
      </c>
      <c r="L270">
        <v>1252.5483746250002</v>
      </c>
      <c r="M270">
        <f t="shared" si="19"/>
        <v>6.1868622823968185</v>
      </c>
      <c r="N270">
        <v>25.8127</v>
      </c>
    </row>
    <row r="271" spans="1:14" x14ac:dyDescent="0.35">
      <c r="A271" t="s">
        <v>37</v>
      </c>
      <c r="B271" s="2">
        <v>44800</v>
      </c>
      <c r="C271" s="3">
        <v>0.41666666666666669</v>
      </c>
      <c r="D271" t="s">
        <v>39</v>
      </c>
      <c r="E271" t="s">
        <v>17</v>
      </c>
      <c r="F271" s="1" t="s">
        <v>38</v>
      </c>
      <c r="G271">
        <v>0.42899999999999999</v>
      </c>
      <c r="H271">
        <v>0.71199999999999997</v>
      </c>
      <c r="I271">
        <f t="shared" si="17"/>
        <v>0.65967365967365965</v>
      </c>
      <c r="J271">
        <f t="shared" si="18"/>
        <v>7.1308473046030613E-5</v>
      </c>
      <c r="K271">
        <f t="shared" si="16"/>
        <v>71.308473046030613</v>
      </c>
      <c r="L271">
        <v>1252.5483746250002</v>
      </c>
      <c r="M271">
        <f t="shared" si="19"/>
        <v>8.9317312010796286</v>
      </c>
      <c r="N271">
        <v>27.663900000000002</v>
      </c>
    </row>
    <row r="272" spans="1:14" x14ac:dyDescent="0.35">
      <c r="A272" t="s">
        <v>37</v>
      </c>
      <c r="B272" s="2">
        <v>44800</v>
      </c>
      <c r="C272" s="3">
        <v>0.4375</v>
      </c>
      <c r="D272" t="s">
        <v>39</v>
      </c>
      <c r="E272" t="s">
        <v>17</v>
      </c>
      <c r="F272" s="1" t="s">
        <v>38</v>
      </c>
      <c r="G272">
        <v>0.42299999999999999</v>
      </c>
      <c r="H272">
        <v>0.71199999999999997</v>
      </c>
      <c r="I272">
        <f t="shared" si="17"/>
        <v>0.68321513002364065</v>
      </c>
      <c r="J272">
        <f t="shared" si="18"/>
        <v>7.4453859189111947E-5</v>
      </c>
      <c r="K272">
        <f t="shared" si="16"/>
        <v>74.453859189111952</v>
      </c>
      <c r="L272">
        <v>1252.5483746250002</v>
      </c>
      <c r="M272">
        <f t="shared" si="19"/>
        <v>9.3257060311880817</v>
      </c>
      <c r="N272">
        <v>29.2453</v>
      </c>
    </row>
    <row r="273" spans="1:14" x14ac:dyDescent="0.35">
      <c r="A273" t="s">
        <v>37</v>
      </c>
      <c r="B273" s="2">
        <v>44800</v>
      </c>
      <c r="C273" s="3">
        <v>0.45833333333333331</v>
      </c>
      <c r="D273" t="s">
        <v>39</v>
      </c>
      <c r="E273" t="s">
        <v>17</v>
      </c>
      <c r="F273" s="1" t="s">
        <v>38</v>
      </c>
      <c r="G273">
        <v>0.433</v>
      </c>
      <c r="H273">
        <v>0.71199999999999997</v>
      </c>
      <c r="I273">
        <f t="shared" si="17"/>
        <v>0.6443418013856812</v>
      </c>
      <c r="J273">
        <f t="shared" si="18"/>
        <v>6.9273819745106064E-5</v>
      </c>
      <c r="K273">
        <f t="shared" si="16"/>
        <v>69.273819745106067</v>
      </c>
      <c r="L273">
        <v>1252.5483746250002</v>
      </c>
      <c r="M273">
        <f t="shared" si="19"/>
        <v>8.676881032579784</v>
      </c>
      <c r="N273">
        <v>31.9986</v>
      </c>
    </row>
    <row r="274" spans="1:14" x14ac:dyDescent="0.35">
      <c r="A274" t="s">
        <v>37</v>
      </c>
      <c r="B274" s="2">
        <v>44800</v>
      </c>
      <c r="C274" s="3">
        <v>0.47916666666666669</v>
      </c>
      <c r="D274" t="s">
        <v>39</v>
      </c>
      <c r="E274" t="s">
        <v>17</v>
      </c>
      <c r="F274" s="1" t="s">
        <v>38</v>
      </c>
      <c r="G274">
        <v>0.44</v>
      </c>
      <c r="H274">
        <v>0.71199999999999997</v>
      </c>
      <c r="I274">
        <f t="shared" si="17"/>
        <v>0.61818181818181805</v>
      </c>
      <c r="J274">
        <f t="shared" si="18"/>
        <v>6.5828057149242567E-5</v>
      </c>
      <c r="K274">
        <f t="shared" si="16"/>
        <v>65.828057149242568</v>
      </c>
      <c r="L274">
        <v>1252.5483746250002</v>
      </c>
      <c r="M274">
        <f t="shared" si="19"/>
        <v>8.2452825987005394</v>
      </c>
      <c r="N274">
        <v>31.6327</v>
      </c>
    </row>
    <row r="275" spans="1:14" x14ac:dyDescent="0.35">
      <c r="A275" t="s">
        <v>37</v>
      </c>
      <c r="B275" s="2">
        <v>44800</v>
      </c>
      <c r="C275" s="3">
        <v>0.5</v>
      </c>
      <c r="D275" t="s">
        <v>39</v>
      </c>
      <c r="E275" t="s">
        <v>17</v>
      </c>
      <c r="F275" s="1" t="s">
        <v>38</v>
      </c>
      <c r="G275">
        <v>0.44400000000000001</v>
      </c>
      <c r="H275">
        <v>0.71199999999999997</v>
      </c>
      <c r="I275">
        <f t="shared" si="17"/>
        <v>0.60360360360360354</v>
      </c>
      <c r="J275">
        <f t="shared" si="18"/>
        <v>6.3922309363183348E-5</v>
      </c>
      <c r="K275">
        <f t="shared" si="16"/>
        <v>63.922309363183345</v>
      </c>
      <c r="L275">
        <v>1252.5483746250002</v>
      </c>
      <c r="M275">
        <f t="shared" si="19"/>
        <v>8.0065784695131725</v>
      </c>
      <c r="N275">
        <v>31.8827</v>
      </c>
    </row>
    <row r="276" spans="1:14" x14ac:dyDescent="0.35">
      <c r="A276" t="s">
        <v>37</v>
      </c>
      <c r="B276" s="2">
        <v>44800</v>
      </c>
      <c r="C276" s="3">
        <v>0.52083333333333337</v>
      </c>
      <c r="D276" t="s">
        <v>39</v>
      </c>
      <c r="E276" t="s">
        <v>17</v>
      </c>
      <c r="F276" s="1" t="s">
        <v>38</v>
      </c>
      <c r="G276">
        <v>0.44400000000000001</v>
      </c>
      <c r="H276">
        <v>0.71199999999999997</v>
      </c>
      <c r="I276">
        <f t="shared" si="17"/>
        <v>0.60360360360360354</v>
      </c>
      <c r="J276">
        <f t="shared" si="18"/>
        <v>6.3922309363183348E-5</v>
      </c>
      <c r="K276">
        <f t="shared" si="16"/>
        <v>63.922309363183345</v>
      </c>
      <c r="L276">
        <v>1252.5483746250002</v>
      </c>
      <c r="M276">
        <f t="shared" si="19"/>
        <v>8.0065784695131725</v>
      </c>
      <c r="N276">
        <v>32.619799999999998</v>
      </c>
    </row>
    <row r="277" spans="1:14" x14ac:dyDescent="0.35">
      <c r="A277" t="s">
        <v>37</v>
      </c>
      <c r="B277" s="2">
        <v>44800</v>
      </c>
      <c r="C277" s="3">
        <v>0.54166666666666663</v>
      </c>
      <c r="D277" t="s">
        <v>39</v>
      </c>
      <c r="E277" t="s">
        <v>17</v>
      </c>
      <c r="F277" s="1" t="s">
        <v>38</v>
      </c>
      <c r="G277">
        <v>0.45400000000000001</v>
      </c>
      <c r="H277">
        <v>0.71199999999999997</v>
      </c>
      <c r="I277">
        <f t="shared" si="17"/>
        <v>0.56828193832599105</v>
      </c>
      <c r="J277">
        <f t="shared" si="18"/>
        <v>5.9349226692667259E-5</v>
      </c>
      <c r="K277">
        <f t="shared" si="16"/>
        <v>59.349226692667258</v>
      </c>
      <c r="L277">
        <v>1252.5483746250002</v>
      </c>
      <c r="M277">
        <f t="shared" si="19"/>
        <v>7.4337777429151046</v>
      </c>
      <c r="N277">
        <v>29.2163</v>
      </c>
    </row>
    <row r="278" spans="1:14" x14ac:dyDescent="0.35">
      <c r="A278" t="s">
        <v>37</v>
      </c>
      <c r="B278" s="2">
        <v>44800</v>
      </c>
      <c r="C278" s="3">
        <v>0.5625</v>
      </c>
      <c r="D278" t="s">
        <v>39</v>
      </c>
      <c r="E278" t="s">
        <v>17</v>
      </c>
      <c r="F278" s="1" t="s">
        <v>38</v>
      </c>
      <c r="G278">
        <v>0.47799999999999998</v>
      </c>
      <c r="H278">
        <v>0.71199999999999997</v>
      </c>
      <c r="I278">
        <f t="shared" si="17"/>
        <v>0.4895397489539749</v>
      </c>
      <c r="J278">
        <f t="shared" si="18"/>
        <v>4.9394198321873994E-5</v>
      </c>
      <c r="K278">
        <f t="shared" si="16"/>
        <v>49.394198321873994</v>
      </c>
      <c r="L278">
        <v>1252.5483746250002</v>
      </c>
      <c r="M278">
        <f t="shared" si="19"/>
        <v>6.1868622823968185</v>
      </c>
      <c r="N278">
        <v>30.803799999999999</v>
      </c>
    </row>
    <row r="279" spans="1:14" x14ac:dyDescent="0.35">
      <c r="A279" t="s">
        <v>37</v>
      </c>
      <c r="B279" s="2">
        <v>44800</v>
      </c>
      <c r="C279" s="3">
        <v>0.58333333333333337</v>
      </c>
      <c r="D279" t="s">
        <v>39</v>
      </c>
      <c r="E279" t="s">
        <v>17</v>
      </c>
      <c r="F279" s="1" t="s">
        <v>38</v>
      </c>
      <c r="G279">
        <v>0.49299999999999999</v>
      </c>
      <c r="H279">
        <v>0.71199999999999997</v>
      </c>
      <c r="I279">
        <f t="shared" si="17"/>
        <v>0.4442190669371196</v>
      </c>
      <c r="J279">
        <f t="shared" si="18"/>
        <v>4.3826734122146072E-5</v>
      </c>
      <c r="K279">
        <f t="shared" si="16"/>
        <v>43.826734122146071</v>
      </c>
      <c r="L279">
        <v>1252.5483746250002</v>
      </c>
      <c r="M279">
        <f t="shared" si="19"/>
        <v>5.4895104589816093</v>
      </c>
      <c r="N279">
        <v>30.016100000000002</v>
      </c>
    </row>
    <row r="280" spans="1:14" x14ac:dyDescent="0.35">
      <c r="A280" t="s">
        <v>37</v>
      </c>
      <c r="B280" s="2">
        <v>44800</v>
      </c>
      <c r="C280" s="3">
        <v>0.60416666666666663</v>
      </c>
      <c r="D280" t="s">
        <v>39</v>
      </c>
      <c r="E280" t="s">
        <v>17</v>
      </c>
      <c r="F280" s="1" t="s">
        <v>38</v>
      </c>
      <c r="G280">
        <v>0.48199999999999998</v>
      </c>
      <c r="H280">
        <v>0.71199999999999997</v>
      </c>
      <c r="I280">
        <f t="shared" si="17"/>
        <v>0.47717842323651449</v>
      </c>
      <c r="J280">
        <f t="shared" si="18"/>
        <v>4.7863342444670987E-5</v>
      </c>
      <c r="K280">
        <f t="shared" si="16"/>
        <v>47.863342444670984</v>
      </c>
      <c r="L280">
        <v>1252.5483746250002</v>
      </c>
      <c r="M280">
        <f t="shared" si="19"/>
        <v>5.9951151783192422</v>
      </c>
      <c r="N280">
        <v>31.1188</v>
      </c>
    </row>
    <row r="281" spans="1:14" x14ac:dyDescent="0.35">
      <c r="A281" t="s">
        <v>37</v>
      </c>
      <c r="B281" s="2">
        <v>44800</v>
      </c>
      <c r="C281" s="3">
        <v>0.625</v>
      </c>
      <c r="D281" t="s">
        <v>39</v>
      </c>
      <c r="E281" t="s">
        <v>17</v>
      </c>
      <c r="F281" s="1" t="s">
        <v>38</v>
      </c>
      <c r="G281">
        <v>0.47</v>
      </c>
      <c r="H281">
        <v>0.71199999999999997</v>
      </c>
      <c r="I281">
        <f t="shared" si="17"/>
        <v>0.51489361702127656</v>
      </c>
      <c r="J281">
        <f t="shared" si="18"/>
        <v>5.2561919140093823E-5</v>
      </c>
      <c r="K281">
        <f t="shared" si="16"/>
        <v>52.561919140093821</v>
      </c>
      <c r="L281">
        <v>1252.5483746250002</v>
      </c>
      <c r="M281">
        <f t="shared" si="19"/>
        <v>6.5836346386095199</v>
      </c>
      <c r="N281">
        <v>33.7301</v>
      </c>
    </row>
    <row r="282" spans="1:14" x14ac:dyDescent="0.35">
      <c r="A282" t="s">
        <v>37</v>
      </c>
      <c r="B282" s="2">
        <v>44800</v>
      </c>
      <c r="C282" s="3">
        <v>0.64583333333333337</v>
      </c>
      <c r="D282" t="s">
        <v>39</v>
      </c>
      <c r="E282" t="s">
        <v>17</v>
      </c>
      <c r="F282" s="1" t="s">
        <v>38</v>
      </c>
      <c r="G282">
        <v>0.46899999999999997</v>
      </c>
      <c r="H282">
        <v>0.71199999999999997</v>
      </c>
      <c r="I282">
        <f t="shared" si="17"/>
        <v>0.51812366737739879</v>
      </c>
      <c r="J282">
        <f t="shared" si="18"/>
        <v>5.2968114637909949E-5</v>
      </c>
      <c r="K282">
        <f t="shared" si="16"/>
        <v>52.968114637909949</v>
      </c>
      <c r="L282">
        <v>1252.5483746250002</v>
      </c>
      <c r="M282">
        <f t="shared" si="19"/>
        <v>6.6345125896664783</v>
      </c>
      <c r="N282">
        <v>32.391100000000002</v>
      </c>
    </row>
    <row r="283" spans="1:14" x14ac:dyDescent="0.35">
      <c r="A283" t="s">
        <v>37</v>
      </c>
      <c r="B283" s="2">
        <v>44800</v>
      </c>
      <c r="C283" s="3">
        <v>0.66666666666666663</v>
      </c>
      <c r="D283" t="s">
        <v>39</v>
      </c>
      <c r="E283" t="s">
        <v>17</v>
      </c>
      <c r="F283" s="1" t="s">
        <v>38</v>
      </c>
      <c r="G283">
        <v>0.47599999999999998</v>
      </c>
      <c r="H283">
        <v>0.71199999999999997</v>
      </c>
      <c r="I283">
        <f t="shared" si="17"/>
        <v>0.49579831932773111</v>
      </c>
      <c r="J283">
        <f t="shared" si="18"/>
        <v>5.0172700625602138E-5</v>
      </c>
      <c r="K283">
        <f t="shared" si="16"/>
        <v>50.17270062560214</v>
      </c>
      <c r="L283">
        <v>1252.5483746250002</v>
      </c>
      <c r="M283">
        <f t="shared" si="19"/>
        <v>6.2843734619144689</v>
      </c>
      <c r="N283">
        <v>28.613099999999999</v>
      </c>
    </row>
    <row r="284" spans="1:14" x14ac:dyDescent="0.35">
      <c r="A284" t="s">
        <v>37</v>
      </c>
      <c r="B284" s="2">
        <v>44800</v>
      </c>
      <c r="C284" s="3">
        <v>0.6875</v>
      </c>
      <c r="D284" t="s">
        <v>39</v>
      </c>
      <c r="E284" t="s">
        <v>17</v>
      </c>
      <c r="F284" s="1" t="s">
        <v>38</v>
      </c>
      <c r="G284">
        <v>0.51100000000000001</v>
      </c>
      <c r="H284">
        <v>0.71199999999999997</v>
      </c>
      <c r="I284">
        <f t="shared" si="17"/>
        <v>0.39334637964774943</v>
      </c>
      <c r="J284">
        <f t="shared" si="18"/>
        <v>3.7732465185749307E-5</v>
      </c>
      <c r="K284">
        <f t="shared" si="16"/>
        <v>37.732465185749305</v>
      </c>
      <c r="L284">
        <v>1252.5483746250002</v>
      </c>
      <c r="M284">
        <f t="shared" si="19"/>
        <v>4.72617379390047</v>
      </c>
      <c r="N284">
        <v>29.746700000000001</v>
      </c>
    </row>
    <row r="285" spans="1:14" x14ac:dyDescent="0.35">
      <c r="A285" t="s">
        <v>37</v>
      </c>
      <c r="B285" s="2">
        <v>44800</v>
      </c>
      <c r="C285" s="3">
        <v>0.70833333333333337</v>
      </c>
      <c r="D285" t="s">
        <v>39</v>
      </c>
      <c r="E285" t="s">
        <v>17</v>
      </c>
      <c r="F285" s="1" t="s">
        <v>38</v>
      </c>
      <c r="G285">
        <v>0.53400000000000003</v>
      </c>
      <c r="H285">
        <v>0.71199999999999997</v>
      </c>
      <c r="I285">
        <f t="shared" si="17"/>
        <v>0.3333333333333332</v>
      </c>
      <c r="J285">
        <f t="shared" si="18"/>
        <v>3.0775895371352015E-5</v>
      </c>
      <c r="K285">
        <f t="shared" si="16"/>
        <v>30.775895371352014</v>
      </c>
      <c r="L285">
        <v>1252.5483746250002</v>
      </c>
      <c r="M285">
        <f t="shared" si="19"/>
        <v>3.8548297725016032</v>
      </c>
      <c r="N285">
        <v>26.706800000000001</v>
      </c>
    </row>
    <row r="286" spans="1:14" x14ac:dyDescent="0.35">
      <c r="A286" t="s">
        <v>37</v>
      </c>
      <c r="B286" s="2">
        <v>44800</v>
      </c>
      <c r="C286" s="3">
        <v>0.72916666666666663</v>
      </c>
      <c r="D286" t="s">
        <v>39</v>
      </c>
      <c r="E286" t="s">
        <v>17</v>
      </c>
      <c r="F286" s="1" t="s">
        <v>38</v>
      </c>
      <c r="G286">
        <v>0.56100000000000005</v>
      </c>
      <c r="H286">
        <v>0.71199999999999997</v>
      </c>
      <c r="I286">
        <f t="shared" si="17"/>
        <v>0.26916221033868076</v>
      </c>
      <c r="J286">
        <f t="shared" si="18"/>
        <v>2.3653439494439694E-5</v>
      </c>
      <c r="K286">
        <f t="shared" si="16"/>
        <v>23.653439494439695</v>
      </c>
      <c r="L286">
        <v>1252.5483746250002</v>
      </c>
      <c r="M286">
        <f t="shared" si="19"/>
        <v>2.9627077193051226</v>
      </c>
      <c r="N286">
        <v>24.7545</v>
      </c>
    </row>
    <row r="287" spans="1:14" x14ac:dyDescent="0.35">
      <c r="A287" t="s">
        <v>37</v>
      </c>
      <c r="B287" s="2">
        <v>44800</v>
      </c>
      <c r="C287" s="3">
        <v>0.75</v>
      </c>
      <c r="D287" t="s">
        <v>39</v>
      </c>
      <c r="E287" t="s">
        <v>17</v>
      </c>
      <c r="F287" s="1" t="s">
        <v>38</v>
      </c>
      <c r="G287">
        <v>0.59</v>
      </c>
      <c r="H287">
        <v>0.71199999999999997</v>
      </c>
      <c r="I287">
        <f t="shared" si="17"/>
        <v>0.20677966101694917</v>
      </c>
      <c r="J287">
        <f t="shared" si="18"/>
        <v>1.7097676143873657E-5</v>
      </c>
      <c r="K287">
        <f t="shared" si="16"/>
        <v>17.097676143873656</v>
      </c>
      <c r="L287">
        <v>1252.5483746250002</v>
      </c>
      <c r="M287">
        <f t="shared" si="19"/>
        <v>2.1415666463873588</v>
      </c>
      <c r="N287">
        <v>21.6553</v>
      </c>
    </row>
    <row r="288" spans="1:14" x14ac:dyDescent="0.35">
      <c r="A288" t="s">
        <v>37</v>
      </c>
      <c r="B288" s="2">
        <v>44800</v>
      </c>
      <c r="C288" s="3">
        <v>0.77083333333333337</v>
      </c>
      <c r="D288" t="s">
        <v>39</v>
      </c>
      <c r="E288" t="s">
        <v>17</v>
      </c>
      <c r="F288" s="1" t="s">
        <v>38</v>
      </c>
      <c r="G288">
        <v>0.624</v>
      </c>
      <c r="H288">
        <v>0.71199999999999997</v>
      </c>
      <c r="I288">
        <f t="shared" si="17"/>
        <v>0.14102564102564097</v>
      </c>
      <c r="J288">
        <f t="shared" si="18"/>
        <v>1.0674140154379386E-5</v>
      </c>
      <c r="K288">
        <f t="shared" si="16"/>
        <v>10.674140154379385</v>
      </c>
      <c r="L288">
        <v>1252.5483746250002</v>
      </c>
      <c r="M288">
        <f t="shared" si="19"/>
        <v>1.3369876900887347</v>
      </c>
      <c r="N288">
        <v>21.886700000000001</v>
      </c>
    </row>
    <row r="289" spans="1:14" x14ac:dyDescent="0.35">
      <c r="A289" t="s">
        <v>37</v>
      </c>
      <c r="B289" s="2">
        <v>44800</v>
      </c>
      <c r="C289" s="3">
        <v>0.79166666666666663</v>
      </c>
      <c r="D289" t="s">
        <v>39</v>
      </c>
      <c r="E289" t="s">
        <v>17</v>
      </c>
      <c r="F289" s="1" t="s">
        <v>38</v>
      </c>
      <c r="G289">
        <v>0.65400000000000003</v>
      </c>
      <c r="H289">
        <v>0.71199999999999997</v>
      </c>
      <c r="I289">
        <f t="shared" si="17"/>
        <v>8.8685015290519781E-2</v>
      </c>
      <c r="J289">
        <f t="shared" si="18"/>
        <v>6.0304623903564444E-6</v>
      </c>
      <c r="K289">
        <f t="shared" si="16"/>
        <v>6.030462390356444</v>
      </c>
      <c r="L289">
        <v>1252.5483746250002</v>
      </c>
      <c r="M289">
        <f t="shared" si="19"/>
        <v>0.75534458652781578</v>
      </c>
      <c r="N289">
        <v>21.135999999999999</v>
      </c>
    </row>
    <row r="290" spans="1:14" x14ac:dyDescent="0.35">
      <c r="A290" t="s">
        <v>37</v>
      </c>
      <c r="B290" s="2">
        <v>44800</v>
      </c>
      <c r="C290" s="3">
        <v>0.8125</v>
      </c>
      <c r="D290" t="s">
        <v>39</v>
      </c>
      <c r="E290" t="s">
        <v>17</v>
      </c>
      <c r="F290" s="1" t="s">
        <v>38</v>
      </c>
      <c r="G290">
        <v>0.67500000000000004</v>
      </c>
      <c r="H290">
        <v>0.71199999999999997</v>
      </c>
      <c r="I290">
        <f t="shared" si="17"/>
        <v>5.4814814814814698E-2</v>
      </c>
      <c r="J290">
        <f t="shared" si="18"/>
        <v>3.3352649487430821E-6</v>
      </c>
      <c r="K290">
        <f t="shared" si="16"/>
        <v>3.3352649487430819</v>
      </c>
      <c r="L290">
        <v>1252.5483746250002</v>
      </c>
      <c r="M290">
        <f t="shared" si="19"/>
        <v>0.41775806904918816</v>
      </c>
      <c r="N290">
        <v>22.610600000000002</v>
      </c>
    </row>
    <row r="291" spans="1:14" x14ac:dyDescent="0.35">
      <c r="A291" t="s">
        <v>37</v>
      </c>
      <c r="B291" s="2">
        <v>44800</v>
      </c>
      <c r="C291" s="3">
        <v>0.83333333333333337</v>
      </c>
      <c r="D291" t="s">
        <v>39</v>
      </c>
      <c r="E291" t="s">
        <v>17</v>
      </c>
      <c r="F291" s="1" t="s">
        <v>38</v>
      </c>
      <c r="G291">
        <v>0.69</v>
      </c>
      <c r="H291">
        <v>0.71199999999999997</v>
      </c>
      <c r="I291">
        <f t="shared" si="17"/>
        <v>3.1884057971014526E-2</v>
      </c>
      <c r="J291">
        <f t="shared" si="18"/>
        <v>1.7117725225701494E-6</v>
      </c>
      <c r="K291">
        <f t="shared" si="16"/>
        <v>1.7117725225701494</v>
      </c>
      <c r="L291">
        <v>1252.5483746250002</v>
      </c>
      <c r="M291">
        <f t="shared" si="19"/>
        <v>0.21440778908729771</v>
      </c>
      <c r="N291">
        <v>22.5307</v>
      </c>
    </row>
    <row r="292" spans="1:14" x14ac:dyDescent="0.35">
      <c r="A292" t="s">
        <v>37</v>
      </c>
      <c r="B292" s="2">
        <v>44800</v>
      </c>
      <c r="C292" s="3">
        <v>0.85416666666666663</v>
      </c>
      <c r="D292" t="s">
        <v>39</v>
      </c>
      <c r="E292" t="s">
        <v>17</v>
      </c>
      <c r="F292" s="1" t="s">
        <v>38</v>
      </c>
      <c r="G292">
        <v>0.7</v>
      </c>
      <c r="H292">
        <v>0.71199999999999997</v>
      </c>
      <c r="I292">
        <f t="shared" si="17"/>
        <v>1.7142857142857158E-2</v>
      </c>
      <c r="J292">
        <f t="shared" si="18"/>
        <v>7.9744986345703485E-7</v>
      </c>
      <c r="K292">
        <f t="shared" si="16"/>
        <v>0.79744986345703484</v>
      </c>
      <c r="L292">
        <v>1252.5483746250002</v>
      </c>
      <c r="M292">
        <f t="shared" si="19"/>
        <v>9.9884453031803724E-2</v>
      </c>
      <c r="N292">
        <v>22.331499999999998</v>
      </c>
    </row>
    <row r="293" spans="1:14" x14ac:dyDescent="0.35">
      <c r="A293" t="s">
        <v>37</v>
      </c>
      <c r="B293" s="2">
        <v>44800</v>
      </c>
      <c r="C293" s="3">
        <v>0.875</v>
      </c>
      <c r="D293" t="s">
        <v>39</v>
      </c>
      <c r="E293" t="s">
        <v>17</v>
      </c>
      <c r="F293" s="1" t="s">
        <v>38</v>
      </c>
      <c r="G293">
        <v>0.70599999999999996</v>
      </c>
      <c r="H293">
        <v>0.71199999999999997</v>
      </c>
      <c r="I293">
        <f t="shared" si="17"/>
        <v>8.4985835694051069E-3</v>
      </c>
      <c r="J293">
        <f t="shared" si="18"/>
        <v>3.3618053471285987E-7</v>
      </c>
      <c r="K293">
        <f t="shared" si="16"/>
        <v>0.33618053471285986</v>
      </c>
      <c r="L293">
        <v>1252.5483746250002</v>
      </c>
      <c r="M293">
        <f t="shared" si="19"/>
        <v>4.2108238233515609E-2</v>
      </c>
      <c r="N293">
        <v>22.132000000000001</v>
      </c>
    </row>
    <row r="294" spans="1:14" x14ac:dyDescent="0.35">
      <c r="A294" t="s">
        <v>37</v>
      </c>
      <c r="B294" s="2">
        <v>44800</v>
      </c>
      <c r="C294" s="3">
        <v>0.89583333333333337</v>
      </c>
      <c r="D294" t="s">
        <v>39</v>
      </c>
      <c r="E294" t="s">
        <v>17</v>
      </c>
      <c r="F294" s="1" t="s">
        <v>38</v>
      </c>
      <c r="G294">
        <v>0.70899999999999996</v>
      </c>
      <c r="H294">
        <v>0.71199999999999997</v>
      </c>
      <c r="I294">
        <f t="shared" si="17"/>
        <v>4.2313117066290588E-3</v>
      </c>
      <c r="J294">
        <f t="shared" si="18"/>
        <v>1.4247468663541527E-7</v>
      </c>
      <c r="K294">
        <f t="shared" si="16"/>
        <v>0.14247468663541527</v>
      </c>
      <c r="L294">
        <v>1252.5483746250002</v>
      </c>
      <c r="M294">
        <f t="shared" si="19"/>
        <v>1.7845643717039561E-2</v>
      </c>
      <c r="N294">
        <v>21.936800000000002</v>
      </c>
    </row>
    <row r="295" spans="1:14" x14ac:dyDescent="0.35">
      <c r="A295" t="s">
        <v>37</v>
      </c>
      <c r="B295" s="2">
        <v>44800</v>
      </c>
      <c r="C295" s="3">
        <v>0.91666666666666663</v>
      </c>
      <c r="D295" t="s">
        <v>39</v>
      </c>
      <c r="E295" t="s">
        <v>17</v>
      </c>
      <c r="F295" s="1" t="s">
        <v>38</v>
      </c>
      <c r="G295">
        <v>0.71099999999999997</v>
      </c>
      <c r="H295">
        <v>0.71199999999999997</v>
      </c>
      <c r="I295">
        <f t="shared" si="17"/>
        <v>1.406469760900142E-3</v>
      </c>
      <c r="J295">
        <f t="shared" si="18"/>
        <v>3.6719392114743423E-8</v>
      </c>
      <c r="K295">
        <f t="shared" si="16"/>
        <v>3.671939211474342E-2</v>
      </c>
      <c r="L295">
        <v>1252.5483746250002</v>
      </c>
      <c r="M295">
        <f t="shared" si="19"/>
        <v>4.5992814910539919E-3</v>
      </c>
      <c r="N295">
        <v>21.610299999999999</v>
      </c>
    </row>
    <row r="296" spans="1:14" x14ac:dyDescent="0.35">
      <c r="A296" t="s">
        <v>37</v>
      </c>
      <c r="B296" s="2">
        <v>44800</v>
      </c>
      <c r="C296" s="3">
        <v>0.9375</v>
      </c>
      <c r="D296" t="s">
        <v>39</v>
      </c>
      <c r="E296" t="s">
        <v>17</v>
      </c>
      <c r="F296" s="1" t="s">
        <v>38</v>
      </c>
      <c r="G296">
        <v>0.71099999999999997</v>
      </c>
      <c r="H296">
        <v>0.71199999999999997</v>
      </c>
      <c r="I296">
        <f t="shared" si="17"/>
        <v>1.406469760900142E-3</v>
      </c>
      <c r="J296">
        <f t="shared" si="18"/>
        <v>3.6719392114743423E-8</v>
      </c>
      <c r="K296">
        <f t="shared" si="16"/>
        <v>3.671939211474342E-2</v>
      </c>
      <c r="L296">
        <v>1252.5483746250002</v>
      </c>
      <c r="M296">
        <f t="shared" si="19"/>
        <v>4.5992814910539919E-3</v>
      </c>
      <c r="N296">
        <v>21.201899999999998</v>
      </c>
    </row>
    <row r="297" spans="1:14" x14ac:dyDescent="0.35">
      <c r="A297" t="s">
        <v>37</v>
      </c>
      <c r="B297" s="2">
        <v>44800</v>
      </c>
      <c r="C297" s="3">
        <v>0.95833333333333337</v>
      </c>
      <c r="D297" t="s">
        <v>39</v>
      </c>
      <c r="E297" t="s">
        <v>17</v>
      </c>
      <c r="F297" s="1" t="s">
        <v>38</v>
      </c>
      <c r="G297">
        <v>0.71199999999999997</v>
      </c>
      <c r="H297">
        <v>0.71199999999999997</v>
      </c>
      <c r="I297">
        <f t="shared" si="17"/>
        <v>0</v>
      </c>
      <c r="J297">
        <f t="shared" si="18"/>
        <v>0</v>
      </c>
      <c r="K297">
        <f t="shared" si="16"/>
        <v>0</v>
      </c>
      <c r="L297">
        <v>1252.5483746250002</v>
      </c>
      <c r="M297">
        <f t="shared" si="19"/>
        <v>0</v>
      </c>
      <c r="N297">
        <v>20.816600000000001</v>
      </c>
    </row>
    <row r="298" spans="1:14" x14ac:dyDescent="0.35">
      <c r="A298" t="s">
        <v>37</v>
      </c>
      <c r="B298" s="2">
        <v>44800</v>
      </c>
      <c r="C298" s="3">
        <v>0.97916666666666663</v>
      </c>
      <c r="D298" t="s">
        <v>39</v>
      </c>
      <c r="E298" t="s">
        <v>17</v>
      </c>
      <c r="F298" s="1" t="s">
        <v>38</v>
      </c>
      <c r="G298">
        <v>0.71199999999999997</v>
      </c>
      <c r="H298">
        <v>0.71199999999999997</v>
      </c>
      <c r="I298">
        <f t="shared" si="17"/>
        <v>0</v>
      </c>
      <c r="J298">
        <f t="shared" si="18"/>
        <v>0</v>
      </c>
      <c r="K298">
        <f t="shared" si="16"/>
        <v>0</v>
      </c>
      <c r="L298">
        <v>1252.5483746250002</v>
      </c>
      <c r="M298">
        <f t="shared" si="19"/>
        <v>0</v>
      </c>
      <c r="N298">
        <v>20.130299999999998</v>
      </c>
    </row>
    <row r="299" spans="1:14" x14ac:dyDescent="0.35">
      <c r="A299" t="s">
        <v>37</v>
      </c>
      <c r="B299" s="2">
        <v>44800</v>
      </c>
      <c r="C299" s="3">
        <v>0</v>
      </c>
      <c r="D299" t="s">
        <v>45</v>
      </c>
      <c r="E299" t="s">
        <v>34</v>
      </c>
      <c r="F299" s="1" t="s">
        <v>38</v>
      </c>
      <c r="G299">
        <v>0.77400000000000002</v>
      </c>
      <c r="H299">
        <f>MAX(G299:G346)</f>
        <v>0.78100000000000003</v>
      </c>
      <c r="I299">
        <f t="shared" si="17"/>
        <v>9.0439276485788193E-3</v>
      </c>
      <c r="J299">
        <f t="shared" si="18"/>
        <v>3.6292971364400677E-7</v>
      </c>
      <c r="K299">
        <f t="shared" ref="K299:K362" si="20">J299*10^6</f>
        <v>0.36292971364400678</v>
      </c>
      <c r="L299">
        <v>1451.1274696249998</v>
      </c>
      <c r="M299">
        <f t="shared" si="19"/>
        <v>5.2665727701195333E-2</v>
      </c>
      <c r="N299">
        <v>20.112200000000001</v>
      </c>
    </row>
    <row r="300" spans="1:14" x14ac:dyDescent="0.35">
      <c r="A300" t="s">
        <v>37</v>
      </c>
      <c r="B300" s="2">
        <v>44800</v>
      </c>
      <c r="C300" s="3">
        <v>2.0833333333333332E-2</v>
      </c>
      <c r="D300" t="s">
        <v>45</v>
      </c>
      <c r="E300" t="s">
        <v>34</v>
      </c>
      <c r="F300" s="1" t="s">
        <v>38</v>
      </c>
      <c r="G300">
        <v>0.77500000000000002</v>
      </c>
      <c r="H300">
        <v>0.78100000000000003</v>
      </c>
      <c r="I300">
        <f t="shared" si="17"/>
        <v>7.7419354838709747E-3</v>
      </c>
      <c r="J300">
        <f t="shared" si="18"/>
        <v>2.9972347200156345E-7</v>
      </c>
      <c r="K300">
        <f t="shared" si="20"/>
        <v>0.29972347200156346</v>
      </c>
      <c r="L300">
        <v>1451.1274696249998</v>
      </c>
      <c r="M300">
        <f t="shared" si="19"/>
        <v>4.3493696351284826E-2</v>
      </c>
      <c r="N300">
        <v>19.898800000000001</v>
      </c>
    </row>
    <row r="301" spans="1:14" x14ac:dyDescent="0.35">
      <c r="A301" t="s">
        <v>37</v>
      </c>
      <c r="B301" s="2">
        <v>44800</v>
      </c>
      <c r="C301" s="3">
        <v>4.1666666666666664E-2</v>
      </c>
      <c r="D301" t="s">
        <v>45</v>
      </c>
      <c r="E301" t="s">
        <v>34</v>
      </c>
      <c r="F301" s="1" t="s">
        <v>38</v>
      </c>
      <c r="G301">
        <v>0.77700000000000002</v>
      </c>
      <c r="H301">
        <v>0.78100000000000003</v>
      </c>
      <c r="I301">
        <f t="shared" si="17"/>
        <v>5.1480051480051522E-3</v>
      </c>
      <c r="J301">
        <f t="shared" si="18"/>
        <v>1.8137379352024376E-7</v>
      </c>
      <c r="K301">
        <f t="shared" si="20"/>
        <v>0.18137379352024374</v>
      </c>
      <c r="L301">
        <v>1451.1274696249998</v>
      </c>
      <c r="M301">
        <f t="shared" si="19"/>
        <v>2.6319649404731849E-2</v>
      </c>
      <c r="N301">
        <v>19.249500000000001</v>
      </c>
    </row>
    <row r="302" spans="1:14" x14ac:dyDescent="0.35">
      <c r="A302" t="s">
        <v>37</v>
      </c>
      <c r="B302" s="2">
        <v>44800</v>
      </c>
      <c r="C302" s="3">
        <v>6.25E-2</v>
      </c>
      <c r="D302" t="s">
        <v>45</v>
      </c>
      <c r="E302" t="s">
        <v>34</v>
      </c>
      <c r="F302" s="1" t="s">
        <v>38</v>
      </c>
      <c r="G302">
        <v>0.77800000000000002</v>
      </c>
      <c r="H302">
        <v>0.78100000000000003</v>
      </c>
      <c r="I302">
        <f t="shared" si="17"/>
        <v>3.8560411311054019E-3</v>
      </c>
      <c r="J302">
        <f t="shared" si="18"/>
        <v>1.2708296592667036E-7</v>
      </c>
      <c r="K302">
        <f t="shared" si="20"/>
        <v>0.12708296592667034</v>
      </c>
      <c r="L302">
        <v>1451.1274696249998</v>
      </c>
      <c r="M302">
        <f t="shared" si="19"/>
        <v>1.844135827776092E-2</v>
      </c>
      <c r="N302">
        <v>17.116900000000001</v>
      </c>
    </row>
    <row r="303" spans="1:14" x14ac:dyDescent="0.35">
      <c r="A303" t="s">
        <v>37</v>
      </c>
      <c r="B303" s="2">
        <v>44800</v>
      </c>
      <c r="C303" s="3">
        <v>8.3333333333333329E-2</v>
      </c>
      <c r="D303" t="s">
        <v>45</v>
      </c>
      <c r="E303" t="s">
        <v>34</v>
      </c>
      <c r="F303" s="1" t="s">
        <v>38</v>
      </c>
      <c r="G303">
        <v>0.77700000000000002</v>
      </c>
      <c r="H303">
        <v>0.78100000000000003</v>
      </c>
      <c r="I303">
        <f t="shared" si="17"/>
        <v>5.1480051480051522E-3</v>
      </c>
      <c r="J303">
        <f t="shared" si="18"/>
        <v>1.8137379352024376E-7</v>
      </c>
      <c r="K303">
        <f t="shared" si="20"/>
        <v>0.18137379352024374</v>
      </c>
      <c r="L303">
        <v>1451.1274696249998</v>
      </c>
      <c r="M303">
        <f t="shared" si="19"/>
        <v>2.6319649404731849E-2</v>
      </c>
      <c r="N303">
        <v>16.752199999999998</v>
      </c>
    </row>
    <row r="304" spans="1:14" x14ac:dyDescent="0.35">
      <c r="A304" t="s">
        <v>37</v>
      </c>
      <c r="B304" s="2">
        <v>44800</v>
      </c>
      <c r="C304" s="3">
        <v>0.10416666666666667</v>
      </c>
      <c r="D304" t="s">
        <v>45</v>
      </c>
      <c r="E304" t="s">
        <v>34</v>
      </c>
      <c r="F304" s="1" t="s">
        <v>38</v>
      </c>
      <c r="G304">
        <v>0.77500000000000002</v>
      </c>
      <c r="H304">
        <v>0.78100000000000003</v>
      </c>
      <c r="I304">
        <f t="shared" si="17"/>
        <v>7.7419354838709747E-3</v>
      </c>
      <c r="J304">
        <f t="shared" si="18"/>
        <v>2.9972347200156345E-7</v>
      </c>
      <c r="K304">
        <f t="shared" si="20"/>
        <v>0.29972347200156346</v>
      </c>
      <c r="L304">
        <v>1451.1274696249998</v>
      </c>
      <c r="M304">
        <f t="shared" si="19"/>
        <v>4.3493696351284826E-2</v>
      </c>
      <c r="N304">
        <v>16.4085</v>
      </c>
    </row>
    <row r="305" spans="1:14" x14ac:dyDescent="0.35">
      <c r="A305" t="s">
        <v>37</v>
      </c>
      <c r="B305" s="2">
        <v>44800</v>
      </c>
      <c r="C305" s="3">
        <v>0.125</v>
      </c>
      <c r="D305" t="s">
        <v>45</v>
      </c>
      <c r="E305" t="s">
        <v>34</v>
      </c>
      <c r="F305" s="1" t="s">
        <v>38</v>
      </c>
      <c r="G305">
        <v>0.77400000000000002</v>
      </c>
      <c r="H305">
        <v>0.78100000000000003</v>
      </c>
      <c r="I305">
        <f t="shared" si="17"/>
        <v>9.0439276485788193E-3</v>
      </c>
      <c r="J305">
        <f t="shared" si="18"/>
        <v>3.6292971364400677E-7</v>
      </c>
      <c r="K305">
        <f t="shared" si="20"/>
        <v>0.36292971364400678</v>
      </c>
      <c r="L305">
        <v>1451.1274696249998</v>
      </c>
      <c r="M305">
        <f t="shared" si="19"/>
        <v>5.2665727701195333E-2</v>
      </c>
      <c r="N305">
        <v>17.264900000000001</v>
      </c>
    </row>
    <row r="306" spans="1:14" x14ac:dyDescent="0.35">
      <c r="A306" t="s">
        <v>37</v>
      </c>
      <c r="B306" s="2">
        <v>44800</v>
      </c>
      <c r="C306" s="3">
        <v>0.14583333333333334</v>
      </c>
      <c r="D306" t="s">
        <v>45</v>
      </c>
      <c r="E306" t="s">
        <v>34</v>
      </c>
      <c r="F306" s="1" t="s">
        <v>38</v>
      </c>
      <c r="G306">
        <v>0.77400000000000002</v>
      </c>
      <c r="H306">
        <v>0.78100000000000003</v>
      </c>
      <c r="I306">
        <f t="shared" si="17"/>
        <v>9.0439276485788193E-3</v>
      </c>
      <c r="J306">
        <f t="shared" si="18"/>
        <v>3.6292971364400677E-7</v>
      </c>
      <c r="K306">
        <f t="shared" si="20"/>
        <v>0.36292971364400678</v>
      </c>
      <c r="L306">
        <v>1451.1274696249998</v>
      </c>
      <c r="M306">
        <f t="shared" si="19"/>
        <v>5.2665727701195333E-2</v>
      </c>
      <c r="N306">
        <v>15.769</v>
      </c>
    </row>
    <row r="307" spans="1:14" x14ac:dyDescent="0.35">
      <c r="A307" t="s">
        <v>37</v>
      </c>
      <c r="B307" s="2">
        <v>44800</v>
      </c>
      <c r="C307" s="3">
        <v>0.16666666666666666</v>
      </c>
      <c r="D307" t="s">
        <v>45</v>
      </c>
      <c r="E307" t="s">
        <v>34</v>
      </c>
      <c r="F307" s="1" t="s">
        <v>38</v>
      </c>
      <c r="G307">
        <v>0.77400000000000002</v>
      </c>
      <c r="H307">
        <v>0.78100000000000003</v>
      </c>
      <c r="I307">
        <f t="shared" si="17"/>
        <v>9.0439276485788193E-3</v>
      </c>
      <c r="J307">
        <f t="shared" si="18"/>
        <v>3.6292971364400677E-7</v>
      </c>
      <c r="K307">
        <f t="shared" si="20"/>
        <v>0.36292971364400678</v>
      </c>
      <c r="L307">
        <v>1451.1274696249998</v>
      </c>
      <c r="M307">
        <f t="shared" si="19"/>
        <v>5.2665727701195333E-2</v>
      </c>
      <c r="N307">
        <v>16.060199999999998</v>
      </c>
    </row>
    <row r="308" spans="1:14" x14ac:dyDescent="0.35">
      <c r="A308" t="s">
        <v>37</v>
      </c>
      <c r="B308" s="2">
        <v>44800</v>
      </c>
      <c r="C308" s="3">
        <v>0.1875</v>
      </c>
      <c r="D308" t="s">
        <v>45</v>
      </c>
      <c r="E308" t="s">
        <v>34</v>
      </c>
      <c r="F308" s="1" t="s">
        <v>38</v>
      </c>
      <c r="G308">
        <v>0.77500000000000002</v>
      </c>
      <c r="H308">
        <v>0.78100000000000003</v>
      </c>
      <c r="I308">
        <f t="shared" si="17"/>
        <v>7.7419354838709747E-3</v>
      </c>
      <c r="J308">
        <f t="shared" si="18"/>
        <v>2.9972347200156345E-7</v>
      </c>
      <c r="K308">
        <f t="shared" si="20"/>
        <v>0.29972347200156346</v>
      </c>
      <c r="L308">
        <v>1451.1274696249998</v>
      </c>
      <c r="M308">
        <f t="shared" si="19"/>
        <v>4.3493696351284826E-2</v>
      </c>
      <c r="N308">
        <v>15.727600000000001</v>
      </c>
    </row>
    <row r="309" spans="1:14" x14ac:dyDescent="0.35">
      <c r="A309" t="s">
        <v>37</v>
      </c>
      <c r="B309" s="2">
        <v>44800</v>
      </c>
      <c r="C309" s="3">
        <v>0.20833333333333334</v>
      </c>
      <c r="D309" t="s">
        <v>45</v>
      </c>
      <c r="E309" t="s">
        <v>34</v>
      </c>
      <c r="F309" s="1" t="s">
        <v>38</v>
      </c>
      <c r="G309">
        <v>0.77600000000000002</v>
      </c>
      <c r="H309">
        <v>0.78100000000000003</v>
      </c>
      <c r="I309">
        <f t="shared" si="17"/>
        <v>6.4432989690721707E-3</v>
      </c>
      <c r="J309">
        <f t="shared" si="18"/>
        <v>2.3908881408537811E-7</v>
      </c>
      <c r="K309">
        <f t="shared" si="20"/>
        <v>0.2390888140853781</v>
      </c>
      <c r="L309">
        <v>1451.1274696249998</v>
      </c>
      <c r="M309">
        <f t="shared" si="19"/>
        <v>3.4694834579935677E-2</v>
      </c>
      <c r="N309">
        <v>15.0184</v>
      </c>
    </row>
    <row r="310" spans="1:14" x14ac:dyDescent="0.35">
      <c r="A310" t="s">
        <v>37</v>
      </c>
      <c r="B310" s="2">
        <v>44800</v>
      </c>
      <c r="C310" s="3">
        <v>0.22916666666666666</v>
      </c>
      <c r="D310" t="s">
        <v>45</v>
      </c>
      <c r="E310" t="s">
        <v>34</v>
      </c>
      <c r="F310" s="1" t="s">
        <v>38</v>
      </c>
      <c r="G310">
        <v>0.77600000000000002</v>
      </c>
      <c r="H310">
        <v>0.78100000000000003</v>
      </c>
      <c r="I310">
        <f t="shared" si="17"/>
        <v>6.4432989690721707E-3</v>
      </c>
      <c r="J310">
        <f t="shared" si="18"/>
        <v>2.3908881408537811E-7</v>
      </c>
      <c r="K310">
        <f t="shared" si="20"/>
        <v>0.2390888140853781</v>
      </c>
      <c r="L310">
        <v>1451.1274696249998</v>
      </c>
      <c r="M310">
        <f t="shared" si="19"/>
        <v>3.4694834579935677E-2</v>
      </c>
      <c r="N310">
        <v>14.711399999999999</v>
      </c>
    </row>
    <row r="311" spans="1:14" x14ac:dyDescent="0.35">
      <c r="A311" t="s">
        <v>37</v>
      </c>
      <c r="B311" s="2">
        <v>44800</v>
      </c>
      <c r="C311" s="3">
        <v>0.25</v>
      </c>
      <c r="D311" t="s">
        <v>45</v>
      </c>
      <c r="E311" t="s">
        <v>34</v>
      </c>
      <c r="F311" s="1" t="s">
        <v>38</v>
      </c>
      <c r="G311">
        <v>0.77600000000000002</v>
      </c>
      <c r="H311">
        <v>0.78100000000000003</v>
      </c>
      <c r="I311">
        <f t="shared" si="17"/>
        <v>6.4432989690721707E-3</v>
      </c>
      <c r="J311">
        <f t="shared" si="18"/>
        <v>2.3908881408537811E-7</v>
      </c>
      <c r="K311">
        <f t="shared" si="20"/>
        <v>0.2390888140853781</v>
      </c>
      <c r="L311">
        <v>1451.1274696249998</v>
      </c>
      <c r="M311">
        <f t="shared" si="19"/>
        <v>3.4694834579935677E-2</v>
      </c>
      <c r="N311">
        <v>15.889900000000001</v>
      </c>
    </row>
    <row r="312" spans="1:14" x14ac:dyDescent="0.35">
      <c r="A312" t="s">
        <v>37</v>
      </c>
      <c r="B312" s="2">
        <v>44800</v>
      </c>
      <c r="C312" s="3">
        <v>0.27083333333333331</v>
      </c>
      <c r="D312" t="s">
        <v>45</v>
      </c>
      <c r="E312" t="s">
        <v>34</v>
      </c>
      <c r="F312" s="1" t="s">
        <v>38</v>
      </c>
      <c r="G312">
        <v>0.77600000000000002</v>
      </c>
      <c r="H312">
        <v>0.78100000000000003</v>
      </c>
      <c r="I312">
        <f t="shared" si="17"/>
        <v>6.4432989690721707E-3</v>
      </c>
      <c r="J312">
        <f t="shared" si="18"/>
        <v>2.3908881408537811E-7</v>
      </c>
      <c r="K312">
        <f t="shared" si="20"/>
        <v>0.2390888140853781</v>
      </c>
      <c r="L312">
        <v>1451.1274696249998</v>
      </c>
      <c r="M312">
        <f t="shared" si="19"/>
        <v>3.4694834579935677E-2</v>
      </c>
      <c r="N312">
        <v>16.3066</v>
      </c>
    </row>
    <row r="313" spans="1:14" x14ac:dyDescent="0.35">
      <c r="A313" t="s">
        <v>37</v>
      </c>
      <c r="B313" s="2">
        <v>44800</v>
      </c>
      <c r="C313" s="3">
        <v>0.29166666666666669</v>
      </c>
      <c r="D313" t="s">
        <v>45</v>
      </c>
      <c r="E313" t="s">
        <v>34</v>
      </c>
      <c r="F313" s="1" t="s">
        <v>38</v>
      </c>
      <c r="G313">
        <v>0.77700000000000002</v>
      </c>
      <c r="H313">
        <v>0.78100000000000003</v>
      </c>
      <c r="I313">
        <f t="shared" si="17"/>
        <v>5.1480051480051522E-3</v>
      </c>
      <c r="J313">
        <f t="shared" si="18"/>
        <v>1.8137379352024376E-7</v>
      </c>
      <c r="K313">
        <f t="shared" si="20"/>
        <v>0.18137379352024374</v>
      </c>
      <c r="L313">
        <v>1451.1274696249998</v>
      </c>
      <c r="M313">
        <f t="shared" si="19"/>
        <v>2.6319649404731849E-2</v>
      </c>
      <c r="N313">
        <v>17.531300000000002</v>
      </c>
    </row>
    <row r="314" spans="1:14" x14ac:dyDescent="0.35">
      <c r="A314" t="s">
        <v>37</v>
      </c>
      <c r="B314" s="2">
        <v>44800</v>
      </c>
      <c r="C314" s="3">
        <v>0.3125</v>
      </c>
      <c r="D314" t="s">
        <v>45</v>
      </c>
      <c r="E314" t="s">
        <v>34</v>
      </c>
      <c r="F314" s="1" t="s">
        <v>38</v>
      </c>
      <c r="G314">
        <v>0.78</v>
      </c>
      <c r="H314">
        <v>0.78100000000000003</v>
      </c>
      <c r="I314">
        <f t="shared" si="17"/>
        <v>1.2820512820512831E-3</v>
      </c>
      <c r="J314">
        <f t="shared" si="18"/>
        <v>3.2762611009811896E-8</v>
      </c>
      <c r="K314">
        <f t="shared" si="20"/>
        <v>3.2762611009811898E-2</v>
      </c>
      <c r="L314">
        <v>1451.1274696249998</v>
      </c>
      <c r="M314">
        <f t="shared" si="19"/>
        <v>4.7542724812976497E-3</v>
      </c>
      <c r="N314">
        <v>18.497699999999998</v>
      </c>
    </row>
    <row r="315" spans="1:14" x14ac:dyDescent="0.35">
      <c r="A315" t="s">
        <v>37</v>
      </c>
      <c r="B315" s="2">
        <v>44800</v>
      </c>
      <c r="C315" s="3">
        <v>0.33333333333333331</v>
      </c>
      <c r="D315" t="s">
        <v>45</v>
      </c>
      <c r="E315" t="s">
        <v>34</v>
      </c>
      <c r="F315" s="1" t="s">
        <v>38</v>
      </c>
      <c r="G315">
        <v>0.78100000000000003</v>
      </c>
      <c r="H315">
        <v>0.78100000000000003</v>
      </c>
      <c r="I315">
        <f t="shared" si="17"/>
        <v>0</v>
      </c>
      <c r="J315">
        <f t="shared" si="18"/>
        <v>0</v>
      </c>
      <c r="K315">
        <f t="shared" si="20"/>
        <v>0</v>
      </c>
      <c r="L315">
        <v>1451.1274696249998</v>
      </c>
      <c r="M315">
        <f t="shared" si="19"/>
        <v>0</v>
      </c>
      <c r="N315">
        <v>20.640699999999999</v>
      </c>
    </row>
    <row r="316" spans="1:14" x14ac:dyDescent="0.35">
      <c r="A316" t="s">
        <v>37</v>
      </c>
      <c r="B316" s="2">
        <v>44800</v>
      </c>
      <c r="C316" s="3">
        <v>0.35416666666666669</v>
      </c>
      <c r="D316" t="s">
        <v>45</v>
      </c>
      <c r="E316" t="s">
        <v>34</v>
      </c>
      <c r="F316" s="1" t="s">
        <v>38</v>
      </c>
      <c r="G316">
        <v>0.77800000000000002</v>
      </c>
      <c r="H316">
        <v>0.78100000000000003</v>
      </c>
      <c r="I316">
        <f t="shared" si="17"/>
        <v>3.8560411311054019E-3</v>
      </c>
      <c r="J316">
        <f t="shared" si="18"/>
        <v>1.2708296592667036E-7</v>
      </c>
      <c r="K316">
        <f t="shared" si="20"/>
        <v>0.12708296592667034</v>
      </c>
      <c r="L316">
        <v>1451.1274696249998</v>
      </c>
      <c r="M316">
        <f t="shared" si="19"/>
        <v>1.844135827776092E-2</v>
      </c>
      <c r="N316">
        <v>21.7852</v>
      </c>
    </row>
    <row r="317" spans="1:14" x14ac:dyDescent="0.35">
      <c r="A317" t="s">
        <v>37</v>
      </c>
      <c r="B317" s="2">
        <v>44800</v>
      </c>
      <c r="C317" s="3">
        <v>0.375</v>
      </c>
      <c r="D317" t="s">
        <v>45</v>
      </c>
      <c r="E317" t="s">
        <v>34</v>
      </c>
      <c r="F317" s="1" t="s">
        <v>38</v>
      </c>
      <c r="G317">
        <v>0.75700000000000001</v>
      </c>
      <c r="H317">
        <v>0.78100000000000003</v>
      </c>
      <c r="I317">
        <f t="shared" si="17"/>
        <v>3.1704095112285363E-2</v>
      </c>
      <c r="J317">
        <f t="shared" si="18"/>
        <v>1.6998866855611948E-6</v>
      </c>
      <c r="K317">
        <f t="shared" si="20"/>
        <v>1.6998866855611947</v>
      </c>
      <c r="L317">
        <v>1451.1274696249998</v>
      </c>
      <c r="M317">
        <f t="shared" si="19"/>
        <v>0.24667522646676443</v>
      </c>
      <c r="N317">
        <v>23.6355</v>
      </c>
    </row>
    <row r="318" spans="1:14" x14ac:dyDescent="0.35">
      <c r="A318" t="s">
        <v>37</v>
      </c>
      <c r="B318" s="2">
        <v>44800</v>
      </c>
      <c r="C318" s="3">
        <v>0.39583333333333331</v>
      </c>
      <c r="D318" t="s">
        <v>45</v>
      </c>
      <c r="E318" t="s">
        <v>34</v>
      </c>
      <c r="F318" s="1" t="s">
        <v>38</v>
      </c>
      <c r="G318">
        <v>0.72199999999999998</v>
      </c>
      <c r="H318">
        <v>0.78100000000000003</v>
      </c>
      <c r="I318">
        <f t="shared" si="17"/>
        <v>8.1717451523545787E-2</v>
      </c>
      <c r="J318">
        <f t="shared" si="18"/>
        <v>5.45263588611067E-6</v>
      </c>
      <c r="K318">
        <f t="shared" si="20"/>
        <v>5.4526358861106701</v>
      </c>
      <c r="L318">
        <v>1451.1274696249998</v>
      </c>
      <c r="M318">
        <f t="shared" si="19"/>
        <v>0.79124697161982449</v>
      </c>
      <c r="N318">
        <v>25.8127</v>
      </c>
    </row>
    <row r="319" spans="1:14" x14ac:dyDescent="0.35">
      <c r="A319" t="s">
        <v>37</v>
      </c>
      <c r="B319" s="2">
        <v>44800</v>
      </c>
      <c r="C319" s="3">
        <v>0.41666666666666669</v>
      </c>
      <c r="D319" t="s">
        <v>45</v>
      </c>
      <c r="E319" t="s">
        <v>34</v>
      </c>
      <c r="F319" s="1" t="s">
        <v>38</v>
      </c>
      <c r="G319">
        <v>0.68899999999999995</v>
      </c>
      <c r="H319">
        <v>0.78100000000000003</v>
      </c>
      <c r="I319">
        <f t="shared" si="17"/>
        <v>0.13352685050798271</v>
      </c>
      <c r="J319">
        <f t="shared" si="18"/>
        <v>9.9798017644156016E-6</v>
      </c>
      <c r="K319">
        <f t="shared" si="20"/>
        <v>9.9798017644156012</v>
      </c>
      <c r="L319">
        <v>1451.1274696249998</v>
      </c>
      <c r="M319">
        <f t="shared" si="19"/>
        <v>1.448196448175552</v>
      </c>
      <c r="N319">
        <v>27.663900000000002</v>
      </c>
    </row>
    <row r="320" spans="1:14" x14ac:dyDescent="0.35">
      <c r="A320" t="s">
        <v>37</v>
      </c>
      <c r="B320" s="2">
        <v>44800</v>
      </c>
      <c r="C320" s="3">
        <v>0.4375</v>
      </c>
      <c r="D320" t="s">
        <v>45</v>
      </c>
      <c r="E320" t="s">
        <v>34</v>
      </c>
      <c r="F320" s="1" t="s">
        <v>38</v>
      </c>
      <c r="G320">
        <v>0.64700000000000002</v>
      </c>
      <c r="H320">
        <v>0.78100000000000003</v>
      </c>
      <c r="I320">
        <f t="shared" si="17"/>
        <v>0.2071097372488408</v>
      </c>
      <c r="J320">
        <f t="shared" si="18"/>
        <v>1.7131279418690594E-5</v>
      </c>
      <c r="K320">
        <f t="shared" si="20"/>
        <v>17.131279418690593</v>
      </c>
      <c r="L320">
        <v>1451.1274696249998</v>
      </c>
      <c r="M320">
        <f t="shared" si="19"/>
        <v>2.485967015428332</v>
      </c>
      <c r="N320">
        <v>29.2453</v>
      </c>
    </row>
    <row r="321" spans="1:14" x14ac:dyDescent="0.35">
      <c r="A321" t="s">
        <v>37</v>
      </c>
      <c r="B321" s="2">
        <v>44800</v>
      </c>
      <c r="C321" s="3">
        <v>0.45833333333333331</v>
      </c>
      <c r="D321" t="s">
        <v>45</v>
      </c>
      <c r="E321" t="s">
        <v>34</v>
      </c>
      <c r="F321" s="1" t="s">
        <v>38</v>
      </c>
      <c r="G321">
        <v>0.61299999999999999</v>
      </c>
      <c r="H321">
        <v>0.78100000000000003</v>
      </c>
      <c r="I321">
        <f t="shared" si="17"/>
        <v>0.27406199021207184</v>
      </c>
      <c r="J321">
        <f t="shared" si="18"/>
        <v>2.4184596339865869E-5</v>
      </c>
      <c r="K321">
        <f t="shared" si="20"/>
        <v>24.18459633986587</v>
      </c>
      <c r="L321">
        <v>1451.1274696249998</v>
      </c>
      <c r="M321">
        <f t="shared" si="19"/>
        <v>3.5094932090571591</v>
      </c>
      <c r="N321">
        <v>31.9986</v>
      </c>
    </row>
    <row r="322" spans="1:14" x14ac:dyDescent="0.35">
      <c r="A322" t="s">
        <v>37</v>
      </c>
      <c r="B322" s="2">
        <v>44800</v>
      </c>
      <c r="C322" s="3">
        <v>0.47916666666666669</v>
      </c>
      <c r="D322" t="s">
        <v>45</v>
      </c>
      <c r="E322" t="s">
        <v>34</v>
      </c>
      <c r="F322" s="1" t="s">
        <v>38</v>
      </c>
      <c r="G322">
        <v>0.59399999999999997</v>
      </c>
      <c r="H322">
        <v>0.78100000000000003</v>
      </c>
      <c r="I322">
        <f t="shared" ref="I322:I385" si="21">(H322-G322)/G322</f>
        <v>0.31481481481481494</v>
      </c>
      <c r="J322">
        <f t="shared" ref="J322:J385" si="22">119*10^-6*(I322^1.231)</f>
        <v>2.8684868630753675E-5</v>
      </c>
      <c r="K322">
        <f t="shared" si="20"/>
        <v>28.684868630753677</v>
      </c>
      <c r="L322">
        <v>1451.1274696249998</v>
      </c>
      <c r="M322">
        <f t="shared" si="19"/>
        <v>4.1625400832671113</v>
      </c>
      <c r="N322">
        <v>31.6327</v>
      </c>
    </row>
    <row r="323" spans="1:14" x14ac:dyDescent="0.35">
      <c r="A323" t="s">
        <v>37</v>
      </c>
      <c r="B323" s="2">
        <v>44800</v>
      </c>
      <c r="C323" s="3">
        <v>0.5</v>
      </c>
      <c r="D323" t="s">
        <v>45</v>
      </c>
      <c r="E323" t="s">
        <v>34</v>
      </c>
      <c r="F323" s="1" t="s">
        <v>38</v>
      </c>
      <c r="G323">
        <v>0.59199999999999997</v>
      </c>
      <c r="H323">
        <v>0.78100000000000003</v>
      </c>
      <c r="I323">
        <f t="shared" si="21"/>
        <v>0.31925675675675685</v>
      </c>
      <c r="J323">
        <f t="shared" si="22"/>
        <v>2.9183906238257036E-5</v>
      </c>
      <c r="K323">
        <f t="shared" si="20"/>
        <v>29.183906238257034</v>
      </c>
      <c r="L323">
        <v>1451.1274696249998</v>
      </c>
      <c r="M323">
        <f t="shared" ref="M323:M386" si="23">K323*(L323/10000)</f>
        <v>4.2349568013295178</v>
      </c>
      <c r="N323">
        <v>31.8827</v>
      </c>
    </row>
    <row r="324" spans="1:14" x14ac:dyDescent="0.35">
      <c r="A324" t="s">
        <v>37</v>
      </c>
      <c r="B324" s="2">
        <v>44800</v>
      </c>
      <c r="C324" s="3">
        <v>0.52083333333333337</v>
      </c>
      <c r="D324" t="s">
        <v>45</v>
      </c>
      <c r="E324" t="s">
        <v>34</v>
      </c>
      <c r="F324" s="1" t="s">
        <v>38</v>
      </c>
      <c r="G324">
        <v>0.60499999999999998</v>
      </c>
      <c r="H324">
        <v>0.78100000000000003</v>
      </c>
      <c r="I324">
        <f t="shared" si="21"/>
        <v>0.29090909090909101</v>
      </c>
      <c r="J324">
        <f t="shared" si="22"/>
        <v>2.6027484065989095E-5</v>
      </c>
      <c r="K324">
        <f t="shared" si="20"/>
        <v>26.027484065989096</v>
      </c>
      <c r="L324">
        <v>1451.1274696249998</v>
      </c>
      <c r="M324">
        <f t="shared" si="23"/>
        <v>3.776919709338376</v>
      </c>
      <c r="N324">
        <v>32.619799999999998</v>
      </c>
    </row>
    <row r="325" spans="1:14" x14ac:dyDescent="0.35">
      <c r="A325" t="s">
        <v>37</v>
      </c>
      <c r="B325" s="2">
        <v>44800</v>
      </c>
      <c r="C325" s="3">
        <v>0.54166666666666663</v>
      </c>
      <c r="D325" t="s">
        <v>45</v>
      </c>
      <c r="E325" t="s">
        <v>34</v>
      </c>
      <c r="F325" s="1" t="s">
        <v>38</v>
      </c>
      <c r="G325">
        <v>0.624</v>
      </c>
      <c r="H325">
        <v>0.78100000000000003</v>
      </c>
      <c r="I325">
        <f t="shared" si="21"/>
        <v>0.25160256410256415</v>
      </c>
      <c r="J325">
        <f t="shared" si="22"/>
        <v>2.1768434810381486E-5</v>
      </c>
      <c r="K325">
        <f t="shared" si="20"/>
        <v>21.768434810381486</v>
      </c>
      <c r="L325">
        <v>1451.1274696249998</v>
      </c>
      <c r="M325">
        <f t="shared" si="23"/>
        <v>3.1588773724085648</v>
      </c>
      <c r="N325">
        <v>29.2163</v>
      </c>
    </row>
    <row r="326" spans="1:14" x14ac:dyDescent="0.35">
      <c r="A326" t="s">
        <v>37</v>
      </c>
      <c r="B326" s="2">
        <v>44800</v>
      </c>
      <c r="C326" s="3">
        <v>0.5625</v>
      </c>
      <c r="D326" t="s">
        <v>45</v>
      </c>
      <c r="E326" t="s">
        <v>34</v>
      </c>
      <c r="F326" s="1" t="s">
        <v>38</v>
      </c>
      <c r="G326">
        <v>0.63800000000000001</v>
      </c>
      <c r="H326">
        <v>0.78100000000000003</v>
      </c>
      <c r="I326">
        <f t="shared" si="21"/>
        <v>0.22413793103448279</v>
      </c>
      <c r="J326">
        <f t="shared" si="22"/>
        <v>1.888127718923093E-5</v>
      </c>
      <c r="K326">
        <f t="shared" si="20"/>
        <v>18.881277189230929</v>
      </c>
      <c r="L326">
        <v>1451.1274696249998</v>
      </c>
      <c r="M326">
        <f t="shared" si="23"/>
        <v>2.7399139990896906</v>
      </c>
      <c r="N326">
        <v>30.803799999999999</v>
      </c>
    </row>
    <row r="327" spans="1:14" x14ac:dyDescent="0.35">
      <c r="A327" t="s">
        <v>37</v>
      </c>
      <c r="B327" s="2">
        <v>44800</v>
      </c>
      <c r="C327" s="3">
        <v>0.58333333333333337</v>
      </c>
      <c r="D327" t="s">
        <v>45</v>
      </c>
      <c r="E327" t="s">
        <v>34</v>
      </c>
      <c r="F327" s="1" t="s">
        <v>38</v>
      </c>
      <c r="G327">
        <v>0.64900000000000002</v>
      </c>
      <c r="H327">
        <v>0.78100000000000003</v>
      </c>
      <c r="I327">
        <f t="shared" si="21"/>
        <v>0.20338983050847459</v>
      </c>
      <c r="J327">
        <f t="shared" si="22"/>
        <v>1.6753295506113171E-5</v>
      </c>
      <c r="K327">
        <f t="shared" si="20"/>
        <v>16.753295506113172</v>
      </c>
      <c r="L327">
        <v>1451.1274696249998</v>
      </c>
      <c r="M327">
        <f t="shared" si="23"/>
        <v>2.4311167315665889</v>
      </c>
      <c r="N327">
        <v>30.016100000000002</v>
      </c>
    </row>
    <row r="328" spans="1:14" x14ac:dyDescent="0.35">
      <c r="A328" t="s">
        <v>37</v>
      </c>
      <c r="B328" s="2">
        <v>44800</v>
      </c>
      <c r="C328" s="3">
        <v>0.60416666666666663</v>
      </c>
      <c r="D328" t="s">
        <v>45</v>
      </c>
      <c r="E328" t="s">
        <v>34</v>
      </c>
      <c r="F328" s="1" t="s">
        <v>38</v>
      </c>
      <c r="G328">
        <v>0.65700000000000003</v>
      </c>
      <c r="H328">
        <v>0.78100000000000003</v>
      </c>
      <c r="I328">
        <f t="shared" si="21"/>
        <v>0.18873668188736681</v>
      </c>
      <c r="J328">
        <f t="shared" si="22"/>
        <v>1.5280096109644202E-5</v>
      </c>
      <c r="K328">
        <f t="shared" si="20"/>
        <v>15.280096109644202</v>
      </c>
      <c r="L328">
        <v>1451.1274696249998</v>
      </c>
      <c r="M328">
        <f t="shared" si="23"/>
        <v>2.2173367203214793</v>
      </c>
      <c r="N328">
        <v>31.1188</v>
      </c>
    </row>
    <row r="329" spans="1:14" x14ac:dyDescent="0.35">
      <c r="A329" t="s">
        <v>37</v>
      </c>
      <c r="B329" s="2">
        <v>44800</v>
      </c>
      <c r="C329" s="3">
        <v>0.625</v>
      </c>
      <c r="D329" t="s">
        <v>45</v>
      </c>
      <c r="E329" t="s">
        <v>34</v>
      </c>
      <c r="F329" s="1" t="s">
        <v>38</v>
      </c>
      <c r="G329">
        <v>0.66300000000000003</v>
      </c>
      <c r="H329">
        <v>0.78100000000000003</v>
      </c>
      <c r="I329">
        <f t="shared" si="21"/>
        <v>0.17797888386123678</v>
      </c>
      <c r="J329">
        <f t="shared" si="22"/>
        <v>1.4215120938991001E-5</v>
      </c>
      <c r="K329">
        <f t="shared" si="20"/>
        <v>14.215120938991001</v>
      </c>
      <c r="L329">
        <v>1451.1274696249998</v>
      </c>
      <c r="M329">
        <f t="shared" si="23"/>
        <v>2.0627952478611364</v>
      </c>
      <c r="N329">
        <v>33.7301</v>
      </c>
    </row>
    <row r="330" spans="1:14" x14ac:dyDescent="0.35">
      <c r="A330" t="s">
        <v>37</v>
      </c>
      <c r="B330" s="2">
        <v>44800</v>
      </c>
      <c r="C330" s="3">
        <v>0.64583333333333337</v>
      </c>
      <c r="D330" t="s">
        <v>45</v>
      </c>
      <c r="E330" t="s">
        <v>34</v>
      </c>
      <c r="F330" s="1" t="s">
        <v>38</v>
      </c>
      <c r="G330">
        <v>0.66400000000000003</v>
      </c>
      <c r="H330">
        <v>0.78100000000000003</v>
      </c>
      <c r="I330">
        <f t="shared" si="21"/>
        <v>0.1762048192771084</v>
      </c>
      <c r="J330">
        <f t="shared" si="22"/>
        <v>1.4040896935360356E-5</v>
      </c>
      <c r="K330">
        <f t="shared" si="20"/>
        <v>14.040896935360356</v>
      </c>
      <c r="L330">
        <v>1451.1274696249998</v>
      </c>
      <c r="M330">
        <f t="shared" si="23"/>
        <v>2.0375131241074889</v>
      </c>
      <c r="N330">
        <v>32.391100000000002</v>
      </c>
    </row>
    <row r="331" spans="1:14" x14ac:dyDescent="0.35">
      <c r="A331" t="s">
        <v>37</v>
      </c>
      <c r="B331" s="2">
        <v>44800</v>
      </c>
      <c r="C331" s="3">
        <v>0.66666666666666663</v>
      </c>
      <c r="D331" t="s">
        <v>45</v>
      </c>
      <c r="E331" t="s">
        <v>34</v>
      </c>
      <c r="F331" s="1" t="s">
        <v>38</v>
      </c>
      <c r="G331">
        <v>0.66500000000000004</v>
      </c>
      <c r="H331">
        <v>0.78100000000000003</v>
      </c>
      <c r="I331">
        <f t="shared" si="21"/>
        <v>0.17443609022556389</v>
      </c>
      <c r="J331">
        <f t="shared" si="22"/>
        <v>1.386759982373938E-5</v>
      </c>
      <c r="K331">
        <f t="shared" si="20"/>
        <v>13.867599823739379</v>
      </c>
      <c r="L331">
        <v>1451.1274696249998</v>
      </c>
      <c r="M331">
        <f t="shared" si="23"/>
        <v>2.0123655041995021</v>
      </c>
      <c r="N331">
        <v>28.613099999999999</v>
      </c>
    </row>
    <row r="332" spans="1:14" x14ac:dyDescent="0.35">
      <c r="A332" t="s">
        <v>37</v>
      </c>
      <c r="B332" s="2">
        <v>44800</v>
      </c>
      <c r="C332" s="3">
        <v>0.6875</v>
      </c>
      <c r="D332" t="s">
        <v>45</v>
      </c>
      <c r="E332" t="s">
        <v>34</v>
      </c>
      <c r="F332" s="1" t="s">
        <v>38</v>
      </c>
      <c r="G332">
        <v>0.67200000000000004</v>
      </c>
      <c r="H332">
        <v>0.78100000000000003</v>
      </c>
      <c r="I332">
        <f t="shared" si="21"/>
        <v>0.16220238095238093</v>
      </c>
      <c r="J332">
        <f t="shared" si="22"/>
        <v>1.2680238005104917E-5</v>
      </c>
      <c r="K332">
        <f t="shared" si="20"/>
        <v>12.680238005104917</v>
      </c>
      <c r="L332">
        <v>1451.1274696249998</v>
      </c>
      <c r="M332">
        <f t="shared" si="23"/>
        <v>1.8400641690590653</v>
      </c>
      <c r="N332">
        <v>29.746700000000001</v>
      </c>
    </row>
    <row r="333" spans="1:14" x14ac:dyDescent="0.35">
      <c r="A333" t="s">
        <v>37</v>
      </c>
      <c r="B333" s="2">
        <v>44800</v>
      </c>
      <c r="C333" s="3">
        <v>0.70833333333333337</v>
      </c>
      <c r="D333" t="s">
        <v>45</v>
      </c>
      <c r="E333" t="s">
        <v>34</v>
      </c>
      <c r="F333" s="1" t="s">
        <v>38</v>
      </c>
      <c r="G333">
        <v>0.67700000000000005</v>
      </c>
      <c r="H333">
        <v>0.78100000000000003</v>
      </c>
      <c r="I333">
        <f t="shared" si="21"/>
        <v>0.15361890694239289</v>
      </c>
      <c r="J333">
        <f t="shared" si="22"/>
        <v>1.1859335377462517E-5</v>
      </c>
      <c r="K333">
        <f t="shared" si="20"/>
        <v>11.859335377462518</v>
      </c>
      <c r="L333">
        <v>1451.1274696249998</v>
      </c>
      <c r="M333">
        <f t="shared" si="23"/>
        <v>1.7209407337731426</v>
      </c>
      <c r="N333">
        <v>26.706800000000001</v>
      </c>
    </row>
    <row r="334" spans="1:14" x14ac:dyDescent="0.35">
      <c r="A334" t="s">
        <v>37</v>
      </c>
      <c r="B334" s="2">
        <v>44800</v>
      </c>
      <c r="C334" s="3">
        <v>0.72916666666666663</v>
      </c>
      <c r="D334" t="s">
        <v>45</v>
      </c>
      <c r="E334" t="s">
        <v>34</v>
      </c>
      <c r="F334" s="1" t="s">
        <v>38</v>
      </c>
      <c r="G334">
        <v>0.69099999999999995</v>
      </c>
      <c r="H334">
        <v>0.78100000000000003</v>
      </c>
      <c r="I334">
        <f t="shared" si="21"/>
        <v>0.13024602026049217</v>
      </c>
      <c r="J334">
        <f t="shared" si="22"/>
        <v>9.6788111070902837E-6</v>
      </c>
      <c r="K334">
        <f t="shared" si="20"/>
        <v>9.6788111070902829</v>
      </c>
      <c r="L334">
        <v>1451.1274696249998</v>
      </c>
      <c r="M334">
        <f t="shared" si="23"/>
        <v>1.4045188670810265</v>
      </c>
      <c r="N334">
        <v>24.7545</v>
      </c>
    </row>
    <row r="335" spans="1:14" x14ac:dyDescent="0.35">
      <c r="A335" t="s">
        <v>37</v>
      </c>
      <c r="B335" s="2">
        <v>44800</v>
      </c>
      <c r="C335" s="3">
        <v>0.75</v>
      </c>
      <c r="D335" t="s">
        <v>45</v>
      </c>
      <c r="E335" t="s">
        <v>34</v>
      </c>
      <c r="F335" s="1" t="s">
        <v>38</v>
      </c>
      <c r="G335">
        <v>0.70499999999999996</v>
      </c>
      <c r="H335">
        <v>0.78100000000000003</v>
      </c>
      <c r="I335">
        <f t="shared" si="21"/>
        <v>0.10780141843971641</v>
      </c>
      <c r="J335">
        <f t="shared" si="22"/>
        <v>7.668451770143925E-6</v>
      </c>
      <c r="K335">
        <f t="shared" si="20"/>
        <v>7.6684517701439248</v>
      </c>
      <c r="L335">
        <v>1451.1274696249998</v>
      </c>
      <c r="M335">
        <f t="shared" si="23"/>
        <v>1.1127901013150305</v>
      </c>
      <c r="N335">
        <v>21.6553</v>
      </c>
    </row>
    <row r="336" spans="1:14" x14ac:dyDescent="0.35">
      <c r="A336" t="s">
        <v>37</v>
      </c>
      <c r="B336" s="2">
        <v>44800</v>
      </c>
      <c r="C336" s="3">
        <v>0.77083333333333337</v>
      </c>
      <c r="D336" t="s">
        <v>45</v>
      </c>
      <c r="E336" t="s">
        <v>34</v>
      </c>
      <c r="F336" s="1" t="s">
        <v>38</v>
      </c>
      <c r="G336">
        <v>0.72</v>
      </c>
      <c r="H336">
        <v>0.78100000000000003</v>
      </c>
      <c r="I336">
        <f t="shared" si="21"/>
        <v>8.4722222222222296E-2</v>
      </c>
      <c r="J336">
        <f t="shared" si="22"/>
        <v>5.7004833980749768E-6</v>
      </c>
      <c r="K336">
        <f t="shared" si="20"/>
        <v>5.7004833980749767</v>
      </c>
      <c r="L336">
        <v>1451.1274696249998</v>
      </c>
      <c r="M336">
        <f t="shared" si="23"/>
        <v>0.82721280490878613</v>
      </c>
      <c r="N336">
        <v>21.886700000000001</v>
      </c>
    </row>
    <row r="337" spans="1:14" x14ac:dyDescent="0.35">
      <c r="A337" t="s">
        <v>37</v>
      </c>
      <c r="B337" s="2">
        <v>44800</v>
      </c>
      <c r="C337" s="3">
        <v>0.79166666666666663</v>
      </c>
      <c r="D337" t="s">
        <v>45</v>
      </c>
      <c r="E337" t="s">
        <v>34</v>
      </c>
      <c r="F337" s="1" t="s">
        <v>38</v>
      </c>
      <c r="G337">
        <v>0.73299999999999998</v>
      </c>
      <c r="H337">
        <v>0.78100000000000003</v>
      </c>
      <c r="I337">
        <f t="shared" si="21"/>
        <v>6.5484311050477556E-2</v>
      </c>
      <c r="J337">
        <f t="shared" si="22"/>
        <v>4.1515658590745009E-6</v>
      </c>
      <c r="K337">
        <f t="shared" si="20"/>
        <v>4.151565859074501</v>
      </c>
      <c r="L337">
        <v>1451.1274696249998</v>
      </c>
      <c r="M337">
        <f t="shared" si="23"/>
        <v>0.60244512600603195</v>
      </c>
      <c r="N337">
        <v>21.135999999999999</v>
      </c>
    </row>
    <row r="338" spans="1:14" x14ac:dyDescent="0.35">
      <c r="A338" t="s">
        <v>37</v>
      </c>
      <c r="B338" s="2">
        <v>44800</v>
      </c>
      <c r="C338" s="3">
        <v>0.8125</v>
      </c>
      <c r="D338" t="s">
        <v>45</v>
      </c>
      <c r="E338" t="s">
        <v>34</v>
      </c>
      <c r="F338" s="1" t="s">
        <v>38</v>
      </c>
      <c r="G338">
        <v>0.745</v>
      </c>
      <c r="H338">
        <v>0.78100000000000003</v>
      </c>
      <c r="I338">
        <f t="shared" si="21"/>
        <v>4.8322147651006751E-2</v>
      </c>
      <c r="J338">
        <f t="shared" si="22"/>
        <v>2.8558209031380295E-6</v>
      </c>
      <c r="K338">
        <f t="shared" si="20"/>
        <v>2.8558209031380293</v>
      </c>
      <c r="L338">
        <v>1451.1274696249998</v>
      </c>
      <c r="M338">
        <f t="shared" si="23"/>
        <v>0.41441601608728701</v>
      </c>
      <c r="N338">
        <v>22.610600000000002</v>
      </c>
    </row>
    <row r="339" spans="1:14" x14ac:dyDescent="0.35">
      <c r="A339" t="s">
        <v>37</v>
      </c>
      <c r="B339" s="2">
        <v>44800</v>
      </c>
      <c r="C339" s="3">
        <v>0.83333333333333337</v>
      </c>
      <c r="D339" t="s">
        <v>45</v>
      </c>
      <c r="E339" t="s">
        <v>34</v>
      </c>
      <c r="F339" s="1" t="s">
        <v>38</v>
      </c>
      <c r="G339">
        <v>0.754</v>
      </c>
      <c r="H339">
        <v>0.78100000000000003</v>
      </c>
      <c r="I339">
        <f t="shared" si="21"/>
        <v>3.5809018567639288E-2</v>
      </c>
      <c r="J339">
        <f t="shared" si="22"/>
        <v>1.9747477528990386E-6</v>
      </c>
      <c r="K339">
        <f t="shared" si="20"/>
        <v>1.9747477528990385</v>
      </c>
      <c r="L339">
        <v>1451.1274696249998</v>
      </c>
      <c r="M339">
        <f t="shared" si="23"/>
        <v>0.28656107098120359</v>
      </c>
      <c r="N339">
        <v>22.5307</v>
      </c>
    </row>
    <row r="340" spans="1:14" x14ac:dyDescent="0.35">
      <c r="A340" t="s">
        <v>37</v>
      </c>
      <c r="B340" s="2">
        <v>44800</v>
      </c>
      <c r="C340" s="3">
        <v>0.85416666666666663</v>
      </c>
      <c r="D340" t="s">
        <v>45</v>
      </c>
      <c r="E340" t="s">
        <v>34</v>
      </c>
      <c r="F340" s="1" t="s">
        <v>38</v>
      </c>
      <c r="G340">
        <v>0.76100000000000001</v>
      </c>
      <c r="H340">
        <v>0.78100000000000003</v>
      </c>
      <c r="I340">
        <f t="shared" si="21"/>
        <v>2.6281208935611061E-2</v>
      </c>
      <c r="J340">
        <f t="shared" si="22"/>
        <v>1.3493678969651298E-6</v>
      </c>
      <c r="K340">
        <f t="shared" si="20"/>
        <v>1.3493678969651299</v>
      </c>
      <c r="L340">
        <v>1451.1274696249998</v>
      </c>
      <c r="M340">
        <f t="shared" si="23"/>
        <v>0.19581048219162164</v>
      </c>
      <c r="N340">
        <v>22.331499999999998</v>
      </c>
    </row>
    <row r="341" spans="1:14" x14ac:dyDescent="0.35">
      <c r="A341" t="s">
        <v>37</v>
      </c>
      <c r="B341" s="2">
        <v>44800</v>
      </c>
      <c r="C341" s="3">
        <v>0.875</v>
      </c>
      <c r="D341" t="s">
        <v>45</v>
      </c>
      <c r="E341" t="s">
        <v>34</v>
      </c>
      <c r="F341" s="1" t="s">
        <v>38</v>
      </c>
      <c r="G341">
        <v>0.76700000000000002</v>
      </c>
      <c r="H341">
        <v>0.78100000000000003</v>
      </c>
      <c r="I341">
        <f t="shared" si="21"/>
        <v>1.8252933507170811E-2</v>
      </c>
      <c r="J341">
        <f t="shared" si="22"/>
        <v>8.6148452449671485E-7</v>
      </c>
      <c r="K341">
        <f t="shared" si="20"/>
        <v>0.86148452449671487</v>
      </c>
      <c r="L341">
        <v>1451.1274696249998</v>
      </c>
      <c r="M341">
        <f t="shared" si="23"/>
        <v>0.12501238581540139</v>
      </c>
      <c r="N341">
        <v>22.132000000000001</v>
      </c>
    </row>
    <row r="342" spans="1:14" x14ac:dyDescent="0.35">
      <c r="A342" t="s">
        <v>37</v>
      </c>
      <c r="B342" s="2">
        <v>44800</v>
      </c>
      <c r="C342" s="3">
        <v>0.89583333333333337</v>
      </c>
      <c r="D342" t="s">
        <v>45</v>
      </c>
      <c r="E342" t="s">
        <v>34</v>
      </c>
      <c r="F342" s="1" t="s">
        <v>38</v>
      </c>
      <c r="G342">
        <v>0.77100000000000002</v>
      </c>
      <c r="H342">
        <v>0.78100000000000003</v>
      </c>
      <c r="I342">
        <f t="shared" si="21"/>
        <v>1.297016861219197E-2</v>
      </c>
      <c r="J342">
        <f t="shared" si="22"/>
        <v>5.6569588814742762E-7</v>
      </c>
      <c r="K342">
        <f t="shared" si="20"/>
        <v>0.56569588814742766</v>
      </c>
      <c r="L342">
        <v>1451.1274696249998</v>
      </c>
      <c r="M342">
        <f t="shared" si="23"/>
        <v>8.2089684274464364E-2</v>
      </c>
      <c r="N342">
        <v>21.936800000000002</v>
      </c>
    </row>
    <row r="343" spans="1:14" x14ac:dyDescent="0.35">
      <c r="A343" t="s">
        <v>37</v>
      </c>
      <c r="B343" s="2">
        <v>44800</v>
      </c>
      <c r="C343" s="3">
        <v>0.91666666666666663</v>
      </c>
      <c r="D343" t="s">
        <v>45</v>
      </c>
      <c r="E343" t="s">
        <v>34</v>
      </c>
      <c r="F343" s="1" t="s">
        <v>38</v>
      </c>
      <c r="G343">
        <v>0.77400000000000002</v>
      </c>
      <c r="H343">
        <v>0.78100000000000003</v>
      </c>
      <c r="I343">
        <f t="shared" si="21"/>
        <v>9.0439276485788193E-3</v>
      </c>
      <c r="J343">
        <f t="shared" si="22"/>
        <v>3.6292971364400677E-7</v>
      </c>
      <c r="K343">
        <f t="shared" si="20"/>
        <v>0.36292971364400678</v>
      </c>
      <c r="L343">
        <v>1451.1274696249998</v>
      </c>
      <c r="M343">
        <f t="shared" si="23"/>
        <v>5.2665727701195333E-2</v>
      </c>
      <c r="N343">
        <v>21.610299999999999</v>
      </c>
    </row>
    <row r="344" spans="1:14" x14ac:dyDescent="0.35">
      <c r="A344" t="s">
        <v>37</v>
      </c>
      <c r="B344" s="2">
        <v>44800</v>
      </c>
      <c r="C344" s="3">
        <v>0.9375</v>
      </c>
      <c r="D344" t="s">
        <v>45</v>
      </c>
      <c r="E344" t="s">
        <v>34</v>
      </c>
      <c r="F344" s="1" t="s">
        <v>38</v>
      </c>
      <c r="G344">
        <v>0.77600000000000002</v>
      </c>
      <c r="H344">
        <v>0.78100000000000003</v>
      </c>
      <c r="I344">
        <f t="shared" si="21"/>
        <v>6.4432989690721707E-3</v>
      </c>
      <c r="J344">
        <f t="shared" si="22"/>
        <v>2.3908881408537811E-7</v>
      </c>
      <c r="K344">
        <f t="shared" si="20"/>
        <v>0.2390888140853781</v>
      </c>
      <c r="L344">
        <v>1451.1274696249998</v>
      </c>
      <c r="M344">
        <f t="shared" si="23"/>
        <v>3.4694834579935677E-2</v>
      </c>
      <c r="N344">
        <v>21.201899999999998</v>
      </c>
    </row>
    <row r="345" spans="1:14" x14ac:dyDescent="0.35">
      <c r="A345" t="s">
        <v>37</v>
      </c>
      <c r="B345" s="2">
        <v>44800</v>
      </c>
      <c r="C345" s="3">
        <v>0.95833333333333337</v>
      </c>
      <c r="D345" t="s">
        <v>45</v>
      </c>
      <c r="E345" t="s">
        <v>34</v>
      </c>
      <c r="F345" s="1" t="s">
        <v>38</v>
      </c>
      <c r="G345">
        <v>0.77700000000000002</v>
      </c>
      <c r="H345">
        <v>0.78100000000000003</v>
      </c>
      <c r="I345">
        <f t="shared" si="21"/>
        <v>5.1480051480051522E-3</v>
      </c>
      <c r="J345">
        <f t="shared" si="22"/>
        <v>1.8137379352024376E-7</v>
      </c>
      <c r="K345">
        <f t="shared" si="20"/>
        <v>0.18137379352024374</v>
      </c>
      <c r="L345">
        <v>1451.1274696249998</v>
      </c>
      <c r="M345">
        <f t="shared" si="23"/>
        <v>2.6319649404731849E-2</v>
      </c>
      <c r="N345">
        <v>20.816600000000001</v>
      </c>
    </row>
    <row r="346" spans="1:14" x14ac:dyDescent="0.35">
      <c r="A346" t="s">
        <v>37</v>
      </c>
      <c r="B346" s="2">
        <v>44800</v>
      </c>
      <c r="C346" s="3">
        <v>0.97916666666666663</v>
      </c>
      <c r="D346" t="s">
        <v>45</v>
      </c>
      <c r="E346" t="s">
        <v>34</v>
      </c>
      <c r="F346" s="1" t="s">
        <v>38</v>
      </c>
      <c r="G346">
        <v>0.77800000000000002</v>
      </c>
      <c r="H346">
        <v>0.78100000000000003</v>
      </c>
      <c r="I346">
        <f t="shared" si="21"/>
        <v>3.8560411311054019E-3</v>
      </c>
      <c r="J346">
        <f t="shared" si="22"/>
        <v>1.2708296592667036E-7</v>
      </c>
      <c r="K346">
        <f t="shared" si="20"/>
        <v>0.12708296592667034</v>
      </c>
      <c r="L346">
        <v>1451.1274696249998</v>
      </c>
      <c r="M346">
        <f t="shared" si="23"/>
        <v>1.844135827776092E-2</v>
      </c>
      <c r="N346">
        <v>20.130299999999998</v>
      </c>
    </row>
    <row r="347" spans="1:14" x14ac:dyDescent="0.35">
      <c r="A347" t="s">
        <v>37</v>
      </c>
      <c r="B347" s="2">
        <v>44800</v>
      </c>
      <c r="C347" s="3">
        <v>0</v>
      </c>
      <c r="D347" t="s">
        <v>42</v>
      </c>
      <c r="E347" t="s">
        <v>7</v>
      </c>
      <c r="F347" s="1" t="s">
        <v>38</v>
      </c>
      <c r="G347">
        <v>0.754</v>
      </c>
      <c r="H347">
        <f>MAX(G347:G394)</f>
        <v>0.76900000000000002</v>
      </c>
      <c r="I347">
        <f t="shared" si="21"/>
        <v>1.9893899204244048E-2</v>
      </c>
      <c r="J347">
        <f t="shared" si="22"/>
        <v>9.5779193222040255E-7</v>
      </c>
      <c r="K347">
        <f t="shared" si="20"/>
        <v>0.9577919322204026</v>
      </c>
      <c r="L347">
        <v>3971.6893664999998</v>
      </c>
      <c r="M347">
        <f t="shared" si="23"/>
        <v>0.38040520325192617</v>
      </c>
      <c r="N347">
        <v>20.112200000000001</v>
      </c>
    </row>
    <row r="348" spans="1:14" x14ac:dyDescent="0.35">
      <c r="A348" t="s">
        <v>37</v>
      </c>
      <c r="B348" s="2">
        <v>44800</v>
      </c>
      <c r="C348" s="3">
        <v>2.0833333333333332E-2</v>
      </c>
      <c r="D348" t="s">
        <v>42</v>
      </c>
      <c r="E348" t="s">
        <v>7</v>
      </c>
      <c r="F348" s="1" t="s">
        <v>38</v>
      </c>
      <c r="G348">
        <v>0.75600000000000001</v>
      </c>
      <c r="H348">
        <v>0.76900000000000002</v>
      </c>
      <c r="I348">
        <f t="shared" si="21"/>
        <v>1.7195767195767212E-2</v>
      </c>
      <c r="J348">
        <f t="shared" si="22"/>
        <v>8.0048075990556555E-7</v>
      </c>
      <c r="K348">
        <f t="shared" si="20"/>
        <v>0.80048075990556555</v>
      </c>
      <c r="L348">
        <v>3971.6893664999998</v>
      </c>
      <c r="M348">
        <f t="shared" si="23"/>
        <v>0.31792609222047741</v>
      </c>
      <c r="N348">
        <v>19.898800000000001</v>
      </c>
    </row>
    <row r="349" spans="1:14" x14ac:dyDescent="0.35">
      <c r="A349" t="s">
        <v>37</v>
      </c>
      <c r="B349" s="2">
        <v>44800</v>
      </c>
      <c r="C349" s="3">
        <v>4.1666666666666664E-2</v>
      </c>
      <c r="D349" t="s">
        <v>42</v>
      </c>
      <c r="E349" t="s">
        <v>7</v>
      </c>
      <c r="F349" s="1" t="s">
        <v>38</v>
      </c>
      <c r="G349">
        <v>0.75800000000000001</v>
      </c>
      <c r="H349">
        <v>0.76900000000000002</v>
      </c>
      <c r="I349">
        <f t="shared" si="21"/>
        <v>1.4511873350923495E-2</v>
      </c>
      <c r="J349">
        <f t="shared" si="22"/>
        <v>6.4957389721582406E-7</v>
      </c>
      <c r="K349">
        <f t="shared" si="20"/>
        <v>0.64957389721582404</v>
      </c>
      <c r="L349">
        <v>3971.6893664999998</v>
      </c>
      <c r="M349">
        <f t="shared" si="23"/>
        <v>0.25799057403280523</v>
      </c>
      <c r="N349">
        <v>19.249500000000001</v>
      </c>
    </row>
    <row r="350" spans="1:14" x14ac:dyDescent="0.35">
      <c r="A350" t="s">
        <v>37</v>
      </c>
      <c r="B350" s="2">
        <v>44800</v>
      </c>
      <c r="C350" s="3">
        <v>6.25E-2</v>
      </c>
      <c r="D350" t="s">
        <v>42</v>
      </c>
      <c r="E350" t="s">
        <v>7</v>
      </c>
      <c r="F350" s="1" t="s">
        <v>38</v>
      </c>
      <c r="G350">
        <v>0.76100000000000001</v>
      </c>
      <c r="H350">
        <v>0.76900000000000002</v>
      </c>
      <c r="I350">
        <f t="shared" si="21"/>
        <v>1.0512483574244424E-2</v>
      </c>
      <c r="J350">
        <f t="shared" si="22"/>
        <v>4.3678349885644503E-7</v>
      </c>
      <c r="K350">
        <f t="shared" si="20"/>
        <v>0.43678349885644502</v>
      </c>
      <c r="L350">
        <v>3971.6893664999998</v>
      </c>
      <c r="M350">
        <f t="shared" si="23"/>
        <v>0.17347683778708076</v>
      </c>
      <c r="N350">
        <v>17.116900000000001</v>
      </c>
    </row>
    <row r="351" spans="1:14" x14ac:dyDescent="0.35">
      <c r="A351" t="s">
        <v>37</v>
      </c>
      <c r="B351" s="2">
        <v>44800</v>
      </c>
      <c r="C351" s="3">
        <v>8.3333333333333329E-2</v>
      </c>
      <c r="D351" t="s">
        <v>42</v>
      </c>
      <c r="E351" t="s">
        <v>7</v>
      </c>
      <c r="F351" s="1" t="s">
        <v>38</v>
      </c>
      <c r="G351">
        <v>0.76300000000000001</v>
      </c>
      <c r="H351">
        <v>0.76900000000000002</v>
      </c>
      <c r="I351">
        <f t="shared" si="21"/>
        <v>7.8636959370904386E-3</v>
      </c>
      <c r="J351">
        <f t="shared" si="22"/>
        <v>3.0553674273628636E-7</v>
      </c>
      <c r="K351">
        <f t="shared" si="20"/>
        <v>0.30553674273628634</v>
      </c>
      <c r="L351">
        <v>3971.6893664999998</v>
      </c>
      <c r="M351">
        <f t="shared" si="23"/>
        <v>0.12134970322007545</v>
      </c>
      <c r="N351">
        <v>16.752199999999998</v>
      </c>
    </row>
    <row r="352" spans="1:14" x14ac:dyDescent="0.35">
      <c r="A352" t="s">
        <v>37</v>
      </c>
      <c r="B352" s="2">
        <v>44800</v>
      </c>
      <c r="C352" s="3">
        <v>0.10416666666666667</v>
      </c>
      <c r="D352" t="s">
        <v>42</v>
      </c>
      <c r="E352" t="s">
        <v>7</v>
      </c>
      <c r="F352" s="1" t="s">
        <v>38</v>
      </c>
      <c r="G352">
        <v>0.76400000000000001</v>
      </c>
      <c r="H352">
        <v>0.76900000000000002</v>
      </c>
      <c r="I352">
        <f t="shared" si="21"/>
        <v>6.5445026178010532E-3</v>
      </c>
      <c r="J352">
        <f t="shared" si="22"/>
        <v>2.4371996794004098E-7</v>
      </c>
      <c r="K352">
        <f t="shared" si="20"/>
        <v>0.24371996794004097</v>
      </c>
      <c r="L352">
        <v>3971.6893664999998</v>
      </c>
      <c r="M352">
        <f t="shared" si="23"/>
        <v>9.6798000507118162E-2</v>
      </c>
      <c r="N352">
        <v>16.4085</v>
      </c>
    </row>
    <row r="353" spans="1:14" x14ac:dyDescent="0.35">
      <c r="A353" t="s">
        <v>37</v>
      </c>
      <c r="B353" s="2">
        <v>44800</v>
      </c>
      <c r="C353" s="3">
        <v>0.125</v>
      </c>
      <c r="D353" t="s">
        <v>42</v>
      </c>
      <c r="E353" t="s">
        <v>7</v>
      </c>
      <c r="F353" s="1" t="s">
        <v>38</v>
      </c>
      <c r="G353">
        <v>0.76400000000000001</v>
      </c>
      <c r="H353">
        <v>0.76900000000000002</v>
      </c>
      <c r="I353">
        <f t="shared" si="21"/>
        <v>6.5445026178010532E-3</v>
      </c>
      <c r="J353">
        <f t="shared" si="22"/>
        <v>2.4371996794004098E-7</v>
      </c>
      <c r="K353">
        <f t="shared" si="20"/>
        <v>0.24371996794004097</v>
      </c>
      <c r="L353">
        <v>3971.6893664999998</v>
      </c>
      <c r="M353">
        <f t="shared" si="23"/>
        <v>9.6798000507118162E-2</v>
      </c>
      <c r="N353">
        <v>17.264900000000001</v>
      </c>
    </row>
    <row r="354" spans="1:14" x14ac:dyDescent="0.35">
      <c r="A354" t="s">
        <v>37</v>
      </c>
      <c r="B354" s="2">
        <v>44800</v>
      </c>
      <c r="C354" s="3">
        <v>0.14583333333333334</v>
      </c>
      <c r="D354" t="s">
        <v>42</v>
      </c>
      <c r="E354" t="s">
        <v>7</v>
      </c>
      <c r="F354" s="1" t="s">
        <v>38</v>
      </c>
      <c r="G354">
        <v>0.76400000000000001</v>
      </c>
      <c r="H354">
        <v>0.76900000000000002</v>
      </c>
      <c r="I354">
        <f t="shared" si="21"/>
        <v>6.5445026178010532E-3</v>
      </c>
      <c r="J354">
        <f t="shared" si="22"/>
        <v>2.4371996794004098E-7</v>
      </c>
      <c r="K354">
        <f t="shared" si="20"/>
        <v>0.24371996794004097</v>
      </c>
      <c r="L354">
        <v>3971.6893664999998</v>
      </c>
      <c r="M354">
        <f t="shared" si="23"/>
        <v>9.6798000507118162E-2</v>
      </c>
      <c r="N354">
        <v>15.769</v>
      </c>
    </row>
    <row r="355" spans="1:14" x14ac:dyDescent="0.35">
      <c r="A355" t="s">
        <v>37</v>
      </c>
      <c r="B355" s="2">
        <v>44800</v>
      </c>
      <c r="C355" s="3">
        <v>0.16666666666666666</v>
      </c>
      <c r="D355" t="s">
        <v>42</v>
      </c>
      <c r="E355" t="s">
        <v>7</v>
      </c>
      <c r="F355" s="1" t="s">
        <v>38</v>
      </c>
      <c r="G355">
        <v>0.76500000000000001</v>
      </c>
      <c r="H355">
        <v>0.76900000000000002</v>
      </c>
      <c r="I355">
        <f t="shared" si="21"/>
        <v>5.2287581699346454E-3</v>
      </c>
      <c r="J355">
        <f t="shared" si="22"/>
        <v>1.8488240590081452E-7</v>
      </c>
      <c r="K355">
        <f t="shared" si="20"/>
        <v>0.18488240590081453</v>
      </c>
      <c r="L355">
        <v>3971.6893664999998</v>
      </c>
      <c r="M355">
        <f t="shared" si="23"/>
        <v>7.3429548556920188E-2</v>
      </c>
      <c r="N355">
        <v>16.060199999999998</v>
      </c>
    </row>
    <row r="356" spans="1:14" x14ac:dyDescent="0.35">
      <c r="A356" t="s">
        <v>37</v>
      </c>
      <c r="B356" s="2">
        <v>44800</v>
      </c>
      <c r="C356" s="3">
        <v>0.1875</v>
      </c>
      <c r="D356" t="s">
        <v>42</v>
      </c>
      <c r="E356" t="s">
        <v>7</v>
      </c>
      <c r="F356" s="1" t="s">
        <v>38</v>
      </c>
      <c r="G356">
        <v>0.76600000000000001</v>
      </c>
      <c r="H356">
        <v>0.76900000000000002</v>
      </c>
      <c r="I356">
        <f t="shared" si="21"/>
        <v>3.916449086161883E-3</v>
      </c>
      <c r="J356">
        <f t="shared" si="22"/>
        <v>1.2953812618360004E-7</v>
      </c>
      <c r="K356">
        <f t="shared" si="20"/>
        <v>0.12953812618360006</v>
      </c>
      <c r="L356">
        <v>3971.6893664999998</v>
      </c>
      <c r="M356">
        <f t="shared" si="23"/>
        <v>5.1448519831973953E-2</v>
      </c>
      <c r="N356">
        <v>15.727600000000001</v>
      </c>
    </row>
    <row r="357" spans="1:14" x14ac:dyDescent="0.35">
      <c r="A357" t="s">
        <v>37</v>
      </c>
      <c r="B357" s="2">
        <v>44800</v>
      </c>
      <c r="C357" s="3">
        <v>0.20833333333333334</v>
      </c>
      <c r="D357" t="s">
        <v>42</v>
      </c>
      <c r="E357" t="s">
        <v>7</v>
      </c>
      <c r="F357" s="1" t="s">
        <v>38</v>
      </c>
      <c r="G357">
        <v>0.76700000000000002</v>
      </c>
      <c r="H357">
        <v>0.76900000000000002</v>
      </c>
      <c r="I357">
        <f t="shared" si="21"/>
        <v>2.60756192959583E-3</v>
      </c>
      <c r="J357">
        <f t="shared" si="22"/>
        <v>7.8511232119676599E-8</v>
      </c>
      <c r="K357">
        <f t="shared" si="20"/>
        <v>7.8511232119676602E-2</v>
      </c>
      <c r="L357">
        <v>3971.6893664999998</v>
      </c>
      <c r="M357">
        <f t="shared" si="23"/>
        <v>3.118222257605328E-2</v>
      </c>
      <c r="N357">
        <v>15.0184</v>
      </c>
    </row>
    <row r="358" spans="1:14" x14ac:dyDescent="0.35">
      <c r="A358" t="s">
        <v>37</v>
      </c>
      <c r="B358" s="2">
        <v>44800</v>
      </c>
      <c r="C358" s="3">
        <v>0.22916666666666666</v>
      </c>
      <c r="D358" t="s">
        <v>42</v>
      </c>
      <c r="E358" t="s">
        <v>7</v>
      </c>
      <c r="F358" s="1" t="s">
        <v>38</v>
      </c>
      <c r="G358">
        <v>0.76900000000000002</v>
      </c>
      <c r="H358">
        <v>0.76900000000000002</v>
      </c>
      <c r="I358">
        <f t="shared" si="21"/>
        <v>0</v>
      </c>
      <c r="J358">
        <f t="shared" si="22"/>
        <v>0</v>
      </c>
      <c r="K358">
        <f t="shared" si="20"/>
        <v>0</v>
      </c>
      <c r="L358">
        <v>3971.6893664999998</v>
      </c>
      <c r="M358">
        <f t="shared" si="23"/>
        <v>0</v>
      </c>
      <c r="N358">
        <v>14.711399999999999</v>
      </c>
    </row>
    <row r="359" spans="1:14" x14ac:dyDescent="0.35">
      <c r="A359" t="s">
        <v>37</v>
      </c>
      <c r="B359" s="2">
        <v>44800</v>
      </c>
      <c r="C359" s="3">
        <v>0.25</v>
      </c>
      <c r="D359" t="s">
        <v>42</v>
      </c>
      <c r="E359" t="s">
        <v>7</v>
      </c>
      <c r="F359" s="1" t="s">
        <v>38</v>
      </c>
      <c r="G359">
        <v>0.76800000000000002</v>
      </c>
      <c r="H359">
        <v>0.76900000000000002</v>
      </c>
      <c r="I359">
        <f t="shared" si="21"/>
        <v>1.3020833333333346E-3</v>
      </c>
      <c r="J359">
        <f t="shared" si="22"/>
        <v>3.3393912089145645E-8</v>
      </c>
      <c r="K359">
        <f t="shared" si="20"/>
        <v>3.3393912089145647E-2</v>
      </c>
      <c r="L359">
        <v>3971.6893664999998</v>
      </c>
      <c r="M359">
        <f t="shared" si="23"/>
        <v>1.3263024555029555E-2</v>
      </c>
      <c r="N359">
        <v>15.889900000000001</v>
      </c>
    </row>
    <row r="360" spans="1:14" x14ac:dyDescent="0.35">
      <c r="A360" t="s">
        <v>37</v>
      </c>
      <c r="B360" s="2">
        <v>44800</v>
      </c>
      <c r="C360" s="3">
        <v>0.27083333333333331</v>
      </c>
      <c r="D360" t="s">
        <v>42</v>
      </c>
      <c r="E360" t="s">
        <v>7</v>
      </c>
      <c r="F360" s="1" t="s">
        <v>38</v>
      </c>
      <c r="G360">
        <v>0.76800000000000002</v>
      </c>
      <c r="H360">
        <v>0.76900000000000002</v>
      </c>
      <c r="I360">
        <f t="shared" si="21"/>
        <v>1.3020833333333346E-3</v>
      </c>
      <c r="J360">
        <f t="shared" si="22"/>
        <v>3.3393912089145645E-8</v>
      </c>
      <c r="K360">
        <f t="shared" si="20"/>
        <v>3.3393912089145647E-2</v>
      </c>
      <c r="L360">
        <v>3971.6893664999998</v>
      </c>
      <c r="M360">
        <f t="shared" si="23"/>
        <v>1.3263024555029555E-2</v>
      </c>
      <c r="N360">
        <v>16.3066</v>
      </c>
    </row>
    <row r="361" spans="1:14" x14ac:dyDescent="0.35">
      <c r="A361" t="s">
        <v>37</v>
      </c>
      <c r="B361" s="2">
        <v>44800</v>
      </c>
      <c r="C361" s="3">
        <v>0.29166666666666669</v>
      </c>
      <c r="D361" t="s">
        <v>42</v>
      </c>
      <c r="E361" t="s">
        <v>7</v>
      </c>
      <c r="F361" s="1" t="s">
        <v>38</v>
      </c>
      <c r="G361">
        <v>0.76800000000000002</v>
      </c>
      <c r="H361">
        <v>0.76900000000000002</v>
      </c>
      <c r="I361">
        <f t="shared" si="21"/>
        <v>1.3020833333333346E-3</v>
      </c>
      <c r="J361">
        <f t="shared" si="22"/>
        <v>3.3393912089145645E-8</v>
      </c>
      <c r="K361">
        <f t="shared" si="20"/>
        <v>3.3393912089145647E-2</v>
      </c>
      <c r="L361">
        <v>3971.6893664999998</v>
      </c>
      <c r="M361">
        <f t="shared" si="23"/>
        <v>1.3263024555029555E-2</v>
      </c>
      <c r="N361">
        <v>17.531300000000002</v>
      </c>
    </row>
    <row r="362" spans="1:14" x14ac:dyDescent="0.35">
      <c r="A362" t="s">
        <v>37</v>
      </c>
      <c r="B362" s="2">
        <v>44800</v>
      </c>
      <c r="C362" s="3">
        <v>0.3125</v>
      </c>
      <c r="D362" t="s">
        <v>42</v>
      </c>
      <c r="E362" t="s">
        <v>7</v>
      </c>
      <c r="F362" s="1" t="s">
        <v>38</v>
      </c>
      <c r="G362">
        <v>0.76400000000000001</v>
      </c>
      <c r="H362">
        <v>0.76900000000000002</v>
      </c>
      <c r="I362">
        <f t="shared" si="21"/>
        <v>6.5445026178010532E-3</v>
      </c>
      <c r="J362">
        <f t="shared" si="22"/>
        <v>2.4371996794004098E-7</v>
      </c>
      <c r="K362">
        <f t="shared" si="20"/>
        <v>0.24371996794004097</v>
      </c>
      <c r="L362">
        <v>3971.6893664999998</v>
      </c>
      <c r="M362">
        <f t="shared" si="23"/>
        <v>9.6798000507118162E-2</v>
      </c>
      <c r="N362">
        <v>18.497699999999998</v>
      </c>
    </row>
    <row r="363" spans="1:14" x14ac:dyDescent="0.35">
      <c r="A363" t="s">
        <v>37</v>
      </c>
      <c r="B363" s="2">
        <v>44800</v>
      </c>
      <c r="C363" s="3">
        <v>0.33333333333333331</v>
      </c>
      <c r="D363" t="s">
        <v>42</v>
      </c>
      <c r="E363" t="s">
        <v>7</v>
      </c>
      <c r="F363" s="1" t="s">
        <v>38</v>
      </c>
      <c r="G363">
        <v>0.751</v>
      </c>
      <c r="H363">
        <v>0.76900000000000002</v>
      </c>
      <c r="I363">
        <f t="shared" si="21"/>
        <v>2.3968042609853552E-2</v>
      </c>
      <c r="J363">
        <f t="shared" si="22"/>
        <v>1.2046881897445647E-6</v>
      </c>
      <c r="K363">
        <f t="shared" ref="K363:K426" si="24">J363*10^6</f>
        <v>1.2046881897445647</v>
      </c>
      <c r="L363">
        <v>3971.6893664999998</v>
      </c>
      <c r="M363">
        <f t="shared" si="23"/>
        <v>0.47846472731566214</v>
      </c>
      <c r="N363">
        <v>20.640699999999999</v>
      </c>
    </row>
    <row r="364" spans="1:14" x14ac:dyDescent="0.35">
      <c r="A364" t="s">
        <v>37</v>
      </c>
      <c r="B364" s="2">
        <v>44800</v>
      </c>
      <c r="C364" s="3">
        <v>0.35416666666666669</v>
      </c>
      <c r="D364" t="s">
        <v>42</v>
      </c>
      <c r="E364" t="s">
        <v>7</v>
      </c>
      <c r="F364" s="1" t="s">
        <v>38</v>
      </c>
      <c r="G364">
        <v>0.71599999999999997</v>
      </c>
      <c r="H364">
        <v>0.76900000000000002</v>
      </c>
      <c r="I364">
        <f t="shared" si="21"/>
        <v>7.4022346368715158E-2</v>
      </c>
      <c r="J364">
        <f t="shared" si="22"/>
        <v>4.8276149820165515E-6</v>
      </c>
      <c r="K364">
        <f t="shared" si="24"/>
        <v>4.8276149820165513</v>
      </c>
      <c r="L364">
        <v>3971.6893664999998</v>
      </c>
      <c r="M364">
        <f t="shared" si="23"/>
        <v>1.9173787089631225</v>
      </c>
      <c r="N364">
        <v>21.7852</v>
      </c>
    </row>
    <row r="365" spans="1:14" x14ac:dyDescent="0.35">
      <c r="A365" t="s">
        <v>37</v>
      </c>
      <c r="B365" s="2">
        <v>44800</v>
      </c>
      <c r="C365" s="3">
        <v>0.375</v>
      </c>
      <c r="D365" t="s">
        <v>42</v>
      </c>
      <c r="E365" t="s">
        <v>7</v>
      </c>
      <c r="F365" s="1" t="s">
        <v>38</v>
      </c>
      <c r="G365">
        <v>0.66800000000000004</v>
      </c>
      <c r="H365">
        <v>0.76900000000000002</v>
      </c>
      <c r="I365">
        <f t="shared" si="21"/>
        <v>0.15119760479041913</v>
      </c>
      <c r="J365">
        <f t="shared" si="22"/>
        <v>1.1629652747211621E-5</v>
      </c>
      <c r="K365">
        <f t="shared" si="24"/>
        <v>11.629652747211621</v>
      </c>
      <c r="L365">
        <v>3971.6893664999998</v>
      </c>
      <c r="M365">
        <f t="shared" si="23"/>
        <v>4.61893681521879</v>
      </c>
      <c r="N365">
        <v>23.6355</v>
      </c>
    </row>
    <row r="366" spans="1:14" x14ac:dyDescent="0.35">
      <c r="A366" t="s">
        <v>37</v>
      </c>
      <c r="B366" s="2">
        <v>44800</v>
      </c>
      <c r="C366" s="3">
        <v>0.39583333333333331</v>
      </c>
      <c r="D366" t="s">
        <v>42</v>
      </c>
      <c r="E366" t="s">
        <v>7</v>
      </c>
      <c r="F366" s="1" t="s">
        <v>38</v>
      </c>
      <c r="G366">
        <v>0.628</v>
      </c>
      <c r="H366">
        <v>0.76900000000000002</v>
      </c>
      <c r="I366">
        <f t="shared" si="21"/>
        <v>0.22452229299363061</v>
      </c>
      <c r="J366">
        <f t="shared" si="22"/>
        <v>1.8921142984552032E-5</v>
      </c>
      <c r="K366">
        <f t="shared" si="24"/>
        <v>18.921142984552031</v>
      </c>
      <c r="L366">
        <v>3971.6893664999998</v>
      </c>
      <c r="M366">
        <f t="shared" si="23"/>
        <v>7.5148902393771371</v>
      </c>
      <c r="N366">
        <v>25.8127</v>
      </c>
    </row>
    <row r="367" spans="1:14" x14ac:dyDescent="0.35">
      <c r="A367" t="s">
        <v>37</v>
      </c>
      <c r="B367" s="2">
        <v>44800</v>
      </c>
      <c r="C367" s="3">
        <v>0.41666666666666669</v>
      </c>
      <c r="D367" t="s">
        <v>42</v>
      </c>
      <c r="E367" t="s">
        <v>7</v>
      </c>
      <c r="F367" s="1" t="s">
        <v>38</v>
      </c>
      <c r="G367">
        <v>0.60699999999999998</v>
      </c>
      <c r="H367">
        <v>0.76900000000000002</v>
      </c>
      <c r="I367">
        <f t="shared" si="21"/>
        <v>0.26688632619439873</v>
      </c>
      <c r="J367">
        <f t="shared" si="22"/>
        <v>2.3407480247763718E-5</v>
      </c>
      <c r="K367">
        <f t="shared" si="24"/>
        <v>23.407480247763718</v>
      </c>
      <c r="L367">
        <v>3971.6893664999998</v>
      </c>
      <c r="M367">
        <f t="shared" si="23"/>
        <v>9.2967240396601944</v>
      </c>
      <c r="N367">
        <v>27.663900000000002</v>
      </c>
    </row>
    <row r="368" spans="1:14" x14ac:dyDescent="0.35">
      <c r="A368" t="s">
        <v>37</v>
      </c>
      <c r="B368" s="2">
        <v>44800</v>
      </c>
      <c r="C368" s="3">
        <v>0.4375</v>
      </c>
      <c r="D368" t="s">
        <v>42</v>
      </c>
      <c r="E368" t="s">
        <v>7</v>
      </c>
      <c r="F368" s="1" t="s">
        <v>38</v>
      </c>
      <c r="G368">
        <v>0.58599999999999997</v>
      </c>
      <c r="H368">
        <v>0.76900000000000002</v>
      </c>
      <c r="I368">
        <f t="shared" si="21"/>
        <v>0.31228668941979532</v>
      </c>
      <c r="J368">
        <f t="shared" si="22"/>
        <v>2.840156605106561E-5</v>
      </c>
      <c r="K368">
        <f t="shared" si="24"/>
        <v>28.401566051065611</v>
      </c>
      <c r="L368">
        <v>3971.6893664999998</v>
      </c>
      <c r="M368">
        <f t="shared" si="23"/>
        <v>11.280219787696467</v>
      </c>
      <c r="N368">
        <v>29.2453</v>
      </c>
    </row>
    <row r="369" spans="1:14" x14ac:dyDescent="0.35">
      <c r="A369" t="s">
        <v>37</v>
      </c>
      <c r="B369" s="2">
        <v>44800</v>
      </c>
      <c r="C369" s="3">
        <v>0.45833333333333331</v>
      </c>
      <c r="D369" t="s">
        <v>42</v>
      </c>
      <c r="E369" t="s">
        <v>7</v>
      </c>
      <c r="F369" s="1" t="s">
        <v>38</v>
      </c>
      <c r="G369">
        <v>0.56200000000000006</v>
      </c>
      <c r="H369">
        <v>0.76900000000000002</v>
      </c>
      <c r="I369">
        <f t="shared" si="21"/>
        <v>0.36832740213523119</v>
      </c>
      <c r="J369">
        <f t="shared" si="22"/>
        <v>3.4800144894334567E-5</v>
      </c>
      <c r="K369">
        <f t="shared" si="24"/>
        <v>34.800144894334565</v>
      </c>
      <c r="L369">
        <v>3971.6893664999998</v>
      </c>
      <c r="M369">
        <f t="shared" si="23"/>
        <v>13.821536542948785</v>
      </c>
      <c r="N369">
        <v>31.9986</v>
      </c>
    </row>
    <row r="370" spans="1:14" x14ac:dyDescent="0.35">
      <c r="A370" t="s">
        <v>37</v>
      </c>
      <c r="B370" s="2">
        <v>44800</v>
      </c>
      <c r="C370" s="3">
        <v>0.47916666666666669</v>
      </c>
      <c r="D370" t="s">
        <v>42</v>
      </c>
      <c r="E370" t="s">
        <v>7</v>
      </c>
      <c r="F370" s="1" t="s">
        <v>38</v>
      </c>
      <c r="G370">
        <v>0.55400000000000005</v>
      </c>
      <c r="H370">
        <v>0.76900000000000002</v>
      </c>
      <c r="I370">
        <f t="shared" si="21"/>
        <v>0.38808664259927789</v>
      </c>
      <c r="J370">
        <f t="shared" si="22"/>
        <v>3.7112326917386154E-5</v>
      </c>
      <c r="K370">
        <f t="shared" si="24"/>
        <v>37.112326917386156</v>
      </c>
      <c r="L370">
        <v>3971.6893664999998</v>
      </c>
      <c r="M370">
        <f t="shared" si="23"/>
        <v>14.739863418385431</v>
      </c>
      <c r="N370">
        <v>31.6327</v>
      </c>
    </row>
    <row r="371" spans="1:14" x14ac:dyDescent="0.35">
      <c r="A371" t="s">
        <v>37</v>
      </c>
      <c r="B371" s="2">
        <v>44800</v>
      </c>
      <c r="C371" s="3">
        <v>0.5</v>
      </c>
      <c r="D371" t="s">
        <v>42</v>
      </c>
      <c r="E371" t="s">
        <v>7</v>
      </c>
      <c r="F371" s="1" t="s">
        <v>38</v>
      </c>
      <c r="G371">
        <v>0.55800000000000005</v>
      </c>
      <c r="H371">
        <v>0.76900000000000002</v>
      </c>
      <c r="I371">
        <f t="shared" si="21"/>
        <v>0.37813620071684578</v>
      </c>
      <c r="J371">
        <f t="shared" si="22"/>
        <v>3.594446012069846E-5</v>
      </c>
      <c r="K371">
        <f t="shared" si="24"/>
        <v>35.944460120698459</v>
      </c>
      <c r="L371">
        <v>3971.6893664999998</v>
      </c>
      <c r="M371">
        <f t="shared" si="23"/>
        <v>14.276023004596137</v>
      </c>
      <c r="N371">
        <v>31.8827</v>
      </c>
    </row>
    <row r="372" spans="1:14" x14ac:dyDescent="0.35">
      <c r="A372" t="s">
        <v>37</v>
      </c>
      <c r="B372" s="2">
        <v>44800</v>
      </c>
      <c r="C372" s="3">
        <v>0.52083333333333337</v>
      </c>
      <c r="D372" t="s">
        <v>42</v>
      </c>
      <c r="E372" t="s">
        <v>7</v>
      </c>
      <c r="F372" s="1" t="s">
        <v>38</v>
      </c>
      <c r="G372">
        <v>0.56200000000000006</v>
      </c>
      <c r="H372">
        <v>0.76900000000000002</v>
      </c>
      <c r="I372">
        <f t="shared" si="21"/>
        <v>0.36832740213523119</v>
      </c>
      <c r="J372">
        <f t="shared" si="22"/>
        <v>3.4800144894334567E-5</v>
      </c>
      <c r="K372">
        <f t="shared" si="24"/>
        <v>34.800144894334565</v>
      </c>
      <c r="L372">
        <v>3971.6893664999998</v>
      </c>
      <c r="M372">
        <f t="shared" si="23"/>
        <v>13.821536542948785</v>
      </c>
      <c r="N372">
        <v>32.619799999999998</v>
      </c>
    </row>
    <row r="373" spans="1:14" x14ac:dyDescent="0.35">
      <c r="A373" t="s">
        <v>37</v>
      </c>
      <c r="B373" s="2">
        <v>44800</v>
      </c>
      <c r="C373" s="3">
        <v>0.54166666666666663</v>
      </c>
      <c r="D373" t="s">
        <v>42</v>
      </c>
      <c r="E373" t="s">
        <v>7</v>
      </c>
      <c r="F373" s="1" t="s">
        <v>38</v>
      </c>
      <c r="G373">
        <v>0.56999999999999995</v>
      </c>
      <c r="H373">
        <v>0.76900000000000002</v>
      </c>
      <c r="I373">
        <f t="shared" si="21"/>
        <v>0.349122807017544</v>
      </c>
      <c r="J373">
        <f t="shared" si="22"/>
        <v>3.2580155374178045E-5</v>
      </c>
      <c r="K373">
        <f t="shared" si="24"/>
        <v>32.580155374178048</v>
      </c>
      <c r="L373">
        <v>3971.6893664999998</v>
      </c>
      <c r="M373">
        <f t="shared" si="23"/>
        <v>12.939825665854077</v>
      </c>
      <c r="N373">
        <v>29.2163</v>
      </c>
    </row>
    <row r="374" spans="1:14" x14ac:dyDescent="0.35">
      <c r="A374" t="s">
        <v>37</v>
      </c>
      <c r="B374" s="2">
        <v>44800</v>
      </c>
      <c r="C374" s="3">
        <v>0.5625</v>
      </c>
      <c r="D374" t="s">
        <v>42</v>
      </c>
      <c r="E374" t="s">
        <v>7</v>
      </c>
      <c r="F374" s="1" t="s">
        <v>38</v>
      </c>
      <c r="G374">
        <v>0.57899999999999996</v>
      </c>
      <c r="H374">
        <v>0.76900000000000002</v>
      </c>
      <c r="I374">
        <f t="shared" si="21"/>
        <v>0.3281519861830744</v>
      </c>
      <c r="J374">
        <f t="shared" si="22"/>
        <v>3.0188068877807554E-5</v>
      </c>
      <c r="K374">
        <f t="shared" si="24"/>
        <v>30.188068877807552</v>
      </c>
      <c r="L374">
        <v>3971.6893664999998</v>
      </c>
      <c r="M374">
        <f t="shared" si="23"/>
        <v>11.989763215715783</v>
      </c>
      <c r="N374">
        <v>30.803799999999999</v>
      </c>
    </row>
    <row r="375" spans="1:14" x14ac:dyDescent="0.35">
      <c r="A375" t="s">
        <v>37</v>
      </c>
      <c r="B375" s="2">
        <v>44800</v>
      </c>
      <c r="C375" s="3">
        <v>0.58333333333333337</v>
      </c>
      <c r="D375" t="s">
        <v>42</v>
      </c>
      <c r="E375" t="s">
        <v>7</v>
      </c>
      <c r="F375" s="1" t="s">
        <v>38</v>
      </c>
      <c r="G375">
        <v>0.58899999999999997</v>
      </c>
      <c r="H375">
        <v>0.76900000000000002</v>
      </c>
      <c r="I375">
        <f t="shared" si="21"/>
        <v>0.30560271646859094</v>
      </c>
      <c r="J375">
        <f t="shared" si="22"/>
        <v>2.7655116179884498E-5</v>
      </c>
      <c r="K375">
        <f t="shared" si="24"/>
        <v>27.655116179884498</v>
      </c>
      <c r="L375">
        <v>3971.6893664999998</v>
      </c>
      <c r="M375">
        <f t="shared" si="23"/>
        <v>10.983753086096936</v>
      </c>
      <c r="N375">
        <v>30.016100000000002</v>
      </c>
    </row>
    <row r="376" spans="1:14" x14ac:dyDescent="0.35">
      <c r="A376" t="s">
        <v>37</v>
      </c>
      <c r="B376" s="2">
        <v>44800</v>
      </c>
      <c r="C376" s="3">
        <v>0.60416666666666663</v>
      </c>
      <c r="D376" t="s">
        <v>42</v>
      </c>
      <c r="E376" t="s">
        <v>7</v>
      </c>
      <c r="F376" s="1" t="s">
        <v>38</v>
      </c>
      <c r="G376">
        <v>0.59299999999999997</v>
      </c>
      <c r="H376">
        <v>0.76900000000000002</v>
      </c>
      <c r="I376">
        <f t="shared" si="21"/>
        <v>0.29679595278246212</v>
      </c>
      <c r="J376">
        <f t="shared" si="22"/>
        <v>2.6677352535956762E-5</v>
      </c>
      <c r="K376">
        <f t="shared" si="24"/>
        <v>26.677352535956761</v>
      </c>
      <c r="L376">
        <v>3971.6893664999998</v>
      </c>
      <c r="M376">
        <f t="shared" si="23"/>
        <v>10.595415739343126</v>
      </c>
      <c r="N376">
        <v>31.1188</v>
      </c>
    </row>
    <row r="377" spans="1:14" x14ac:dyDescent="0.35">
      <c r="A377" t="s">
        <v>37</v>
      </c>
      <c r="B377" s="2">
        <v>44800</v>
      </c>
      <c r="C377" s="3">
        <v>0.625</v>
      </c>
      <c r="D377" t="s">
        <v>42</v>
      </c>
      <c r="E377" t="s">
        <v>7</v>
      </c>
      <c r="F377" s="1" t="s">
        <v>38</v>
      </c>
      <c r="G377">
        <v>0.60399999999999998</v>
      </c>
      <c r="H377">
        <v>0.76900000000000002</v>
      </c>
      <c r="I377">
        <f t="shared" si="21"/>
        <v>0.27317880794701993</v>
      </c>
      <c r="J377">
        <f t="shared" si="22"/>
        <v>2.4088692362805868E-5</v>
      </c>
      <c r="K377">
        <f t="shared" si="24"/>
        <v>24.088692362805869</v>
      </c>
      <c r="L377">
        <v>3971.6893664999998</v>
      </c>
      <c r="M377">
        <f t="shared" si="23"/>
        <v>9.5672803310245822</v>
      </c>
      <c r="N377">
        <v>33.7301</v>
      </c>
    </row>
    <row r="378" spans="1:14" x14ac:dyDescent="0.35">
      <c r="A378" t="s">
        <v>37</v>
      </c>
      <c r="B378" s="2">
        <v>44800</v>
      </c>
      <c r="C378" s="3">
        <v>0.64583333333333337</v>
      </c>
      <c r="D378" t="s">
        <v>42</v>
      </c>
      <c r="E378" t="s">
        <v>7</v>
      </c>
      <c r="F378" s="1" t="s">
        <v>38</v>
      </c>
      <c r="G378">
        <v>0.61399999999999999</v>
      </c>
      <c r="H378">
        <v>0.76900000000000002</v>
      </c>
      <c r="I378">
        <f t="shared" si="21"/>
        <v>0.25244299674267107</v>
      </c>
      <c r="J378">
        <f t="shared" si="22"/>
        <v>2.1857979633501219E-5</v>
      </c>
      <c r="K378">
        <f t="shared" si="24"/>
        <v>21.85797963350122</v>
      </c>
      <c r="L378">
        <v>3971.6893664999998</v>
      </c>
      <c r="M378">
        <f t="shared" si="23"/>
        <v>8.681310528355036</v>
      </c>
      <c r="N378">
        <v>32.391100000000002</v>
      </c>
    </row>
    <row r="379" spans="1:14" x14ac:dyDescent="0.35">
      <c r="A379" t="s">
        <v>37</v>
      </c>
      <c r="B379" s="2">
        <v>44800</v>
      </c>
      <c r="C379" s="3">
        <v>0.66666666666666663</v>
      </c>
      <c r="D379" t="s">
        <v>42</v>
      </c>
      <c r="E379" t="s">
        <v>7</v>
      </c>
      <c r="F379" s="1" t="s">
        <v>38</v>
      </c>
      <c r="G379">
        <v>0.62</v>
      </c>
      <c r="H379">
        <v>0.76900000000000002</v>
      </c>
      <c r="I379">
        <f t="shared" si="21"/>
        <v>0.24032258064516132</v>
      </c>
      <c r="J379">
        <f t="shared" si="22"/>
        <v>2.0573353483634515E-5</v>
      </c>
      <c r="K379">
        <f t="shared" si="24"/>
        <v>20.573353483634516</v>
      </c>
      <c r="L379">
        <v>3971.6893664999998</v>
      </c>
      <c r="M379">
        <f t="shared" si="23"/>
        <v>8.1710969264196933</v>
      </c>
      <c r="N379">
        <v>28.613099999999999</v>
      </c>
    </row>
    <row r="380" spans="1:14" x14ac:dyDescent="0.35">
      <c r="A380" t="s">
        <v>37</v>
      </c>
      <c r="B380" s="2">
        <v>44800</v>
      </c>
      <c r="C380" s="3">
        <v>0.6875</v>
      </c>
      <c r="D380" t="s">
        <v>42</v>
      </c>
      <c r="E380" t="s">
        <v>7</v>
      </c>
      <c r="F380" s="1" t="s">
        <v>38</v>
      </c>
      <c r="G380">
        <v>0.63300000000000001</v>
      </c>
      <c r="H380">
        <v>0.76900000000000002</v>
      </c>
      <c r="I380">
        <f t="shared" si="21"/>
        <v>0.21484992101105846</v>
      </c>
      <c r="J380">
        <f t="shared" si="22"/>
        <v>1.7922780687334971E-5</v>
      </c>
      <c r="K380">
        <f t="shared" si="24"/>
        <v>17.922780687334971</v>
      </c>
      <c r="L380">
        <v>3971.6893664999998</v>
      </c>
      <c r="M380">
        <f t="shared" si="23"/>
        <v>7.1183717473999861</v>
      </c>
      <c r="N380">
        <v>29.746700000000001</v>
      </c>
    </row>
    <row r="381" spans="1:14" x14ac:dyDescent="0.35">
      <c r="A381" t="s">
        <v>37</v>
      </c>
      <c r="B381" s="2">
        <v>44800</v>
      </c>
      <c r="C381" s="3">
        <v>0.70833333333333337</v>
      </c>
      <c r="D381" t="s">
        <v>42</v>
      </c>
      <c r="E381" t="s">
        <v>7</v>
      </c>
      <c r="F381" s="1" t="s">
        <v>38</v>
      </c>
      <c r="G381">
        <v>0.64</v>
      </c>
      <c r="H381">
        <v>0.76900000000000002</v>
      </c>
      <c r="I381">
        <f t="shared" si="21"/>
        <v>0.20156250000000001</v>
      </c>
      <c r="J381">
        <f t="shared" si="22"/>
        <v>1.6568200700931573E-5</v>
      </c>
      <c r="K381">
        <f t="shared" si="24"/>
        <v>16.568200700931573</v>
      </c>
      <c r="L381">
        <v>3971.6893664999998</v>
      </c>
      <c r="M381">
        <f t="shared" si="23"/>
        <v>6.5803746545927773</v>
      </c>
      <c r="N381">
        <v>26.706800000000001</v>
      </c>
    </row>
    <row r="382" spans="1:14" x14ac:dyDescent="0.35">
      <c r="A382" t="s">
        <v>37</v>
      </c>
      <c r="B382" s="2">
        <v>44800</v>
      </c>
      <c r="C382" s="3">
        <v>0.72916666666666663</v>
      </c>
      <c r="D382" t="s">
        <v>42</v>
      </c>
      <c r="E382" t="s">
        <v>7</v>
      </c>
      <c r="F382" s="1" t="s">
        <v>38</v>
      </c>
      <c r="G382">
        <v>0.65100000000000002</v>
      </c>
      <c r="H382">
        <v>0.76900000000000002</v>
      </c>
      <c r="I382">
        <f t="shared" si="21"/>
        <v>0.1812596006144393</v>
      </c>
      <c r="J382">
        <f t="shared" si="22"/>
        <v>1.4538363239485437E-5</v>
      </c>
      <c r="K382">
        <f t="shared" si="24"/>
        <v>14.538363239485436</v>
      </c>
      <c r="L382">
        <v>3971.6893664999998</v>
      </c>
      <c r="M382">
        <f t="shared" si="23"/>
        <v>5.7741862684578793</v>
      </c>
      <c r="N382">
        <v>24.7545</v>
      </c>
    </row>
    <row r="383" spans="1:14" x14ac:dyDescent="0.35">
      <c r="A383" t="s">
        <v>37</v>
      </c>
      <c r="B383" s="2">
        <v>44800</v>
      </c>
      <c r="C383" s="3">
        <v>0.75</v>
      </c>
      <c r="D383" t="s">
        <v>42</v>
      </c>
      <c r="E383" t="s">
        <v>7</v>
      </c>
      <c r="F383" s="1" t="s">
        <v>38</v>
      </c>
      <c r="G383">
        <v>0.67100000000000004</v>
      </c>
      <c r="H383">
        <v>0.76900000000000002</v>
      </c>
      <c r="I383">
        <f t="shared" si="21"/>
        <v>0.14605067064083452</v>
      </c>
      <c r="J383">
        <f t="shared" si="22"/>
        <v>1.1144249798516787E-5</v>
      </c>
      <c r="K383">
        <f t="shared" si="24"/>
        <v>11.144249798516787</v>
      </c>
      <c r="L383">
        <v>3971.6893664999998</v>
      </c>
      <c r="M383">
        <f t="shared" si="23"/>
        <v>4.426149842238889</v>
      </c>
      <c r="N383">
        <v>21.6553</v>
      </c>
    </row>
    <row r="384" spans="1:14" x14ac:dyDescent="0.35">
      <c r="A384" t="s">
        <v>37</v>
      </c>
      <c r="B384" s="2">
        <v>44800</v>
      </c>
      <c r="C384" s="3">
        <v>0.77083333333333337</v>
      </c>
      <c r="D384" t="s">
        <v>42</v>
      </c>
      <c r="E384" t="s">
        <v>7</v>
      </c>
      <c r="F384" s="1" t="s">
        <v>38</v>
      </c>
      <c r="G384">
        <v>0.69199999999999995</v>
      </c>
      <c r="H384">
        <v>0.76900000000000002</v>
      </c>
      <c r="I384">
        <f t="shared" si="21"/>
        <v>0.11127167630057815</v>
      </c>
      <c r="J384">
        <f t="shared" si="22"/>
        <v>7.9734530588852517E-6</v>
      </c>
      <c r="K384">
        <f t="shared" si="24"/>
        <v>7.9734530588852515</v>
      </c>
      <c r="L384">
        <v>3971.6893664999998</v>
      </c>
      <c r="M384">
        <f t="shared" si="23"/>
        <v>3.1668078728261451</v>
      </c>
      <c r="N384">
        <v>21.886700000000001</v>
      </c>
    </row>
    <row r="385" spans="1:14" x14ac:dyDescent="0.35">
      <c r="A385" t="s">
        <v>37</v>
      </c>
      <c r="B385" s="2">
        <v>44800</v>
      </c>
      <c r="C385" s="3">
        <v>0.79166666666666663</v>
      </c>
      <c r="D385" t="s">
        <v>42</v>
      </c>
      <c r="E385" t="s">
        <v>7</v>
      </c>
      <c r="F385" s="1" t="s">
        <v>38</v>
      </c>
      <c r="G385">
        <v>0.70799999999999996</v>
      </c>
      <c r="H385">
        <v>0.76900000000000002</v>
      </c>
      <c r="I385">
        <f t="shared" si="21"/>
        <v>8.6158192090395561E-2</v>
      </c>
      <c r="J385">
        <f t="shared" si="22"/>
        <v>5.8196524331608796E-6</v>
      </c>
      <c r="K385">
        <f t="shared" si="24"/>
        <v>5.8196524331608792</v>
      </c>
      <c r="L385">
        <v>3971.6893664999998</v>
      </c>
      <c r="M385">
        <f t="shared" si="23"/>
        <v>2.3113851685510913</v>
      </c>
      <c r="N385">
        <v>21.135999999999999</v>
      </c>
    </row>
    <row r="386" spans="1:14" x14ac:dyDescent="0.35">
      <c r="A386" t="s">
        <v>37</v>
      </c>
      <c r="B386" s="2">
        <v>44800</v>
      </c>
      <c r="C386" s="3">
        <v>0.8125</v>
      </c>
      <c r="D386" t="s">
        <v>42</v>
      </c>
      <c r="E386" t="s">
        <v>7</v>
      </c>
      <c r="F386" s="1" t="s">
        <v>38</v>
      </c>
      <c r="G386">
        <v>0.72</v>
      </c>
      <c r="H386">
        <v>0.76900000000000002</v>
      </c>
      <c r="I386">
        <f t="shared" ref="I386:I449" si="25">(H386-G386)/G386</f>
        <v>6.8055555555555619E-2</v>
      </c>
      <c r="J386">
        <f t="shared" ref="J386:J449" si="26">119*10^-6*(I386^1.231)</f>
        <v>4.3531339679484075E-6</v>
      </c>
      <c r="K386">
        <f t="shared" si="24"/>
        <v>4.3531339679484073</v>
      </c>
      <c r="L386">
        <v>3971.6893664999998</v>
      </c>
      <c r="M386">
        <f t="shared" si="23"/>
        <v>1.728929589145064</v>
      </c>
      <c r="N386">
        <v>22.610600000000002</v>
      </c>
    </row>
    <row r="387" spans="1:14" x14ac:dyDescent="0.35">
      <c r="A387" t="s">
        <v>37</v>
      </c>
      <c r="B387" s="2">
        <v>44800</v>
      </c>
      <c r="C387" s="3">
        <v>0.83333333333333337</v>
      </c>
      <c r="D387" t="s">
        <v>42</v>
      </c>
      <c r="E387" t="s">
        <v>7</v>
      </c>
      <c r="F387" s="1" t="s">
        <v>38</v>
      </c>
      <c r="G387">
        <v>0.72899999999999998</v>
      </c>
      <c r="H387">
        <v>0.76900000000000002</v>
      </c>
      <c r="I387">
        <f t="shared" si="25"/>
        <v>5.4869684499314182E-2</v>
      </c>
      <c r="J387">
        <f t="shared" si="26"/>
        <v>3.3393752447535859E-6</v>
      </c>
      <c r="K387">
        <f t="shared" si="24"/>
        <v>3.3393752447535858</v>
      </c>
      <c r="L387">
        <v>3971.6893664999998</v>
      </c>
      <c r="M387">
        <f t="shared" ref="M387:M450" si="27">K387*(L387/10000)</f>
        <v>1.326296115034115</v>
      </c>
      <c r="N387">
        <v>22.5307</v>
      </c>
    </row>
    <row r="388" spans="1:14" x14ac:dyDescent="0.35">
      <c r="A388" t="s">
        <v>37</v>
      </c>
      <c r="B388" s="2">
        <v>44800</v>
      </c>
      <c r="C388" s="3">
        <v>0.85416666666666663</v>
      </c>
      <c r="D388" t="s">
        <v>42</v>
      </c>
      <c r="E388" t="s">
        <v>7</v>
      </c>
      <c r="F388" s="1" t="s">
        <v>38</v>
      </c>
      <c r="G388">
        <v>0.73799999999999999</v>
      </c>
      <c r="H388">
        <v>0.76900000000000002</v>
      </c>
      <c r="I388">
        <f t="shared" si="25"/>
        <v>4.2005420054200583E-2</v>
      </c>
      <c r="J388">
        <f t="shared" si="26"/>
        <v>2.4034540584924141E-6</v>
      </c>
      <c r="K388">
        <f t="shared" si="24"/>
        <v>2.403454058492414</v>
      </c>
      <c r="L388">
        <v>3971.6893664999998</v>
      </c>
      <c r="M388">
        <f t="shared" si="27"/>
        <v>0.95457729269855895</v>
      </c>
      <c r="N388">
        <v>22.331499999999998</v>
      </c>
    </row>
    <row r="389" spans="1:14" x14ac:dyDescent="0.35">
      <c r="A389" t="s">
        <v>37</v>
      </c>
      <c r="B389" s="2">
        <v>44800</v>
      </c>
      <c r="C389" s="3">
        <v>0.875</v>
      </c>
      <c r="D389" t="s">
        <v>42</v>
      </c>
      <c r="E389" t="s">
        <v>7</v>
      </c>
      <c r="F389" s="1" t="s">
        <v>38</v>
      </c>
      <c r="G389">
        <v>0.745</v>
      </c>
      <c r="H389">
        <v>0.76900000000000002</v>
      </c>
      <c r="I389">
        <f t="shared" si="25"/>
        <v>3.2214765100671172E-2</v>
      </c>
      <c r="J389">
        <f t="shared" si="26"/>
        <v>1.7336548072514355E-6</v>
      </c>
      <c r="K389">
        <f t="shared" si="24"/>
        <v>1.7336548072514355</v>
      </c>
      <c r="L389">
        <v>3971.6893664999998</v>
      </c>
      <c r="M389">
        <f t="shared" si="27"/>
        <v>0.6885538363142133</v>
      </c>
      <c r="N389">
        <v>22.132000000000001</v>
      </c>
    </row>
    <row r="390" spans="1:14" x14ac:dyDescent="0.35">
      <c r="A390" t="s">
        <v>37</v>
      </c>
      <c r="B390" s="2">
        <v>44800</v>
      </c>
      <c r="C390" s="3">
        <v>0.89583333333333337</v>
      </c>
      <c r="D390" t="s">
        <v>42</v>
      </c>
      <c r="E390" t="s">
        <v>7</v>
      </c>
      <c r="F390" s="1" t="s">
        <v>38</v>
      </c>
      <c r="G390">
        <v>0.751</v>
      </c>
      <c r="H390">
        <v>0.76900000000000002</v>
      </c>
      <c r="I390">
        <f t="shared" si="25"/>
        <v>2.3968042609853552E-2</v>
      </c>
      <c r="J390">
        <f t="shared" si="26"/>
        <v>1.2046881897445647E-6</v>
      </c>
      <c r="K390">
        <f t="shared" si="24"/>
        <v>1.2046881897445647</v>
      </c>
      <c r="L390">
        <v>3971.6893664999998</v>
      </c>
      <c r="M390">
        <f t="shared" si="27"/>
        <v>0.47846472731566214</v>
      </c>
      <c r="N390">
        <v>21.936800000000002</v>
      </c>
    </row>
    <row r="391" spans="1:14" x14ac:dyDescent="0.35">
      <c r="A391" t="s">
        <v>37</v>
      </c>
      <c r="B391" s="2">
        <v>44800</v>
      </c>
      <c r="C391" s="3">
        <v>0.91666666666666663</v>
      </c>
      <c r="D391" t="s">
        <v>42</v>
      </c>
      <c r="E391" t="s">
        <v>7</v>
      </c>
      <c r="F391" s="1" t="s">
        <v>38</v>
      </c>
      <c r="G391">
        <v>0.755</v>
      </c>
      <c r="H391">
        <v>0.76900000000000002</v>
      </c>
      <c r="I391">
        <f t="shared" si="25"/>
        <v>1.854304635761591E-2</v>
      </c>
      <c r="J391">
        <f t="shared" si="26"/>
        <v>8.7837077152359118E-7</v>
      </c>
      <c r="K391">
        <f t="shared" si="24"/>
        <v>0.87837077152359122</v>
      </c>
      <c r="L391">
        <v>3971.6893664999998</v>
      </c>
      <c r="M391">
        <f t="shared" si="27"/>
        <v>0.34886158531046479</v>
      </c>
      <c r="N391">
        <v>21.610299999999999</v>
      </c>
    </row>
    <row r="392" spans="1:14" x14ac:dyDescent="0.35">
      <c r="A392" t="s">
        <v>37</v>
      </c>
      <c r="B392" s="2">
        <v>44800</v>
      </c>
      <c r="C392" s="3">
        <v>0.9375</v>
      </c>
      <c r="D392" t="s">
        <v>42</v>
      </c>
      <c r="E392" t="s">
        <v>7</v>
      </c>
      <c r="F392" s="1" t="s">
        <v>38</v>
      </c>
      <c r="G392">
        <v>0.75800000000000001</v>
      </c>
      <c r="H392">
        <v>0.76900000000000002</v>
      </c>
      <c r="I392">
        <f t="shared" si="25"/>
        <v>1.4511873350923495E-2</v>
      </c>
      <c r="J392">
        <f t="shared" si="26"/>
        <v>6.4957389721582406E-7</v>
      </c>
      <c r="K392">
        <f t="shared" si="24"/>
        <v>0.64957389721582404</v>
      </c>
      <c r="L392">
        <v>3971.6893664999998</v>
      </c>
      <c r="M392">
        <f t="shared" si="27"/>
        <v>0.25799057403280523</v>
      </c>
      <c r="N392">
        <v>21.201899999999998</v>
      </c>
    </row>
    <row r="393" spans="1:14" x14ac:dyDescent="0.35">
      <c r="A393" t="s">
        <v>37</v>
      </c>
      <c r="B393" s="2">
        <v>44800</v>
      </c>
      <c r="C393" s="3">
        <v>0.95833333333333337</v>
      </c>
      <c r="D393" t="s">
        <v>42</v>
      </c>
      <c r="E393" t="s">
        <v>7</v>
      </c>
      <c r="F393" s="1" t="s">
        <v>38</v>
      </c>
      <c r="G393">
        <v>0.76100000000000001</v>
      </c>
      <c r="H393">
        <v>0.76900000000000002</v>
      </c>
      <c r="I393">
        <f t="shared" si="25"/>
        <v>1.0512483574244424E-2</v>
      </c>
      <c r="J393">
        <f t="shared" si="26"/>
        <v>4.3678349885644503E-7</v>
      </c>
      <c r="K393">
        <f t="shared" si="24"/>
        <v>0.43678349885644502</v>
      </c>
      <c r="L393">
        <v>3971.6893664999998</v>
      </c>
      <c r="M393">
        <f t="shared" si="27"/>
        <v>0.17347683778708076</v>
      </c>
      <c r="N393">
        <v>20.816600000000001</v>
      </c>
    </row>
    <row r="394" spans="1:14" x14ac:dyDescent="0.35">
      <c r="A394" t="s">
        <v>37</v>
      </c>
      <c r="B394" s="2">
        <v>44800</v>
      </c>
      <c r="C394" s="3">
        <v>0.97916666666666663</v>
      </c>
      <c r="D394" t="s">
        <v>42</v>
      </c>
      <c r="E394" t="s">
        <v>7</v>
      </c>
      <c r="F394" s="1" t="s">
        <v>38</v>
      </c>
      <c r="G394">
        <v>0.76300000000000001</v>
      </c>
      <c r="H394">
        <v>0.76900000000000002</v>
      </c>
      <c r="I394">
        <f t="shared" si="25"/>
        <v>7.8636959370904386E-3</v>
      </c>
      <c r="J394">
        <f t="shared" si="26"/>
        <v>3.0553674273628636E-7</v>
      </c>
      <c r="K394">
        <f t="shared" si="24"/>
        <v>0.30553674273628634</v>
      </c>
      <c r="L394">
        <v>3971.6893664999998</v>
      </c>
      <c r="M394">
        <f t="shared" si="27"/>
        <v>0.12134970322007545</v>
      </c>
      <c r="N394">
        <v>20.130299999999998</v>
      </c>
    </row>
    <row r="395" spans="1:14" x14ac:dyDescent="0.35">
      <c r="A395" t="s">
        <v>37</v>
      </c>
      <c r="B395" s="2">
        <v>44800</v>
      </c>
      <c r="C395" s="3">
        <v>0</v>
      </c>
      <c r="D395" t="s">
        <v>41</v>
      </c>
      <c r="E395" t="s">
        <v>15</v>
      </c>
      <c r="F395" s="1" t="s">
        <v>38</v>
      </c>
      <c r="G395">
        <v>0.65800000000000003</v>
      </c>
      <c r="H395">
        <f>MAX(G395:G442)</f>
        <v>0.67300000000000004</v>
      </c>
      <c r="I395">
        <f t="shared" si="25"/>
        <v>2.2796352583586647E-2</v>
      </c>
      <c r="J395">
        <f t="shared" si="26"/>
        <v>1.132606960425241E-6</v>
      </c>
      <c r="K395">
        <f t="shared" si="24"/>
        <v>1.1326069604252411</v>
      </c>
      <c r="L395">
        <v>1277.1260966250002</v>
      </c>
      <c r="M395">
        <f t="shared" si="27"/>
        <v>0.14464819063781942</v>
      </c>
      <c r="N395">
        <v>20.112200000000001</v>
      </c>
    </row>
    <row r="396" spans="1:14" x14ac:dyDescent="0.35">
      <c r="A396" t="s">
        <v>37</v>
      </c>
      <c r="B396" s="2">
        <v>44800</v>
      </c>
      <c r="C396" s="3">
        <v>2.0833333333333332E-2</v>
      </c>
      <c r="D396" t="s">
        <v>41</v>
      </c>
      <c r="E396" t="s">
        <v>15</v>
      </c>
      <c r="F396" s="1" t="s">
        <v>38</v>
      </c>
      <c r="G396">
        <v>0.65900000000000003</v>
      </c>
      <c r="H396">
        <v>0.67300000000000004</v>
      </c>
      <c r="I396">
        <f t="shared" si="25"/>
        <v>2.124430955993932E-2</v>
      </c>
      <c r="J396">
        <f t="shared" si="26"/>
        <v>1.0384429158068637E-6</v>
      </c>
      <c r="K396">
        <f t="shared" si="24"/>
        <v>1.0384429158068638</v>
      </c>
      <c r="L396">
        <v>1277.1260966250002</v>
      </c>
      <c r="M396">
        <f t="shared" si="27"/>
        <v>0.13262225476323034</v>
      </c>
      <c r="N396">
        <v>19.898800000000001</v>
      </c>
    </row>
    <row r="397" spans="1:14" x14ac:dyDescent="0.35">
      <c r="A397" t="s">
        <v>37</v>
      </c>
      <c r="B397" s="2">
        <v>44800</v>
      </c>
      <c r="C397" s="3">
        <v>4.1666666666666664E-2</v>
      </c>
      <c r="D397" t="s">
        <v>41</v>
      </c>
      <c r="E397" t="s">
        <v>15</v>
      </c>
      <c r="F397" s="1" t="s">
        <v>38</v>
      </c>
      <c r="G397">
        <v>0.66300000000000003</v>
      </c>
      <c r="H397">
        <v>0.67300000000000004</v>
      </c>
      <c r="I397">
        <f t="shared" si="25"/>
        <v>1.508295625942686E-2</v>
      </c>
      <c r="J397">
        <f t="shared" si="26"/>
        <v>6.811830109898548E-7</v>
      </c>
      <c r="K397">
        <f t="shared" si="24"/>
        <v>0.68118301098985479</v>
      </c>
      <c r="L397">
        <v>1277.1260966250002</v>
      </c>
      <c r="M397">
        <f t="shared" si="27"/>
        <v>8.6995659991273774E-2</v>
      </c>
      <c r="N397">
        <v>19.249500000000001</v>
      </c>
    </row>
    <row r="398" spans="1:14" x14ac:dyDescent="0.35">
      <c r="A398" t="s">
        <v>37</v>
      </c>
      <c r="B398" s="2">
        <v>44800</v>
      </c>
      <c r="C398" s="3">
        <v>6.25E-2</v>
      </c>
      <c r="D398" t="s">
        <v>41</v>
      </c>
      <c r="E398" t="s">
        <v>15</v>
      </c>
      <c r="F398" s="1" t="s">
        <v>38</v>
      </c>
      <c r="G398">
        <v>0.66700000000000004</v>
      </c>
      <c r="H398">
        <v>0.67300000000000004</v>
      </c>
      <c r="I398">
        <f t="shared" si="25"/>
        <v>8.9955022488755702E-3</v>
      </c>
      <c r="J398">
        <f t="shared" si="26"/>
        <v>3.60538999364938E-7</v>
      </c>
      <c r="K398">
        <f t="shared" si="24"/>
        <v>0.360538999364938</v>
      </c>
      <c r="L398">
        <v>1277.1260966250002</v>
      </c>
      <c r="M398">
        <f t="shared" si="27"/>
        <v>4.6045376494002664E-2</v>
      </c>
      <c r="N398">
        <v>17.116900000000001</v>
      </c>
    </row>
    <row r="399" spans="1:14" x14ac:dyDescent="0.35">
      <c r="A399" t="s">
        <v>37</v>
      </c>
      <c r="B399" s="2">
        <v>44800</v>
      </c>
      <c r="C399" s="3">
        <v>8.3333333333333329E-2</v>
      </c>
      <c r="D399" t="s">
        <v>41</v>
      </c>
      <c r="E399" t="s">
        <v>15</v>
      </c>
      <c r="F399" s="1" t="s">
        <v>38</v>
      </c>
      <c r="G399">
        <v>0.67100000000000004</v>
      </c>
      <c r="H399">
        <v>0.67300000000000004</v>
      </c>
      <c r="I399">
        <f t="shared" si="25"/>
        <v>2.9806259314456062E-3</v>
      </c>
      <c r="J399">
        <f t="shared" si="26"/>
        <v>9.2559172597399345E-8</v>
      </c>
      <c r="K399">
        <f t="shared" si="24"/>
        <v>9.2559172597399347E-2</v>
      </c>
      <c r="L399">
        <v>1277.1260966250002</v>
      </c>
      <c r="M399">
        <f t="shared" si="27"/>
        <v>1.1820973480615629E-2</v>
      </c>
      <c r="N399">
        <v>16.752199999999998</v>
      </c>
    </row>
    <row r="400" spans="1:14" x14ac:dyDescent="0.35">
      <c r="A400" t="s">
        <v>37</v>
      </c>
      <c r="B400" s="2">
        <v>44800</v>
      </c>
      <c r="C400" s="3">
        <v>0.10416666666666667</v>
      </c>
      <c r="D400" t="s">
        <v>41</v>
      </c>
      <c r="E400" t="s">
        <v>15</v>
      </c>
      <c r="F400" s="1" t="s">
        <v>38</v>
      </c>
      <c r="G400">
        <v>0.67</v>
      </c>
      <c r="H400">
        <v>0.67300000000000004</v>
      </c>
      <c r="I400">
        <f t="shared" si="25"/>
        <v>4.4776119402985112E-3</v>
      </c>
      <c r="J400">
        <f t="shared" si="26"/>
        <v>1.5275138047618402E-7</v>
      </c>
      <c r="K400">
        <f t="shared" si="24"/>
        <v>0.15275138047618403</v>
      </c>
      <c r="L400">
        <v>1277.1260966250002</v>
      </c>
      <c r="M400">
        <f t="shared" si="27"/>
        <v>1.9508277430162913E-2</v>
      </c>
      <c r="N400">
        <v>16.4085</v>
      </c>
    </row>
    <row r="401" spans="1:14" x14ac:dyDescent="0.35">
      <c r="A401" t="s">
        <v>37</v>
      </c>
      <c r="B401" s="2">
        <v>44800</v>
      </c>
      <c r="C401" s="3">
        <v>0.125</v>
      </c>
      <c r="D401" t="s">
        <v>41</v>
      </c>
      <c r="E401" t="s">
        <v>15</v>
      </c>
      <c r="F401" s="1" t="s">
        <v>38</v>
      </c>
      <c r="G401">
        <v>0.67</v>
      </c>
      <c r="H401">
        <v>0.67300000000000004</v>
      </c>
      <c r="I401">
        <f t="shared" si="25"/>
        <v>4.4776119402985112E-3</v>
      </c>
      <c r="J401">
        <f t="shared" si="26"/>
        <v>1.5275138047618402E-7</v>
      </c>
      <c r="K401">
        <f t="shared" si="24"/>
        <v>0.15275138047618403</v>
      </c>
      <c r="L401">
        <v>1277.1260966250002</v>
      </c>
      <c r="M401">
        <f t="shared" si="27"/>
        <v>1.9508277430162913E-2</v>
      </c>
      <c r="N401">
        <v>17.264900000000001</v>
      </c>
    </row>
    <row r="402" spans="1:14" x14ac:dyDescent="0.35">
      <c r="A402" t="s">
        <v>37</v>
      </c>
      <c r="B402" s="2">
        <v>44800</v>
      </c>
      <c r="C402" s="3">
        <v>0.14583333333333334</v>
      </c>
      <c r="D402" t="s">
        <v>41</v>
      </c>
      <c r="E402" t="s">
        <v>15</v>
      </c>
      <c r="F402" s="1" t="s">
        <v>38</v>
      </c>
      <c r="G402">
        <v>0.66800000000000004</v>
      </c>
      <c r="H402">
        <v>0.67300000000000004</v>
      </c>
      <c r="I402">
        <f t="shared" si="25"/>
        <v>7.4850299401197666E-3</v>
      </c>
      <c r="J402">
        <f t="shared" si="26"/>
        <v>2.87527382930181E-7</v>
      </c>
      <c r="K402">
        <f t="shared" si="24"/>
        <v>0.28752738293018099</v>
      </c>
      <c r="L402">
        <v>1277.1260966250002</v>
      </c>
      <c r="M402">
        <f t="shared" si="27"/>
        <v>3.6720872423442373E-2</v>
      </c>
      <c r="N402">
        <v>15.769</v>
      </c>
    </row>
    <row r="403" spans="1:14" x14ac:dyDescent="0.35">
      <c r="A403" t="s">
        <v>37</v>
      </c>
      <c r="B403" s="2">
        <v>44800</v>
      </c>
      <c r="C403" s="3">
        <v>0.16666666666666666</v>
      </c>
      <c r="D403" t="s">
        <v>41</v>
      </c>
      <c r="E403" t="s">
        <v>15</v>
      </c>
      <c r="F403" s="1" t="s">
        <v>38</v>
      </c>
      <c r="G403">
        <v>0.66700000000000004</v>
      </c>
      <c r="H403">
        <v>0.67300000000000004</v>
      </c>
      <c r="I403">
        <f t="shared" si="25"/>
        <v>8.9955022488755702E-3</v>
      </c>
      <c r="J403">
        <f t="shared" si="26"/>
        <v>3.60538999364938E-7</v>
      </c>
      <c r="K403">
        <f t="shared" si="24"/>
        <v>0.360538999364938</v>
      </c>
      <c r="L403">
        <v>1277.1260966250002</v>
      </c>
      <c r="M403">
        <f t="shared" si="27"/>
        <v>4.6045376494002664E-2</v>
      </c>
      <c r="N403">
        <v>16.060199999999998</v>
      </c>
    </row>
    <row r="404" spans="1:14" x14ac:dyDescent="0.35">
      <c r="A404" t="s">
        <v>37</v>
      </c>
      <c r="B404" s="2">
        <v>44800</v>
      </c>
      <c r="C404" s="3">
        <v>0.1875</v>
      </c>
      <c r="D404" t="s">
        <v>41</v>
      </c>
      <c r="E404" t="s">
        <v>15</v>
      </c>
      <c r="F404" s="1" t="s">
        <v>38</v>
      </c>
      <c r="G404">
        <v>0.66800000000000004</v>
      </c>
      <c r="H404">
        <v>0.67300000000000004</v>
      </c>
      <c r="I404">
        <f t="shared" si="25"/>
        <v>7.4850299401197666E-3</v>
      </c>
      <c r="J404">
        <f t="shared" si="26"/>
        <v>2.87527382930181E-7</v>
      </c>
      <c r="K404">
        <f t="shared" si="24"/>
        <v>0.28752738293018099</v>
      </c>
      <c r="L404">
        <v>1277.1260966250002</v>
      </c>
      <c r="M404">
        <f t="shared" si="27"/>
        <v>3.6720872423442373E-2</v>
      </c>
      <c r="N404">
        <v>15.727600000000001</v>
      </c>
    </row>
    <row r="405" spans="1:14" x14ac:dyDescent="0.35">
      <c r="A405" t="s">
        <v>37</v>
      </c>
      <c r="B405" s="2">
        <v>44800</v>
      </c>
      <c r="C405" s="3">
        <v>0.20833333333333334</v>
      </c>
      <c r="D405" t="s">
        <v>41</v>
      </c>
      <c r="E405" t="s">
        <v>15</v>
      </c>
      <c r="F405" s="1" t="s">
        <v>38</v>
      </c>
      <c r="G405">
        <v>0.67200000000000004</v>
      </c>
      <c r="H405">
        <v>0.67300000000000004</v>
      </c>
      <c r="I405">
        <f t="shared" si="25"/>
        <v>1.4880952380952393E-3</v>
      </c>
      <c r="J405">
        <f t="shared" si="26"/>
        <v>3.936002687208949E-8</v>
      </c>
      <c r="K405">
        <f t="shared" si="24"/>
        <v>3.936002687208949E-2</v>
      </c>
      <c r="L405">
        <v>1277.1260966250002</v>
      </c>
      <c r="M405">
        <f t="shared" si="27"/>
        <v>5.0267717482206757E-3</v>
      </c>
      <c r="N405">
        <v>15.0184</v>
      </c>
    </row>
    <row r="406" spans="1:14" x14ac:dyDescent="0.35">
      <c r="A406" t="s">
        <v>37</v>
      </c>
      <c r="B406" s="2">
        <v>44800</v>
      </c>
      <c r="C406" s="3">
        <v>0.22916666666666666</v>
      </c>
      <c r="D406" t="s">
        <v>41</v>
      </c>
      <c r="E406" t="s">
        <v>15</v>
      </c>
      <c r="F406" s="1" t="s">
        <v>38</v>
      </c>
      <c r="G406">
        <v>0.67200000000000004</v>
      </c>
      <c r="H406">
        <v>0.67300000000000004</v>
      </c>
      <c r="I406">
        <f t="shared" si="25"/>
        <v>1.4880952380952393E-3</v>
      </c>
      <c r="J406">
        <f t="shared" si="26"/>
        <v>3.936002687208949E-8</v>
      </c>
      <c r="K406">
        <f t="shared" si="24"/>
        <v>3.936002687208949E-2</v>
      </c>
      <c r="L406">
        <v>1277.1260966250002</v>
      </c>
      <c r="M406">
        <f t="shared" si="27"/>
        <v>5.0267717482206757E-3</v>
      </c>
      <c r="N406">
        <v>14.711399999999999</v>
      </c>
    </row>
    <row r="407" spans="1:14" x14ac:dyDescent="0.35">
      <c r="A407" t="s">
        <v>37</v>
      </c>
      <c r="B407" s="2">
        <v>44800</v>
      </c>
      <c r="C407" s="3">
        <v>0.25</v>
      </c>
      <c r="D407" t="s">
        <v>41</v>
      </c>
      <c r="E407" t="s">
        <v>15</v>
      </c>
      <c r="F407" s="1" t="s">
        <v>38</v>
      </c>
      <c r="G407">
        <v>0.67200000000000004</v>
      </c>
      <c r="H407">
        <v>0.67300000000000004</v>
      </c>
      <c r="I407">
        <f t="shared" si="25"/>
        <v>1.4880952380952393E-3</v>
      </c>
      <c r="J407">
        <f t="shared" si="26"/>
        <v>3.936002687208949E-8</v>
      </c>
      <c r="K407">
        <f t="shared" si="24"/>
        <v>3.936002687208949E-2</v>
      </c>
      <c r="L407">
        <v>1277.1260966250002</v>
      </c>
      <c r="M407">
        <f t="shared" si="27"/>
        <v>5.0267717482206757E-3</v>
      </c>
      <c r="N407">
        <v>15.889900000000001</v>
      </c>
    </row>
    <row r="408" spans="1:14" x14ac:dyDescent="0.35">
      <c r="A408" t="s">
        <v>37</v>
      </c>
      <c r="B408" s="2">
        <v>44800</v>
      </c>
      <c r="C408" s="3">
        <v>0.27083333333333331</v>
      </c>
      <c r="D408" t="s">
        <v>41</v>
      </c>
      <c r="E408" t="s">
        <v>15</v>
      </c>
      <c r="F408" s="1" t="s">
        <v>38</v>
      </c>
      <c r="G408">
        <v>0.67300000000000004</v>
      </c>
      <c r="H408">
        <v>0.67300000000000004</v>
      </c>
      <c r="I408">
        <f t="shared" si="25"/>
        <v>0</v>
      </c>
      <c r="J408">
        <f t="shared" si="26"/>
        <v>0</v>
      </c>
      <c r="K408">
        <f t="shared" si="24"/>
        <v>0</v>
      </c>
      <c r="L408">
        <v>1277.1260966250002</v>
      </c>
      <c r="M408">
        <f t="shared" si="27"/>
        <v>0</v>
      </c>
      <c r="N408">
        <v>16.3066</v>
      </c>
    </row>
    <row r="409" spans="1:14" x14ac:dyDescent="0.35">
      <c r="A409" t="s">
        <v>37</v>
      </c>
      <c r="B409" s="2">
        <v>44800</v>
      </c>
      <c r="C409" s="3">
        <v>0.29166666666666669</v>
      </c>
      <c r="D409" t="s">
        <v>41</v>
      </c>
      <c r="E409" t="s">
        <v>15</v>
      </c>
      <c r="F409" s="1" t="s">
        <v>38</v>
      </c>
      <c r="G409">
        <v>0.67</v>
      </c>
      <c r="H409">
        <v>0.67300000000000004</v>
      </c>
      <c r="I409">
        <f t="shared" si="25"/>
        <v>4.4776119402985112E-3</v>
      </c>
      <c r="J409">
        <f t="shared" si="26"/>
        <v>1.5275138047618402E-7</v>
      </c>
      <c r="K409">
        <f t="shared" si="24"/>
        <v>0.15275138047618403</v>
      </c>
      <c r="L409">
        <v>1277.1260966250002</v>
      </c>
      <c r="M409">
        <f t="shared" si="27"/>
        <v>1.9508277430162913E-2</v>
      </c>
      <c r="N409">
        <v>17.531300000000002</v>
      </c>
    </row>
    <row r="410" spans="1:14" x14ac:dyDescent="0.35">
      <c r="A410" t="s">
        <v>37</v>
      </c>
      <c r="B410" s="2">
        <v>44800</v>
      </c>
      <c r="C410" s="3">
        <v>0.3125</v>
      </c>
      <c r="D410" t="s">
        <v>41</v>
      </c>
      <c r="E410" t="s">
        <v>15</v>
      </c>
      <c r="F410" s="1" t="s">
        <v>38</v>
      </c>
      <c r="G410">
        <v>0.65200000000000002</v>
      </c>
      <c r="H410">
        <v>0.67300000000000004</v>
      </c>
      <c r="I410">
        <f t="shared" si="25"/>
        <v>3.2208588957055244E-2</v>
      </c>
      <c r="J410">
        <f t="shared" si="26"/>
        <v>1.7332456658004151E-6</v>
      </c>
      <c r="K410">
        <f t="shared" si="24"/>
        <v>1.7332456658004152</v>
      </c>
      <c r="L410">
        <v>1277.1260966250002</v>
      </c>
      <c r="M410">
        <f t="shared" si="27"/>
        <v>0.22135732716558837</v>
      </c>
      <c r="N410">
        <v>18.497699999999998</v>
      </c>
    </row>
    <row r="411" spans="1:14" x14ac:dyDescent="0.35">
      <c r="A411" t="s">
        <v>37</v>
      </c>
      <c r="B411" s="2">
        <v>44800</v>
      </c>
      <c r="C411" s="3">
        <v>0.33333333333333331</v>
      </c>
      <c r="D411" t="s">
        <v>41</v>
      </c>
      <c r="E411" t="s">
        <v>15</v>
      </c>
      <c r="F411" s="1" t="s">
        <v>38</v>
      </c>
      <c r="G411">
        <v>0.59399999999999997</v>
      </c>
      <c r="H411">
        <v>0.67300000000000004</v>
      </c>
      <c r="I411">
        <f t="shared" si="25"/>
        <v>0.13299663299663311</v>
      </c>
      <c r="J411">
        <f t="shared" si="26"/>
        <v>9.9310415061232186E-6</v>
      </c>
      <c r="K411">
        <f t="shared" si="24"/>
        <v>9.9310415061232185</v>
      </c>
      <c r="L411">
        <v>1277.1260966250002</v>
      </c>
      <c r="M411">
        <f t="shared" si="27"/>
        <v>1.2683192274136008</v>
      </c>
      <c r="N411">
        <v>20.640699999999999</v>
      </c>
    </row>
    <row r="412" spans="1:14" x14ac:dyDescent="0.35">
      <c r="A412" t="s">
        <v>37</v>
      </c>
      <c r="B412" s="2">
        <v>44800</v>
      </c>
      <c r="C412" s="3">
        <v>0.35416666666666669</v>
      </c>
      <c r="D412" t="s">
        <v>41</v>
      </c>
      <c r="E412" t="s">
        <v>15</v>
      </c>
      <c r="F412" s="1" t="s">
        <v>38</v>
      </c>
      <c r="G412">
        <v>0.496</v>
      </c>
      <c r="H412">
        <v>0.67300000000000004</v>
      </c>
      <c r="I412">
        <f t="shared" si="25"/>
        <v>0.35685483870967749</v>
      </c>
      <c r="J412">
        <f t="shared" si="26"/>
        <v>3.3470647078026066E-5</v>
      </c>
      <c r="K412">
        <f t="shared" si="24"/>
        <v>33.470647078026069</v>
      </c>
      <c r="L412">
        <v>1277.1260966250002</v>
      </c>
      <c r="M412">
        <f t="shared" si="27"/>
        <v>4.2746236854272395</v>
      </c>
      <c r="N412">
        <v>21.7852</v>
      </c>
    </row>
    <row r="413" spans="1:14" x14ac:dyDescent="0.35">
      <c r="A413" t="s">
        <v>37</v>
      </c>
      <c r="B413" s="2">
        <v>44800</v>
      </c>
      <c r="C413" s="3">
        <v>0.375</v>
      </c>
      <c r="D413" t="s">
        <v>41</v>
      </c>
      <c r="E413" t="s">
        <v>15</v>
      </c>
      <c r="F413" s="1" t="s">
        <v>38</v>
      </c>
      <c r="G413">
        <v>0.41899999999999998</v>
      </c>
      <c r="H413">
        <v>0.67300000000000004</v>
      </c>
      <c r="I413">
        <f t="shared" si="25"/>
        <v>0.60620525059665886</v>
      </c>
      <c r="J413">
        <f t="shared" si="26"/>
        <v>6.4261639916813861E-5</v>
      </c>
      <c r="K413">
        <f t="shared" si="24"/>
        <v>64.261639916813863</v>
      </c>
      <c r="L413">
        <v>1277.1260966250002</v>
      </c>
      <c r="M413">
        <f t="shared" si="27"/>
        <v>8.207021734968178</v>
      </c>
      <c r="N413">
        <v>23.6355</v>
      </c>
    </row>
    <row r="414" spans="1:14" x14ac:dyDescent="0.35">
      <c r="A414" t="s">
        <v>37</v>
      </c>
      <c r="B414" s="2">
        <v>44800</v>
      </c>
      <c r="C414" s="3">
        <v>0.39583333333333331</v>
      </c>
      <c r="D414" t="s">
        <v>41</v>
      </c>
      <c r="E414" t="s">
        <v>15</v>
      </c>
      <c r="F414" s="1" t="s">
        <v>38</v>
      </c>
      <c r="G414">
        <v>0.39500000000000002</v>
      </c>
      <c r="H414">
        <v>0.67300000000000004</v>
      </c>
      <c r="I414">
        <f t="shared" si="25"/>
        <v>0.70379746835443036</v>
      </c>
      <c r="J414">
        <f t="shared" si="26"/>
        <v>7.7224495619438994E-5</v>
      </c>
      <c r="K414">
        <f t="shared" si="24"/>
        <v>77.224495619438997</v>
      </c>
      <c r="L414">
        <v>1277.1260966250002</v>
      </c>
      <c r="M414">
        <f t="shared" si="27"/>
        <v>9.8625418654288541</v>
      </c>
      <c r="N414">
        <v>25.8127</v>
      </c>
    </row>
    <row r="415" spans="1:14" x14ac:dyDescent="0.35">
      <c r="A415" t="s">
        <v>37</v>
      </c>
      <c r="B415" s="2">
        <v>44800</v>
      </c>
      <c r="C415" s="3">
        <v>0.41666666666666669</v>
      </c>
      <c r="D415" t="s">
        <v>41</v>
      </c>
      <c r="E415" t="s">
        <v>15</v>
      </c>
      <c r="F415" s="1" t="s">
        <v>38</v>
      </c>
      <c r="G415">
        <v>0.39900000000000002</v>
      </c>
      <c r="H415">
        <v>0.67300000000000004</v>
      </c>
      <c r="I415">
        <f t="shared" si="25"/>
        <v>0.68671679197994984</v>
      </c>
      <c r="J415">
        <f t="shared" si="26"/>
        <v>7.4923881728826319E-5</v>
      </c>
      <c r="K415">
        <f t="shared" si="24"/>
        <v>74.923881728826316</v>
      </c>
      <c r="L415">
        <v>1277.1260966250002</v>
      </c>
      <c r="M415">
        <f t="shared" si="27"/>
        <v>9.568724461632911</v>
      </c>
      <c r="N415">
        <v>27.663900000000002</v>
      </c>
    </row>
    <row r="416" spans="1:14" x14ac:dyDescent="0.35">
      <c r="A416" t="s">
        <v>37</v>
      </c>
      <c r="B416" s="2">
        <v>44800</v>
      </c>
      <c r="C416" s="3">
        <v>0.4375</v>
      </c>
      <c r="D416" t="s">
        <v>41</v>
      </c>
      <c r="E416" t="s">
        <v>15</v>
      </c>
      <c r="F416" s="1" t="s">
        <v>38</v>
      </c>
      <c r="G416">
        <v>0.41599999999999998</v>
      </c>
      <c r="H416">
        <v>0.67300000000000004</v>
      </c>
      <c r="I416">
        <f t="shared" si="25"/>
        <v>0.61778846153846168</v>
      </c>
      <c r="J416">
        <f t="shared" si="26"/>
        <v>6.5776497799940566E-5</v>
      </c>
      <c r="K416">
        <f t="shared" si="24"/>
        <v>65.776497799940572</v>
      </c>
      <c r="L416">
        <v>1277.1260966250002</v>
      </c>
      <c r="M416">
        <f t="shared" si="27"/>
        <v>8.400488188490101</v>
      </c>
      <c r="N416">
        <v>29.2453</v>
      </c>
    </row>
    <row r="417" spans="1:14" x14ac:dyDescent="0.35">
      <c r="A417" t="s">
        <v>37</v>
      </c>
      <c r="B417" s="2">
        <v>44800</v>
      </c>
      <c r="C417" s="3">
        <v>0.45833333333333331</v>
      </c>
      <c r="D417" t="s">
        <v>41</v>
      </c>
      <c r="E417" t="s">
        <v>15</v>
      </c>
      <c r="F417" s="1" t="s">
        <v>38</v>
      </c>
      <c r="G417">
        <v>0.41499999999999998</v>
      </c>
      <c r="H417">
        <v>0.67300000000000004</v>
      </c>
      <c r="I417">
        <f t="shared" si="25"/>
        <v>0.62168674698795201</v>
      </c>
      <c r="J417">
        <f t="shared" si="26"/>
        <v>6.6287801030967316E-5</v>
      </c>
      <c r="K417">
        <f t="shared" si="24"/>
        <v>66.287801030967316</v>
      </c>
      <c r="L417">
        <v>1277.1260966250002</v>
      </c>
      <c r="M417">
        <f t="shared" si="27"/>
        <v>8.4657880584533949</v>
      </c>
      <c r="N417">
        <v>31.9986</v>
      </c>
    </row>
    <row r="418" spans="1:14" x14ac:dyDescent="0.35">
      <c r="A418" t="s">
        <v>37</v>
      </c>
      <c r="B418" s="2">
        <v>44800</v>
      </c>
      <c r="C418" s="3">
        <v>0.47916666666666669</v>
      </c>
      <c r="D418" t="s">
        <v>41</v>
      </c>
      <c r="E418" t="s">
        <v>15</v>
      </c>
      <c r="F418" s="1" t="s">
        <v>38</v>
      </c>
      <c r="G418">
        <v>0.42099999999999999</v>
      </c>
      <c r="H418">
        <v>0.67300000000000004</v>
      </c>
      <c r="I418">
        <f t="shared" si="25"/>
        <v>0.5985748218527317</v>
      </c>
      <c r="J418">
        <f t="shared" si="26"/>
        <v>6.3267367922548157E-5</v>
      </c>
      <c r="K418">
        <f t="shared" si="24"/>
        <v>63.267367922548154</v>
      </c>
      <c r="L418">
        <v>1277.1260966250002</v>
      </c>
      <c r="M418">
        <f t="shared" si="27"/>
        <v>8.0800406638661659</v>
      </c>
      <c r="N418">
        <v>31.6327</v>
      </c>
    </row>
    <row r="419" spans="1:14" x14ac:dyDescent="0.35">
      <c r="A419" t="s">
        <v>37</v>
      </c>
      <c r="B419" s="2">
        <v>44800</v>
      </c>
      <c r="C419" s="3">
        <v>0.5</v>
      </c>
      <c r="D419" t="s">
        <v>41</v>
      </c>
      <c r="E419" t="s">
        <v>15</v>
      </c>
      <c r="F419" s="1" t="s">
        <v>38</v>
      </c>
      <c r="G419">
        <v>0.437</v>
      </c>
      <c r="H419">
        <v>0.67300000000000004</v>
      </c>
      <c r="I419">
        <f t="shared" si="25"/>
        <v>0.54004576659038916</v>
      </c>
      <c r="J419">
        <f t="shared" si="26"/>
        <v>5.5740259742404565E-5</v>
      </c>
      <c r="K419">
        <f t="shared" si="24"/>
        <v>55.740259742404568</v>
      </c>
      <c r="L419">
        <v>1277.1260966250002</v>
      </c>
      <c r="M419">
        <f t="shared" si="27"/>
        <v>7.1187340349680772</v>
      </c>
      <c r="N419">
        <v>31.8827</v>
      </c>
    </row>
    <row r="420" spans="1:14" x14ac:dyDescent="0.35">
      <c r="A420" t="s">
        <v>37</v>
      </c>
      <c r="B420" s="2">
        <v>44800</v>
      </c>
      <c r="C420" s="3">
        <v>0.52083333333333337</v>
      </c>
      <c r="D420" t="s">
        <v>41</v>
      </c>
      <c r="E420" t="s">
        <v>15</v>
      </c>
      <c r="F420" s="1" t="s">
        <v>38</v>
      </c>
      <c r="G420">
        <v>0.45500000000000002</v>
      </c>
      <c r="H420">
        <v>0.67300000000000004</v>
      </c>
      <c r="I420">
        <f t="shared" si="25"/>
        <v>0.47912087912087914</v>
      </c>
      <c r="J420">
        <f t="shared" si="26"/>
        <v>4.810330052188774E-5</v>
      </c>
      <c r="K420">
        <f t="shared" si="24"/>
        <v>48.103300521887739</v>
      </c>
      <c r="L420">
        <v>1277.1260966250002</v>
      </c>
      <c r="M420">
        <f t="shared" si="27"/>
        <v>6.1433980430297819</v>
      </c>
      <c r="N420">
        <v>32.619799999999998</v>
      </c>
    </row>
    <row r="421" spans="1:14" x14ac:dyDescent="0.35">
      <c r="A421" t="s">
        <v>37</v>
      </c>
      <c r="B421" s="2">
        <v>44800</v>
      </c>
      <c r="C421" s="3">
        <v>0.54166666666666663</v>
      </c>
      <c r="D421" t="s">
        <v>41</v>
      </c>
      <c r="E421" t="s">
        <v>15</v>
      </c>
      <c r="F421" s="1" t="s">
        <v>38</v>
      </c>
      <c r="G421">
        <v>0.45800000000000002</v>
      </c>
      <c r="H421">
        <v>0.67300000000000004</v>
      </c>
      <c r="I421">
        <f t="shared" si="25"/>
        <v>0.46943231441048039</v>
      </c>
      <c r="J421">
        <f t="shared" si="26"/>
        <v>4.6908689716534447E-5</v>
      </c>
      <c r="K421">
        <f t="shared" si="24"/>
        <v>46.908689716534447</v>
      </c>
      <c r="L421">
        <v>1277.1260966250002</v>
      </c>
      <c r="M421">
        <f t="shared" si="27"/>
        <v>5.9908311795470919</v>
      </c>
      <c r="N421">
        <v>29.2163</v>
      </c>
    </row>
    <row r="422" spans="1:14" x14ac:dyDescent="0.35">
      <c r="A422" t="s">
        <v>37</v>
      </c>
      <c r="B422" s="2">
        <v>44800</v>
      </c>
      <c r="C422" s="3">
        <v>0.5625</v>
      </c>
      <c r="D422" t="s">
        <v>41</v>
      </c>
      <c r="E422" t="s">
        <v>15</v>
      </c>
      <c r="F422" s="1" t="s">
        <v>38</v>
      </c>
      <c r="G422">
        <v>0.45900000000000002</v>
      </c>
      <c r="H422">
        <v>0.67300000000000004</v>
      </c>
      <c r="I422">
        <f t="shared" si="25"/>
        <v>0.46623093681917216</v>
      </c>
      <c r="J422">
        <f t="shared" si="26"/>
        <v>4.6515200842825035E-5</v>
      </c>
      <c r="K422">
        <f t="shared" si="24"/>
        <v>46.515200842825031</v>
      </c>
      <c r="L422">
        <v>1277.1260966250002</v>
      </c>
      <c r="M422">
        <f t="shared" si="27"/>
        <v>5.9405776886125041</v>
      </c>
      <c r="N422">
        <v>30.803799999999999</v>
      </c>
    </row>
    <row r="423" spans="1:14" x14ac:dyDescent="0.35">
      <c r="A423" t="s">
        <v>37</v>
      </c>
      <c r="B423" s="2">
        <v>44800</v>
      </c>
      <c r="C423" s="3">
        <v>0.58333333333333337</v>
      </c>
      <c r="D423" t="s">
        <v>41</v>
      </c>
      <c r="E423" t="s">
        <v>15</v>
      </c>
      <c r="F423" s="1" t="s">
        <v>38</v>
      </c>
      <c r="G423">
        <v>0.46500000000000002</v>
      </c>
      <c r="H423">
        <v>0.67300000000000004</v>
      </c>
      <c r="I423">
        <f t="shared" si="25"/>
        <v>0.44731182795698926</v>
      </c>
      <c r="J423">
        <f t="shared" si="26"/>
        <v>4.420265357635905E-5</v>
      </c>
      <c r="K423">
        <f t="shared" si="24"/>
        <v>44.202653576359047</v>
      </c>
      <c r="L423">
        <v>1277.1260966250002</v>
      </c>
      <c r="M423">
        <f t="shared" si="27"/>
        <v>5.6452362422442528</v>
      </c>
      <c r="N423">
        <v>30.016100000000002</v>
      </c>
    </row>
    <row r="424" spans="1:14" x14ac:dyDescent="0.35">
      <c r="A424" t="s">
        <v>37</v>
      </c>
      <c r="B424" s="2">
        <v>44800</v>
      </c>
      <c r="C424" s="3">
        <v>0.60416666666666663</v>
      </c>
      <c r="D424" t="s">
        <v>41</v>
      </c>
      <c r="E424" t="s">
        <v>15</v>
      </c>
      <c r="F424" s="1" t="s">
        <v>38</v>
      </c>
      <c r="G424">
        <v>0.44900000000000001</v>
      </c>
      <c r="H424">
        <v>0.67300000000000004</v>
      </c>
      <c r="I424">
        <f t="shared" si="25"/>
        <v>0.49888641425389763</v>
      </c>
      <c r="J424">
        <f t="shared" si="26"/>
        <v>5.0557667129255685E-5</v>
      </c>
      <c r="K424">
        <f t="shared" si="24"/>
        <v>50.557667129255684</v>
      </c>
      <c r="L424">
        <v>1277.1260966250002</v>
      </c>
      <c r="M424">
        <f t="shared" si="27"/>
        <v>6.4568516075252385</v>
      </c>
      <c r="N424">
        <v>31.1188</v>
      </c>
    </row>
    <row r="425" spans="1:14" x14ac:dyDescent="0.35">
      <c r="A425" t="s">
        <v>37</v>
      </c>
      <c r="B425" s="2">
        <v>44800</v>
      </c>
      <c r="C425" s="3">
        <v>0.625</v>
      </c>
      <c r="D425" t="s">
        <v>41</v>
      </c>
      <c r="E425" t="s">
        <v>15</v>
      </c>
      <c r="F425" s="1" t="s">
        <v>38</v>
      </c>
      <c r="G425">
        <v>0.45800000000000002</v>
      </c>
      <c r="H425">
        <v>0.67300000000000004</v>
      </c>
      <c r="I425">
        <f t="shared" si="25"/>
        <v>0.46943231441048039</v>
      </c>
      <c r="J425">
        <f t="shared" si="26"/>
        <v>4.6908689716534447E-5</v>
      </c>
      <c r="K425">
        <f t="shared" si="24"/>
        <v>46.908689716534447</v>
      </c>
      <c r="L425">
        <v>1277.1260966250002</v>
      </c>
      <c r="M425">
        <f t="shared" si="27"/>
        <v>5.9908311795470919</v>
      </c>
      <c r="N425">
        <v>33.7301</v>
      </c>
    </row>
    <row r="426" spans="1:14" x14ac:dyDescent="0.35">
      <c r="A426" t="s">
        <v>37</v>
      </c>
      <c r="B426" s="2">
        <v>44800</v>
      </c>
      <c r="C426" s="3">
        <v>0.64583333333333337</v>
      </c>
      <c r="D426" t="s">
        <v>41</v>
      </c>
      <c r="E426" t="s">
        <v>15</v>
      </c>
      <c r="F426" s="1" t="s">
        <v>38</v>
      </c>
      <c r="G426">
        <v>0.45</v>
      </c>
      <c r="H426">
        <v>0.67300000000000004</v>
      </c>
      <c r="I426">
        <f t="shared" si="25"/>
        <v>0.49555555555555564</v>
      </c>
      <c r="J426">
        <f t="shared" si="26"/>
        <v>5.0142460764408502E-5</v>
      </c>
      <c r="K426">
        <f t="shared" si="24"/>
        <v>50.142460764408504</v>
      </c>
      <c r="L426">
        <v>1277.1260966250002</v>
      </c>
      <c r="M426">
        <f t="shared" si="27"/>
        <v>6.403824519122125</v>
      </c>
      <c r="N426">
        <v>32.391100000000002</v>
      </c>
    </row>
    <row r="427" spans="1:14" x14ac:dyDescent="0.35">
      <c r="A427" t="s">
        <v>37</v>
      </c>
      <c r="B427" s="2">
        <v>44800</v>
      </c>
      <c r="C427" s="3">
        <v>0.66666666666666663</v>
      </c>
      <c r="D427" t="s">
        <v>41</v>
      </c>
      <c r="E427" t="s">
        <v>15</v>
      </c>
      <c r="F427" s="1" t="s">
        <v>38</v>
      </c>
      <c r="G427">
        <v>0.44</v>
      </c>
      <c r="H427">
        <v>0.67300000000000004</v>
      </c>
      <c r="I427">
        <f t="shared" si="25"/>
        <v>0.52954545454545465</v>
      </c>
      <c r="J427">
        <f t="shared" si="26"/>
        <v>5.440913924735662E-5</v>
      </c>
      <c r="K427">
        <f t="shared" ref="K427:K490" si="28">J427*10^6</f>
        <v>54.40913924735662</v>
      </c>
      <c r="L427">
        <v>1277.1260966250002</v>
      </c>
      <c r="M427">
        <f t="shared" si="27"/>
        <v>6.9487331627702655</v>
      </c>
      <c r="N427">
        <v>28.613099999999999</v>
      </c>
    </row>
    <row r="428" spans="1:14" x14ac:dyDescent="0.35">
      <c r="A428" t="s">
        <v>37</v>
      </c>
      <c r="B428" s="2">
        <v>44800</v>
      </c>
      <c r="C428" s="3">
        <v>0.6875</v>
      </c>
      <c r="D428" t="s">
        <v>41</v>
      </c>
      <c r="E428" t="s">
        <v>15</v>
      </c>
      <c r="F428" s="1" t="s">
        <v>38</v>
      </c>
      <c r="G428">
        <v>0.46700000000000003</v>
      </c>
      <c r="H428">
        <v>0.67300000000000004</v>
      </c>
      <c r="I428">
        <f t="shared" si="25"/>
        <v>0.4411134903640257</v>
      </c>
      <c r="J428">
        <f t="shared" si="26"/>
        <v>4.3449864826812293E-5</v>
      </c>
      <c r="K428">
        <f t="shared" si="28"/>
        <v>43.449864826812295</v>
      </c>
      <c r="L428">
        <v>1277.1260966250002</v>
      </c>
      <c r="M428">
        <f t="shared" si="27"/>
        <v>5.5490956265150668</v>
      </c>
      <c r="N428">
        <v>29.746700000000001</v>
      </c>
    </row>
    <row r="429" spans="1:14" x14ac:dyDescent="0.35">
      <c r="A429" t="s">
        <v>37</v>
      </c>
      <c r="B429" s="2">
        <v>44800</v>
      </c>
      <c r="C429" s="3">
        <v>0.70833333333333337</v>
      </c>
      <c r="D429" t="s">
        <v>41</v>
      </c>
      <c r="E429" t="s">
        <v>15</v>
      </c>
      <c r="F429" s="1" t="s">
        <v>38</v>
      </c>
      <c r="G429">
        <v>0.50600000000000001</v>
      </c>
      <c r="H429">
        <v>0.67300000000000004</v>
      </c>
      <c r="I429">
        <f t="shared" si="25"/>
        <v>0.3300395256916997</v>
      </c>
      <c r="J429">
        <f t="shared" si="26"/>
        <v>3.0401964751390062E-5</v>
      </c>
      <c r="K429">
        <f t="shared" si="28"/>
        <v>30.401964751390061</v>
      </c>
      <c r="L429">
        <v>1277.1260966250002</v>
      </c>
      <c r="M429">
        <f t="shared" si="27"/>
        <v>3.882714257267363</v>
      </c>
      <c r="N429">
        <v>26.706800000000001</v>
      </c>
    </row>
    <row r="430" spans="1:14" x14ac:dyDescent="0.35">
      <c r="A430" t="s">
        <v>37</v>
      </c>
      <c r="B430" s="2">
        <v>44800</v>
      </c>
      <c r="C430" s="3">
        <v>0.72916666666666663</v>
      </c>
      <c r="D430" t="s">
        <v>41</v>
      </c>
      <c r="E430" t="s">
        <v>15</v>
      </c>
      <c r="F430" s="1" t="s">
        <v>38</v>
      </c>
      <c r="G430">
        <v>0.54400000000000004</v>
      </c>
      <c r="H430">
        <v>0.67300000000000004</v>
      </c>
      <c r="I430">
        <f t="shared" si="25"/>
        <v>0.23713235294117646</v>
      </c>
      <c r="J430">
        <f t="shared" si="26"/>
        <v>2.0237676491953031E-5</v>
      </c>
      <c r="K430">
        <f t="shared" si="28"/>
        <v>20.237676491953032</v>
      </c>
      <c r="L430">
        <v>1277.1260966250002</v>
      </c>
      <c r="M430">
        <f t="shared" si="27"/>
        <v>2.5846064782927498</v>
      </c>
      <c r="N430">
        <v>24.7545</v>
      </c>
    </row>
    <row r="431" spans="1:14" x14ac:dyDescent="0.35">
      <c r="A431" t="s">
        <v>37</v>
      </c>
      <c r="B431" s="2">
        <v>44800</v>
      </c>
      <c r="C431" s="3">
        <v>0.75</v>
      </c>
      <c r="D431" t="s">
        <v>41</v>
      </c>
      <c r="E431" t="s">
        <v>15</v>
      </c>
      <c r="F431" s="1" t="s">
        <v>38</v>
      </c>
      <c r="G431">
        <v>0.58299999999999996</v>
      </c>
      <c r="H431">
        <v>0.67300000000000004</v>
      </c>
      <c r="I431">
        <f t="shared" si="25"/>
        <v>0.15437392795883376</v>
      </c>
      <c r="J431">
        <f t="shared" si="26"/>
        <v>1.193112785324485E-5</v>
      </c>
      <c r="K431">
        <f t="shared" si="28"/>
        <v>11.931127853244851</v>
      </c>
      <c r="L431">
        <v>1277.1260966250002</v>
      </c>
      <c r="M431">
        <f t="shared" si="27"/>
        <v>1.5237554743548412</v>
      </c>
      <c r="N431">
        <v>21.6553</v>
      </c>
    </row>
    <row r="432" spans="1:14" x14ac:dyDescent="0.35">
      <c r="A432" t="s">
        <v>37</v>
      </c>
      <c r="B432" s="2">
        <v>44800</v>
      </c>
      <c r="C432" s="3">
        <v>0.77083333333333337</v>
      </c>
      <c r="D432" t="s">
        <v>41</v>
      </c>
      <c r="E432" t="s">
        <v>15</v>
      </c>
      <c r="F432" s="1" t="s">
        <v>38</v>
      </c>
      <c r="G432">
        <v>0.622</v>
      </c>
      <c r="H432">
        <v>0.67300000000000004</v>
      </c>
      <c r="I432">
        <f t="shared" si="25"/>
        <v>8.1993569131832866E-2</v>
      </c>
      <c r="J432">
        <f t="shared" si="26"/>
        <v>5.4753247709226228E-6</v>
      </c>
      <c r="K432">
        <f t="shared" si="28"/>
        <v>5.4753247709226232</v>
      </c>
      <c r="L432">
        <v>1277.1260966250002</v>
      </c>
      <c r="M432">
        <f t="shared" si="27"/>
        <v>0.69926801524425819</v>
      </c>
      <c r="N432">
        <v>21.886700000000001</v>
      </c>
    </row>
    <row r="433" spans="1:14" x14ac:dyDescent="0.35">
      <c r="A433" t="s">
        <v>37</v>
      </c>
      <c r="B433" s="2">
        <v>44800</v>
      </c>
      <c r="C433" s="3">
        <v>0.79166666666666663</v>
      </c>
      <c r="D433" t="s">
        <v>41</v>
      </c>
      <c r="E433" t="s">
        <v>15</v>
      </c>
      <c r="F433" s="1" t="s">
        <v>38</v>
      </c>
      <c r="G433">
        <v>0.64600000000000002</v>
      </c>
      <c r="H433">
        <v>0.67300000000000004</v>
      </c>
      <c r="I433">
        <f t="shared" si="25"/>
        <v>4.1795665634674961E-2</v>
      </c>
      <c r="J433">
        <f t="shared" si="26"/>
        <v>2.3886885369015226E-6</v>
      </c>
      <c r="K433">
        <f t="shared" si="28"/>
        <v>2.3886885369015225</v>
      </c>
      <c r="L433">
        <v>1277.1260966250002</v>
      </c>
      <c r="M433">
        <f t="shared" si="27"/>
        <v>0.30506564671859238</v>
      </c>
      <c r="N433">
        <v>21.135999999999999</v>
      </c>
    </row>
    <row r="434" spans="1:14" x14ac:dyDescent="0.35">
      <c r="A434" t="s">
        <v>37</v>
      </c>
      <c r="B434" s="2">
        <v>44800</v>
      </c>
      <c r="C434" s="3">
        <v>0.8125</v>
      </c>
      <c r="D434" t="s">
        <v>41</v>
      </c>
      <c r="E434" t="s">
        <v>15</v>
      </c>
      <c r="F434" s="1" t="s">
        <v>38</v>
      </c>
      <c r="G434">
        <v>0.65900000000000003</v>
      </c>
      <c r="H434">
        <v>0.67300000000000004</v>
      </c>
      <c r="I434">
        <f t="shared" si="25"/>
        <v>2.124430955993932E-2</v>
      </c>
      <c r="J434">
        <f t="shared" si="26"/>
        <v>1.0384429158068637E-6</v>
      </c>
      <c r="K434">
        <f t="shared" si="28"/>
        <v>1.0384429158068638</v>
      </c>
      <c r="L434">
        <v>1277.1260966250002</v>
      </c>
      <c r="M434">
        <f t="shared" si="27"/>
        <v>0.13262225476323034</v>
      </c>
      <c r="N434">
        <v>22.610600000000002</v>
      </c>
    </row>
    <row r="435" spans="1:14" x14ac:dyDescent="0.35">
      <c r="A435" t="s">
        <v>37</v>
      </c>
      <c r="B435" s="2">
        <v>44800</v>
      </c>
      <c r="C435" s="3">
        <v>0.83333333333333337</v>
      </c>
      <c r="D435" t="s">
        <v>41</v>
      </c>
      <c r="E435" t="s">
        <v>15</v>
      </c>
      <c r="F435" s="1" t="s">
        <v>38</v>
      </c>
      <c r="G435">
        <v>0.66300000000000003</v>
      </c>
      <c r="H435">
        <v>0.67300000000000004</v>
      </c>
      <c r="I435">
        <f t="shared" si="25"/>
        <v>1.508295625942686E-2</v>
      </c>
      <c r="J435">
        <f t="shared" si="26"/>
        <v>6.811830109898548E-7</v>
      </c>
      <c r="K435">
        <f t="shared" si="28"/>
        <v>0.68118301098985479</v>
      </c>
      <c r="L435">
        <v>1277.1260966250002</v>
      </c>
      <c r="M435">
        <f t="shared" si="27"/>
        <v>8.6995659991273774E-2</v>
      </c>
      <c r="N435">
        <v>22.5307</v>
      </c>
    </row>
    <row r="436" spans="1:14" x14ac:dyDescent="0.35">
      <c r="A436" t="s">
        <v>37</v>
      </c>
      <c r="B436" s="2">
        <v>44800</v>
      </c>
      <c r="C436" s="3">
        <v>0.85416666666666663</v>
      </c>
      <c r="D436" t="s">
        <v>41</v>
      </c>
      <c r="E436" t="s">
        <v>15</v>
      </c>
      <c r="F436" s="1" t="s">
        <v>38</v>
      </c>
      <c r="G436">
        <v>0.66700000000000004</v>
      </c>
      <c r="H436">
        <v>0.67300000000000004</v>
      </c>
      <c r="I436">
        <f t="shared" si="25"/>
        <v>8.9955022488755702E-3</v>
      </c>
      <c r="J436">
        <f t="shared" si="26"/>
        <v>3.60538999364938E-7</v>
      </c>
      <c r="K436">
        <f t="shared" si="28"/>
        <v>0.360538999364938</v>
      </c>
      <c r="L436">
        <v>1277.1260966250002</v>
      </c>
      <c r="M436">
        <f t="shared" si="27"/>
        <v>4.6045376494002664E-2</v>
      </c>
      <c r="N436">
        <v>22.331499999999998</v>
      </c>
    </row>
    <row r="437" spans="1:14" x14ac:dyDescent="0.35">
      <c r="A437" t="s">
        <v>37</v>
      </c>
      <c r="B437" s="2">
        <v>44800</v>
      </c>
      <c r="C437" s="3">
        <v>0.875</v>
      </c>
      <c r="D437" t="s">
        <v>41</v>
      </c>
      <c r="E437" t="s">
        <v>15</v>
      </c>
      <c r="F437" s="1" t="s">
        <v>38</v>
      </c>
      <c r="G437">
        <v>0.67</v>
      </c>
      <c r="H437">
        <v>0.67300000000000004</v>
      </c>
      <c r="I437">
        <f t="shared" si="25"/>
        <v>4.4776119402985112E-3</v>
      </c>
      <c r="J437">
        <f t="shared" si="26"/>
        <v>1.5275138047618402E-7</v>
      </c>
      <c r="K437">
        <f t="shared" si="28"/>
        <v>0.15275138047618403</v>
      </c>
      <c r="L437">
        <v>1277.1260966250002</v>
      </c>
      <c r="M437">
        <f t="shared" si="27"/>
        <v>1.9508277430162913E-2</v>
      </c>
      <c r="N437">
        <v>22.132000000000001</v>
      </c>
    </row>
    <row r="438" spans="1:14" x14ac:dyDescent="0.35">
      <c r="A438" t="s">
        <v>37</v>
      </c>
      <c r="B438" s="2">
        <v>44800</v>
      </c>
      <c r="C438" s="3">
        <v>0.89583333333333337</v>
      </c>
      <c r="D438" t="s">
        <v>41</v>
      </c>
      <c r="E438" t="s">
        <v>15</v>
      </c>
      <c r="F438" s="1" t="s">
        <v>38</v>
      </c>
      <c r="G438">
        <v>0.67100000000000004</v>
      </c>
      <c r="H438">
        <v>0.67300000000000004</v>
      </c>
      <c r="I438">
        <f t="shared" si="25"/>
        <v>2.9806259314456062E-3</v>
      </c>
      <c r="J438">
        <f t="shared" si="26"/>
        <v>9.2559172597399345E-8</v>
      </c>
      <c r="K438">
        <f t="shared" si="28"/>
        <v>9.2559172597399347E-2</v>
      </c>
      <c r="L438">
        <v>1277.1260966250002</v>
      </c>
      <c r="M438">
        <f t="shared" si="27"/>
        <v>1.1820973480615629E-2</v>
      </c>
      <c r="N438">
        <v>21.936800000000002</v>
      </c>
    </row>
    <row r="439" spans="1:14" x14ac:dyDescent="0.35">
      <c r="A439" t="s">
        <v>37</v>
      </c>
      <c r="B439" s="2">
        <v>44800</v>
      </c>
      <c r="C439" s="3">
        <v>0.91666666666666663</v>
      </c>
      <c r="D439" t="s">
        <v>41</v>
      </c>
      <c r="E439" t="s">
        <v>15</v>
      </c>
      <c r="F439" s="1" t="s">
        <v>38</v>
      </c>
      <c r="G439">
        <v>0.67100000000000004</v>
      </c>
      <c r="H439">
        <v>0.67300000000000004</v>
      </c>
      <c r="I439">
        <f t="shared" si="25"/>
        <v>2.9806259314456062E-3</v>
      </c>
      <c r="J439">
        <f t="shared" si="26"/>
        <v>9.2559172597399345E-8</v>
      </c>
      <c r="K439">
        <f t="shared" si="28"/>
        <v>9.2559172597399347E-2</v>
      </c>
      <c r="L439">
        <v>1277.1260966250002</v>
      </c>
      <c r="M439">
        <f t="shared" si="27"/>
        <v>1.1820973480615629E-2</v>
      </c>
      <c r="N439">
        <v>21.610299999999999</v>
      </c>
    </row>
    <row r="440" spans="1:14" x14ac:dyDescent="0.35">
      <c r="A440" t="s">
        <v>37</v>
      </c>
      <c r="B440" s="2">
        <v>44800</v>
      </c>
      <c r="C440" s="3">
        <v>0.9375</v>
      </c>
      <c r="D440" t="s">
        <v>41</v>
      </c>
      <c r="E440" t="s">
        <v>15</v>
      </c>
      <c r="F440" s="1" t="s">
        <v>38</v>
      </c>
      <c r="G440">
        <v>0.67200000000000004</v>
      </c>
      <c r="H440">
        <v>0.67300000000000004</v>
      </c>
      <c r="I440">
        <f t="shared" si="25"/>
        <v>1.4880952380952393E-3</v>
      </c>
      <c r="J440">
        <f t="shared" si="26"/>
        <v>3.936002687208949E-8</v>
      </c>
      <c r="K440">
        <f t="shared" si="28"/>
        <v>3.936002687208949E-2</v>
      </c>
      <c r="L440">
        <v>1277.1260966250002</v>
      </c>
      <c r="M440">
        <f t="shared" si="27"/>
        <v>5.0267717482206757E-3</v>
      </c>
      <c r="N440">
        <v>21.201899999999998</v>
      </c>
    </row>
    <row r="441" spans="1:14" x14ac:dyDescent="0.35">
      <c r="A441" t="s">
        <v>37</v>
      </c>
      <c r="B441" s="2">
        <v>44800</v>
      </c>
      <c r="C441" s="3">
        <v>0.95833333333333337</v>
      </c>
      <c r="D441" t="s">
        <v>41</v>
      </c>
      <c r="E441" t="s">
        <v>15</v>
      </c>
      <c r="F441" s="1" t="s">
        <v>38</v>
      </c>
      <c r="G441">
        <v>0.67100000000000004</v>
      </c>
      <c r="H441">
        <v>0.67300000000000004</v>
      </c>
      <c r="I441">
        <f t="shared" si="25"/>
        <v>2.9806259314456062E-3</v>
      </c>
      <c r="J441">
        <f t="shared" si="26"/>
        <v>9.2559172597399345E-8</v>
      </c>
      <c r="K441">
        <f t="shared" si="28"/>
        <v>9.2559172597399347E-2</v>
      </c>
      <c r="L441">
        <v>1277.1260966250002</v>
      </c>
      <c r="M441">
        <f t="shared" si="27"/>
        <v>1.1820973480615629E-2</v>
      </c>
      <c r="N441">
        <v>20.816600000000001</v>
      </c>
    </row>
    <row r="442" spans="1:14" x14ac:dyDescent="0.35">
      <c r="A442" t="s">
        <v>37</v>
      </c>
      <c r="B442" s="2">
        <v>44800</v>
      </c>
      <c r="C442" s="3">
        <v>0.97916666666666663</v>
      </c>
      <c r="D442" t="s">
        <v>41</v>
      </c>
      <c r="E442" t="s">
        <v>15</v>
      </c>
      <c r="F442" s="1" t="s">
        <v>38</v>
      </c>
      <c r="G442">
        <v>0.67200000000000004</v>
      </c>
      <c r="H442">
        <v>0.67300000000000004</v>
      </c>
      <c r="I442">
        <f t="shared" si="25"/>
        <v>1.4880952380952393E-3</v>
      </c>
      <c r="J442">
        <f t="shared" si="26"/>
        <v>3.936002687208949E-8</v>
      </c>
      <c r="K442">
        <f t="shared" si="28"/>
        <v>3.936002687208949E-2</v>
      </c>
      <c r="L442">
        <v>1277.1260966250002</v>
      </c>
      <c r="M442">
        <f t="shared" si="27"/>
        <v>5.0267717482206757E-3</v>
      </c>
      <c r="N442">
        <v>20.130299999999998</v>
      </c>
    </row>
    <row r="443" spans="1:14" x14ac:dyDescent="0.35">
      <c r="A443" t="s">
        <v>37</v>
      </c>
      <c r="B443" s="2">
        <v>44800</v>
      </c>
      <c r="C443" s="3">
        <v>0</v>
      </c>
      <c r="D443" t="s">
        <v>40</v>
      </c>
      <c r="E443" t="s">
        <v>15</v>
      </c>
      <c r="F443" s="1" t="s">
        <v>38</v>
      </c>
      <c r="G443">
        <v>0.70399999999999996</v>
      </c>
      <c r="H443">
        <f>MAX(G443:G490)</f>
        <v>0.70699999999999996</v>
      </c>
      <c r="I443">
        <f t="shared" si="25"/>
        <v>4.2613636363636404E-3</v>
      </c>
      <c r="J443">
        <f t="shared" si="26"/>
        <v>1.4372134821033523E-7</v>
      </c>
      <c r="K443">
        <f t="shared" si="28"/>
        <v>0.14372134821033522</v>
      </c>
      <c r="L443">
        <v>4528.792189625</v>
      </c>
      <c r="M443">
        <f t="shared" si="27"/>
        <v>6.5088411925734113E-2</v>
      </c>
      <c r="N443">
        <v>20.112200000000001</v>
      </c>
    </row>
    <row r="444" spans="1:14" x14ac:dyDescent="0.35">
      <c r="A444" t="s">
        <v>37</v>
      </c>
      <c r="B444" s="2">
        <v>44800</v>
      </c>
      <c r="C444" s="3">
        <v>2.0833333333333332E-2</v>
      </c>
      <c r="D444" t="s">
        <v>40</v>
      </c>
      <c r="E444" t="s">
        <v>15</v>
      </c>
      <c r="F444" s="1" t="s">
        <v>38</v>
      </c>
      <c r="G444">
        <v>0.70299999999999996</v>
      </c>
      <c r="H444">
        <v>0.70699999999999996</v>
      </c>
      <c r="I444">
        <f t="shared" si="25"/>
        <v>5.6899004267425375E-3</v>
      </c>
      <c r="J444">
        <f t="shared" si="26"/>
        <v>2.0515438572821893E-7</v>
      </c>
      <c r="K444">
        <f t="shared" si="28"/>
        <v>0.20515438572821892</v>
      </c>
      <c r="L444">
        <v>4528.792189625</v>
      </c>
      <c r="M444">
        <f t="shared" si="27"/>
        <v>9.2910157975327243E-2</v>
      </c>
      <c r="N444">
        <v>19.898800000000001</v>
      </c>
    </row>
    <row r="445" spans="1:14" x14ac:dyDescent="0.35">
      <c r="A445" t="s">
        <v>37</v>
      </c>
      <c r="B445" s="2">
        <v>44800</v>
      </c>
      <c r="C445" s="3">
        <v>4.1666666666666664E-2</v>
      </c>
      <c r="D445" t="s">
        <v>40</v>
      </c>
      <c r="E445" t="s">
        <v>15</v>
      </c>
      <c r="F445" s="1" t="s">
        <v>38</v>
      </c>
      <c r="G445">
        <v>0.70299999999999996</v>
      </c>
      <c r="H445">
        <v>0.70699999999999996</v>
      </c>
      <c r="I445">
        <f t="shared" si="25"/>
        <v>5.6899004267425375E-3</v>
      </c>
      <c r="J445">
        <f t="shared" si="26"/>
        <v>2.0515438572821893E-7</v>
      </c>
      <c r="K445">
        <f t="shared" si="28"/>
        <v>0.20515438572821892</v>
      </c>
      <c r="L445">
        <v>4528.792189625</v>
      </c>
      <c r="M445">
        <f t="shared" si="27"/>
        <v>9.2910157975327243E-2</v>
      </c>
      <c r="N445">
        <v>19.249500000000001</v>
      </c>
    </row>
    <row r="446" spans="1:14" x14ac:dyDescent="0.35">
      <c r="A446" t="s">
        <v>37</v>
      </c>
      <c r="B446" s="2">
        <v>44800</v>
      </c>
      <c r="C446" s="3">
        <v>6.25E-2</v>
      </c>
      <c r="D446" t="s">
        <v>40</v>
      </c>
      <c r="E446" t="s">
        <v>15</v>
      </c>
      <c r="F446" s="1" t="s">
        <v>38</v>
      </c>
      <c r="G446">
        <v>0.70299999999999996</v>
      </c>
      <c r="H446">
        <v>0.70699999999999996</v>
      </c>
      <c r="I446">
        <f t="shared" si="25"/>
        <v>5.6899004267425375E-3</v>
      </c>
      <c r="J446">
        <f t="shared" si="26"/>
        <v>2.0515438572821893E-7</v>
      </c>
      <c r="K446">
        <f t="shared" si="28"/>
        <v>0.20515438572821892</v>
      </c>
      <c r="L446">
        <v>4528.792189625</v>
      </c>
      <c r="M446">
        <f t="shared" si="27"/>
        <v>9.2910157975327243E-2</v>
      </c>
      <c r="N446">
        <v>17.116900000000001</v>
      </c>
    </row>
    <row r="447" spans="1:14" x14ac:dyDescent="0.35">
      <c r="A447" t="s">
        <v>37</v>
      </c>
      <c r="B447" s="2">
        <v>44800</v>
      </c>
      <c r="C447" s="3">
        <v>8.3333333333333329E-2</v>
      </c>
      <c r="D447" t="s">
        <v>40</v>
      </c>
      <c r="E447" t="s">
        <v>15</v>
      </c>
      <c r="F447" s="1" t="s">
        <v>38</v>
      </c>
      <c r="G447">
        <v>0.70199999999999996</v>
      </c>
      <c r="H447">
        <v>0.70699999999999996</v>
      </c>
      <c r="I447">
        <f t="shared" si="25"/>
        <v>7.1225071225071296E-3</v>
      </c>
      <c r="J447">
        <f t="shared" si="26"/>
        <v>2.7048180236155956E-7</v>
      </c>
      <c r="K447">
        <f t="shared" si="28"/>
        <v>0.27048180236155955</v>
      </c>
      <c r="L447">
        <v>4528.792189625</v>
      </c>
      <c r="M447">
        <f t="shared" si="27"/>
        <v>0.12249558739707238</v>
      </c>
      <c r="N447">
        <v>16.752199999999998</v>
      </c>
    </row>
    <row r="448" spans="1:14" x14ac:dyDescent="0.35">
      <c r="A448" t="s">
        <v>37</v>
      </c>
      <c r="B448" s="2">
        <v>44800</v>
      </c>
      <c r="C448" s="3">
        <v>0.10416666666666667</v>
      </c>
      <c r="D448" t="s">
        <v>40</v>
      </c>
      <c r="E448" t="s">
        <v>15</v>
      </c>
      <c r="F448" s="1" t="s">
        <v>38</v>
      </c>
      <c r="G448">
        <v>0.70199999999999996</v>
      </c>
      <c r="H448">
        <v>0.70699999999999996</v>
      </c>
      <c r="I448">
        <f t="shared" si="25"/>
        <v>7.1225071225071296E-3</v>
      </c>
      <c r="J448">
        <f t="shared" si="26"/>
        <v>2.7048180236155956E-7</v>
      </c>
      <c r="K448">
        <f t="shared" si="28"/>
        <v>0.27048180236155955</v>
      </c>
      <c r="L448">
        <v>4528.792189625</v>
      </c>
      <c r="M448">
        <f t="shared" si="27"/>
        <v>0.12249558739707238</v>
      </c>
      <c r="N448">
        <v>16.4085</v>
      </c>
    </row>
    <row r="449" spans="1:14" x14ac:dyDescent="0.35">
      <c r="A449" t="s">
        <v>37</v>
      </c>
      <c r="B449" s="2">
        <v>44800</v>
      </c>
      <c r="C449" s="3">
        <v>0.125</v>
      </c>
      <c r="D449" t="s">
        <v>40</v>
      </c>
      <c r="E449" t="s">
        <v>15</v>
      </c>
      <c r="F449" s="1" t="s">
        <v>38</v>
      </c>
      <c r="G449">
        <v>0.70299999999999996</v>
      </c>
      <c r="H449">
        <v>0.70699999999999996</v>
      </c>
      <c r="I449">
        <f t="shared" si="25"/>
        <v>5.6899004267425375E-3</v>
      </c>
      <c r="J449">
        <f t="shared" si="26"/>
        <v>2.0515438572821893E-7</v>
      </c>
      <c r="K449">
        <f t="shared" si="28"/>
        <v>0.20515438572821892</v>
      </c>
      <c r="L449">
        <v>4528.792189625</v>
      </c>
      <c r="M449">
        <f t="shared" si="27"/>
        <v>9.2910157975327243E-2</v>
      </c>
      <c r="N449">
        <v>17.264900000000001</v>
      </c>
    </row>
    <row r="450" spans="1:14" x14ac:dyDescent="0.35">
      <c r="A450" t="s">
        <v>37</v>
      </c>
      <c r="B450" s="2">
        <v>44800</v>
      </c>
      <c r="C450" s="3">
        <v>0.14583333333333334</v>
      </c>
      <c r="D450" t="s">
        <v>40</v>
      </c>
      <c r="E450" t="s">
        <v>15</v>
      </c>
      <c r="F450" s="1" t="s">
        <v>38</v>
      </c>
      <c r="G450">
        <v>0.70299999999999996</v>
      </c>
      <c r="H450">
        <v>0.70699999999999996</v>
      </c>
      <c r="I450">
        <f t="shared" ref="I450:I490" si="29">(H450-G450)/G450</f>
        <v>5.6899004267425375E-3</v>
      </c>
      <c r="J450">
        <f t="shared" ref="J450:J490" si="30">119*10^-6*(I450^1.231)</f>
        <v>2.0515438572821893E-7</v>
      </c>
      <c r="K450">
        <f t="shared" si="28"/>
        <v>0.20515438572821892</v>
      </c>
      <c r="L450">
        <v>4528.792189625</v>
      </c>
      <c r="M450">
        <f t="shared" si="27"/>
        <v>9.2910157975327243E-2</v>
      </c>
      <c r="N450">
        <v>15.769</v>
      </c>
    </row>
    <row r="451" spans="1:14" x14ac:dyDescent="0.35">
      <c r="A451" t="s">
        <v>37</v>
      </c>
      <c r="B451" s="2">
        <v>44800</v>
      </c>
      <c r="C451" s="3">
        <v>0.16666666666666666</v>
      </c>
      <c r="D451" t="s">
        <v>40</v>
      </c>
      <c r="E451" t="s">
        <v>15</v>
      </c>
      <c r="F451" s="1" t="s">
        <v>38</v>
      </c>
      <c r="G451">
        <v>0.70399999999999996</v>
      </c>
      <c r="H451">
        <v>0.70699999999999996</v>
      </c>
      <c r="I451">
        <f t="shared" si="29"/>
        <v>4.2613636363636404E-3</v>
      </c>
      <c r="J451">
        <f t="shared" si="30"/>
        <v>1.4372134821033523E-7</v>
      </c>
      <c r="K451">
        <f t="shared" si="28"/>
        <v>0.14372134821033522</v>
      </c>
      <c r="L451">
        <v>4528.792189625</v>
      </c>
      <c r="M451">
        <f t="shared" ref="M451:M490" si="31">K451*(L451/10000)</f>
        <v>6.5088411925734113E-2</v>
      </c>
      <c r="N451">
        <v>16.060199999999998</v>
      </c>
    </row>
    <row r="452" spans="1:14" x14ac:dyDescent="0.35">
      <c r="A452" t="s">
        <v>37</v>
      </c>
      <c r="B452" s="2">
        <v>44800</v>
      </c>
      <c r="C452" s="3">
        <v>0.1875</v>
      </c>
      <c r="D452" t="s">
        <v>40</v>
      </c>
      <c r="E452" t="s">
        <v>15</v>
      </c>
      <c r="F452" s="1" t="s">
        <v>38</v>
      </c>
      <c r="G452">
        <v>0.70499999999999996</v>
      </c>
      <c r="H452">
        <v>0.70699999999999996</v>
      </c>
      <c r="I452">
        <f t="shared" si="29"/>
        <v>2.8368794326241163E-3</v>
      </c>
      <c r="J452">
        <f t="shared" si="30"/>
        <v>8.7095172376123804E-8</v>
      </c>
      <c r="K452">
        <f t="shared" si="28"/>
        <v>8.7095172376123811E-2</v>
      </c>
      <c r="L452">
        <v>4528.792189625</v>
      </c>
      <c r="M452">
        <f t="shared" si="31"/>
        <v>3.944359364110326E-2</v>
      </c>
      <c r="N452">
        <v>15.727600000000001</v>
      </c>
    </row>
    <row r="453" spans="1:14" x14ac:dyDescent="0.35">
      <c r="A453" t="s">
        <v>37</v>
      </c>
      <c r="B453" s="2">
        <v>44800</v>
      </c>
      <c r="C453" s="3">
        <v>0.20833333333333334</v>
      </c>
      <c r="D453" t="s">
        <v>40</v>
      </c>
      <c r="E453" t="s">
        <v>15</v>
      </c>
      <c r="F453" s="1" t="s">
        <v>38</v>
      </c>
      <c r="G453">
        <v>0.70499999999999996</v>
      </c>
      <c r="H453">
        <v>0.70699999999999996</v>
      </c>
      <c r="I453">
        <f t="shared" si="29"/>
        <v>2.8368794326241163E-3</v>
      </c>
      <c r="J453">
        <f t="shared" si="30"/>
        <v>8.7095172376123804E-8</v>
      </c>
      <c r="K453">
        <f t="shared" si="28"/>
        <v>8.7095172376123811E-2</v>
      </c>
      <c r="L453">
        <v>4528.792189625</v>
      </c>
      <c r="M453">
        <f t="shared" si="31"/>
        <v>3.944359364110326E-2</v>
      </c>
      <c r="N453">
        <v>15.0184</v>
      </c>
    </row>
    <row r="454" spans="1:14" x14ac:dyDescent="0.35">
      <c r="A454" t="s">
        <v>37</v>
      </c>
      <c r="B454" s="2">
        <v>44800</v>
      </c>
      <c r="C454" s="3">
        <v>0.22916666666666666</v>
      </c>
      <c r="D454" t="s">
        <v>40</v>
      </c>
      <c r="E454" t="s">
        <v>15</v>
      </c>
      <c r="F454" s="1" t="s">
        <v>38</v>
      </c>
      <c r="G454">
        <v>0.70599999999999996</v>
      </c>
      <c r="H454">
        <v>0.70699999999999996</v>
      </c>
      <c r="I454">
        <f t="shared" si="29"/>
        <v>1.4164305949008512E-3</v>
      </c>
      <c r="J454">
        <f t="shared" si="30"/>
        <v>3.7039777944439822E-8</v>
      </c>
      <c r="K454">
        <f t="shared" si="28"/>
        <v>3.7039777944439821E-2</v>
      </c>
      <c r="L454">
        <v>4528.792189625</v>
      </c>
      <c r="M454">
        <f t="shared" si="31"/>
        <v>1.677454570602234E-2</v>
      </c>
      <c r="N454">
        <v>14.711399999999999</v>
      </c>
    </row>
    <row r="455" spans="1:14" x14ac:dyDescent="0.35">
      <c r="A455" t="s">
        <v>37</v>
      </c>
      <c r="B455" s="2">
        <v>44800</v>
      </c>
      <c r="C455" s="3">
        <v>0.25</v>
      </c>
      <c r="D455" t="s">
        <v>40</v>
      </c>
      <c r="E455" t="s">
        <v>15</v>
      </c>
      <c r="F455" s="1" t="s">
        <v>38</v>
      </c>
      <c r="G455">
        <v>0.70699999999999996</v>
      </c>
      <c r="H455">
        <v>0.70699999999999996</v>
      </c>
      <c r="I455">
        <f t="shared" si="29"/>
        <v>0</v>
      </c>
      <c r="J455">
        <f t="shared" si="30"/>
        <v>0</v>
      </c>
      <c r="K455">
        <f t="shared" si="28"/>
        <v>0</v>
      </c>
      <c r="L455">
        <v>4528.792189625</v>
      </c>
      <c r="M455">
        <f t="shared" si="31"/>
        <v>0</v>
      </c>
      <c r="N455">
        <v>15.889900000000001</v>
      </c>
    </row>
    <row r="456" spans="1:14" x14ac:dyDescent="0.35">
      <c r="A456" t="s">
        <v>37</v>
      </c>
      <c r="B456" s="2">
        <v>44800</v>
      </c>
      <c r="C456" s="3">
        <v>0.27083333333333331</v>
      </c>
      <c r="D456" t="s">
        <v>40</v>
      </c>
      <c r="E456" t="s">
        <v>15</v>
      </c>
      <c r="F456" s="1" t="s">
        <v>38</v>
      </c>
      <c r="G456">
        <v>0.70699999999999996</v>
      </c>
      <c r="H456">
        <v>0.70699999999999996</v>
      </c>
      <c r="I456">
        <f t="shared" si="29"/>
        <v>0</v>
      </c>
      <c r="J456">
        <f t="shared" si="30"/>
        <v>0</v>
      </c>
      <c r="K456">
        <f t="shared" si="28"/>
        <v>0</v>
      </c>
      <c r="L456">
        <v>4528.792189625</v>
      </c>
      <c r="M456">
        <f t="shared" si="31"/>
        <v>0</v>
      </c>
      <c r="N456">
        <v>16.3066</v>
      </c>
    </row>
    <row r="457" spans="1:14" x14ac:dyDescent="0.35">
      <c r="A457" t="s">
        <v>37</v>
      </c>
      <c r="B457" s="2">
        <v>44800</v>
      </c>
      <c r="C457" s="3">
        <v>0.29166666666666669</v>
      </c>
      <c r="D457" t="s">
        <v>40</v>
      </c>
      <c r="E457" t="s">
        <v>15</v>
      </c>
      <c r="F457" s="1" t="s">
        <v>38</v>
      </c>
      <c r="G457">
        <v>0.70699999999999996</v>
      </c>
      <c r="H457">
        <v>0.70699999999999996</v>
      </c>
      <c r="I457">
        <f t="shared" si="29"/>
        <v>0</v>
      </c>
      <c r="J457">
        <f t="shared" si="30"/>
        <v>0</v>
      </c>
      <c r="K457">
        <f t="shared" si="28"/>
        <v>0</v>
      </c>
      <c r="L457">
        <v>4528.792189625</v>
      </c>
      <c r="M457">
        <f t="shared" si="31"/>
        <v>0</v>
      </c>
      <c r="N457">
        <v>17.531300000000002</v>
      </c>
    </row>
    <row r="458" spans="1:14" x14ac:dyDescent="0.35">
      <c r="A458" t="s">
        <v>37</v>
      </c>
      <c r="B458" s="2">
        <v>44800</v>
      </c>
      <c r="C458" s="3">
        <v>0.3125</v>
      </c>
      <c r="D458" t="s">
        <v>40</v>
      </c>
      <c r="E458" t="s">
        <v>15</v>
      </c>
      <c r="F458" s="1" t="s">
        <v>38</v>
      </c>
      <c r="G458">
        <v>0.70299999999999996</v>
      </c>
      <c r="H458">
        <v>0.70699999999999996</v>
      </c>
      <c r="I458">
        <f t="shared" si="29"/>
        <v>5.6899004267425375E-3</v>
      </c>
      <c r="J458">
        <f t="shared" si="30"/>
        <v>2.0515438572821893E-7</v>
      </c>
      <c r="K458">
        <f t="shared" si="28"/>
        <v>0.20515438572821892</v>
      </c>
      <c r="L458">
        <v>4528.792189625</v>
      </c>
      <c r="M458">
        <f t="shared" si="31"/>
        <v>9.2910157975327243E-2</v>
      </c>
      <c r="N458">
        <v>18.497699999999998</v>
      </c>
    </row>
    <row r="459" spans="1:14" x14ac:dyDescent="0.35">
      <c r="A459" t="s">
        <v>37</v>
      </c>
      <c r="B459" s="2">
        <v>44800</v>
      </c>
      <c r="C459" s="3">
        <v>0.33333333333333331</v>
      </c>
      <c r="D459" t="s">
        <v>40</v>
      </c>
      <c r="E459" t="s">
        <v>15</v>
      </c>
      <c r="F459" s="1" t="s">
        <v>38</v>
      </c>
      <c r="G459">
        <v>0.69</v>
      </c>
      <c r="H459">
        <v>0.70699999999999996</v>
      </c>
      <c r="I459">
        <f t="shared" si="29"/>
        <v>2.4637681159420315E-2</v>
      </c>
      <c r="J459">
        <f t="shared" si="30"/>
        <v>1.2462533906968332E-6</v>
      </c>
      <c r="K459">
        <f t="shared" si="28"/>
        <v>1.2462533906968332</v>
      </c>
      <c r="L459">
        <v>4528.792189625</v>
      </c>
      <c r="M459">
        <f t="shared" si="31"/>
        <v>0.56440226220814915</v>
      </c>
      <c r="N459">
        <v>20.640699999999999</v>
      </c>
    </row>
    <row r="460" spans="1:14" x14ac:dyDescent="0.35">
      <c r="A460" t="s">
        <v>37</v>
      </c>
      <c r="B460" s="2">
        <v>44800</v>
      </c>
      <c r="C460" s="3">
        <v>0.35416666666666669</v>
      </c>
      <c r="D460" t="s">
        <v>40</v>
      </c>
      <c r="E460" t="s">
        <v>15</v>
      </c>
      <c r="F460" s="1" t="s">
        <v>38</v>
      </c>
      <c r="G460">
        <v>0.65700000000000003</v>
      </c>
      <c r="H460">
        <v>0.70699999999999996</v>
      </c>
      <c r="I460">
        <f t="shared" si="29"/>
        <v>7.6103500761034906E-2</v>
      </c>
      <c r="J460">
        <f t="shared" si="30"/>
        <v>4.9952366384280237E-6</v>
      </c>
      <c r="K460">
        <f t="shared" si="28"/>
        <v>4.9952366384280236</v>
      </c>
      <c r="L460">
        <v>4528.792189625</v>
      </c>
      <c r="M460">
        <f t="shared" si="31"/>
        <v>2.2622388673441471</v>
      </c>
      <c r="N460">
        <v>21.7852</v>
      </c>
    </row>
    <row r="461" spans="1:14" x14ac:dyDescent="0.35">
      <c r="A461" t="s">
        <v>37</v>
      </c>
      <c r="B461" s="2">
        <v>44800</v>
      </c>
      <c r="C461" s="3">
        <v>0.375</v>
      </c>
      <c r="D461" t="s">
        <v>40</v>
      </c>
      <c r="E461" t="s">
        <v>15</v>
      </c>
      <c r="F461" s="1" t="s">
        <v>38</v>
      </c>
      <c r="G461">
        <v>0.61899999999999999</v>
      </c>
      <c r="H461">
        <v>0.70699999999999996</v>
      </c>
      <c r="I461">
        <f t="shared" si="29"/>
        <v>0.14216478190630044</v>
      </c>
      <c r="J461">
        <f t="shared" si="30"/>
        <v>1.0780376827723512E-5</v>
      </c>
      <c r="K461">
        <f t="shared" si="28"/>
        <v>10.780376827723511</v>
      </c>
      <c r="L461">
        <v>4528.792189625</v>
      </c>
      <c r="M461">
        <f t="shared" si="31"/>
        <v>4.8822086378608569</v>
      </c>
      <c r="N461">
        <v>23.6355</v>
      </c>
    </row>
    <row r="462" spans="1:14" x14ac:dyDescent="0.35">
      <c r="A462" t="s">
        <v>37</v>
      </c>
      <c r="B462" s="2">
        <v>44800</v>
      </c>
      <c r="C462" s="3">
        <v>0.39583333333333331</v>
      </c>
      <c r="D462" t="s">
        <v>40</v>
      </c>
      <c r="E462" t="s">
        <v>15</v>
      </c>
      <c r="F462" s="1" t="s">
        <v>38</v>
      </c>
      <c r="G462">
        <v>0.58599999999999997</v>
      </c>
      <c r="H462">
        <v>0.70699999999999996</v>
      </c>
      <c r="I462">
        <f t="shared" si="29"/>
        <v>0.20648464163822527</v>
      </c>
      <c r="J462">
        <f t="shared" si="30"/>
        <v>1.7067652301858962E-5</v>
      </c>
      <c r="K462">
        <f t="shared" si="28"/>
        <v>17.067652301858963</v>
      </c>
      <c r="L462">
        <v>4528.792189625</v>
      </c>
      <c r="M462">
        <f t="shared" si="31"/>
        <v>7.7295850439894025</v>
      </c>
      <c r="N462">
        <v>25.8127</v>
      </c>
    </row>
    <row r="463" spans="1:14" x14ac:dyDescent="0.35">
      <c r="A463" t="s">
        <v>37</v>
      </c>
      <c r="B463" s="2">
        <v>44800</v>
      </c>
      <c r="C463" s="3">
        <v>0.41666666666666669</v>
      </c>
      <c r="D463" t="s">
        <v>40</v>
      </c>
      <c r="E463" t="s">
        <v>15</v>
      </c>
      <c r="F463" s="1" t="s">
        <v>38</v>
      </c>
      <c r="G463">
        <v>0.55500000000000005</v>
      </c>
      <c r="H463">
        <v>0.70699999999999996</v>
      </c>
      <c r="I463">
        <f t="shared" si="29"/>
        <v>0.27387387387387369</v>
      </c>
      <c r="J463">
        <f t="shared" si="30"/>
        <v>2.4164162961959923E-5</v>
      </c>
      <c r="K463">
        <f t="shared" si="28"/>
        <v>24.164162961959924</v>
      </c>
      <c r="L463">
        <v>4528.792189625</v>
      </c>
      <c r="M463">
        <f t="shared" si="31"/>
        <v>10.943447249094982</v>
      </c>
      <c r="N463">
        <v>27.663900000000002</v>
      </c>
    </row>
    <row r="464" spans="1:14" x14ac:dyDescent="0.35">
      <c r="A464" t="s">
        <v>37</v>
      </c>
      <c r="B464" s="2">
        <v>44800</v>
      </c>
      <c r="C464" s="3">
        <v>0.4375</v>
      </c>
      <c r="D464" t="s">
        <v>40</v>
      </c>
      <c r="E464" t="s">
        <v>15</v>
      </c>
      <c r="F464" s="1" t="s">
        <v>38</v>
      </c>
      <c r="G464">
        <v>0.54400000000000004</v>
      </c>
      <c r="H464">
        <v>0.70699999999999996</v>
      </c>
      <c r="I464">
        <f t="shared" si="29"/>
        <v>0.29963235294117629</v>
      </c>
      <c r="J464">
        <f t="shared" si="30"/>
        <v>2.699153956417131E-5</v>
      </c>
      <c r="K464">
        <f t="shared" si="28"/>
        <v>26.991539564171308</v>
      </c>
      <c r="L464">
        <v>4528.792189625</v>
      </c>
      <c r="M464">
        <f t="shared" si="31"/>
        <v>12.223907356417319</v>
      </c>
      <c r="N464">
        <v>29.2453</v>
      </c>
    </row>
    <row r="465" spans="1:14" x14ac:dyDescent="0.35">
      <c r="A465" t="s">
        <v>37</v>
      </c>
      <c r="B465" s="2">
        <v>44800</v>
      </c>
      <c r="C465" s="3">
        <v>0.45833333333333331</v>
      </c>
      <c r="D465" t="s">
        <v>40</v>
      </c>
      <c r="E465" t="s">
        <v>15</v>
      </c>
      <c r="F465" s="1" t="s">
        <v>38</v>
      </c>
      <c r="G465">
        <v>0.55000000000000004</v>
      </c>
      <c r="H465">
        <v>0.70699999999999996</v>
      </c>
      <c r="I465">
        <f t="shared" si="29"/>
        <v>0.28545454545454529</v>
      </c>
      <c r="J465">
        <f t="shared" si="30"/>
        <v>2.5428044497113816E-5</v>
      </c>
      <c r="K465">
        <f t="shared" si="28"/>
        <v>25.428044497113817</v>
      </c>
      <c r="L465">
        <v>4528.792189625</v>
      </c>
      <c r="M465">
        <f t="shared" si="31"/>
        <v>11.515832931596602</v>
      </c>
      <c r="N465">
        <v>31.9986</v>
      </c>
    </row>
    <row r="466" spans="1:14" x14ac:dyDescent="0.35">
      <c r="A466" t="s">
        <v>37</v>
      </c>
      <c r="B466" s="2">
        <v>44800</v>
      </c>
      <c r="C466" s="3">
        <v>0.47916666666666669</v>
      </c>
      <c r="D466" t="s">
        <v>40</v>
      </c>
      <c r="E466" t="s">
        <v>15</v>
      </c>
      <c r="F466" s="1" t="s">
        <v>38</v>
      </c>
      <c r="G466">
        <v>0.55600000000000005</v>
      </c>
      <c r="H466">
        <v>0.70699999999999996</v>
      </c>
      <c r="I466">
        <f t="shared" si="29"/>
        <v>0.27158273381294945</v>
      </c>
      <c r="J466">
        <f t="shared" si="30"/>
        <v>2.3915557820914423E-5</v>
      </c>
      <c r="K466">
        <f t="shared" si="28"/>
        <v>23.915557820914422</v>
      </c>
      <c r="L466">
        <v>4528.792189625</v>
      </c>
      <c r="M466">
        <f t="shared" si="31"/>
        <v>10.830859146988232</v>
      </c>
      <c r="N466">
        <v>31.6327</v>
      </c>
    </row>
    <row r="467" spans="1:14" x14ac:dyDescent="0.35">
      <c r="A467" t="s">
        <v>37</v>
      </c>
      <c r="B467" s="2">
        <v>44800</v>
      </c>
      <c r="C467" s="3">
        <v>0.5</v>
      </c>
      <c r="D467" t="s">
        <v>40</v>
      </c>
      <c r="E467" t="s">
        <v>15</v>
      </c>
      <c r="F467" s="1" t="s">
        <v>38</v>
      </c>
      <c r="G467">
        <v>0.56200000000000006</v>
      </c>
      <c r="H467">
        <v>0.70699999999999996</v>
      </c>
      <c r="I467">
        <f t="shared" si="29"/>
        <v>0.25800711743772226</v>
      </c>
      <c r="J467">
        <f t="shared" si="30"/>
        <v>2.2452544596303425E-5</v>
      </c>
      <c r="K467">
        <f t="shared" si="28"/>
        <v>22.452544596303426</v>
      </c>
      <c r="L467">
        <v>4528.792189625</v>
      </c>
      <c r="M467">
        <f t="shared" si="31"/>
        <v>10.168290860494595</v>
      </c>
      <c r="N467">
        <v>31.8827</v>
      </c>
    </row>
    <row r="468" spans="1:14" x14ac:dyDescent="0.35">
      <c r="A468" t="s">
        <v>37</v>
      </c>
      <c r="B468" s="2">
        <v>44800</v>
      </c>
      <c r="C468" s="3">
        <v>0.52083333333333337</v>
      </c>
      <c r="D468" t="s">
        <v>40</v>
      </c>
      <c r="E468" t="s">
        <v>15</v>
      </c>
      <c r="F468" s="1" t="s">
        <v>38</v>
      </c>
      <c r="G468">
        <v>0.57299999999999995</v>
      </c>
      <c r="H468">
        <v>0.70699999999999996</v>
      </c>
      <c r="I468">
        <f t="shared" si="29"/>
        <v>0.23385689354275746</v>
      </c>
      <c r="J468">
        <f t="shared" si="30"/>
        <v>1.989411520340468E-5</v>
      </c>
      <c r="K468">
        <f t="shared" si="28"/>
        <v>19.894115203404681</v>
      </c>
      <c r="L468">
        <v>4528.792189625</v>
      </c>
      <c r="M468">
        <f t="shared" si="31"/>
        <v>9.0096313552679081</v>
      </c>
      <c r="N468">
        <v>32.619799999999998</v>
      </c>
    </row>
    <row r="469" spans="1:14" x14ac:dyDescent="0.35">
      <c r="A469" t="s">
        <v>37</v>
      </c>
      <c r="B469" s="2">
        <v>44800</v>
      </c>
      <c r="C469" s="3">
        <v>0.54166666666666663</v>
      </c>
      <c r="D469" t="s">
        <v>40</v>
      </c>
      <c r="E469" t="s">
        <v>15</v>
      </c>
      <c r="F469" s="1" t="s">
        <v>38</v>
      </c>
      <c r="G469">
        <v>0.58099999999999996</v>
      </c>
      <c r="H469">
        <v>0.70699999999999996</v>
      </c>
      <c r="I469">
        <f t="shared" si="29"/>
        <v>0.21686746987951808</v>
      </c>
      <c r="J469">
        <f t="shared" si="30"/>
        <v>1.8130186995911652E-5</v>
      </c>
      <c r="K469">
        <f t="shared" si="28"/>
        <v>18.130186995911654</v>
      </c>
      <c r="L469">
        <v>4528.792189625</v>
      </c>
      <c r="M469">
        <f t="shared" si="31"/>
        <v>8.2107849263525434</v>
      </c>
      <c r="N469">
        <v>29.2163</v>
      </c>
    </row>
    <row r="470" spans="1:14" x14ac:dyDescent="0.35">
      <c r="A470" t="s">
        <v>37</v>
      </c>
      <c r="B470" s="2">
        <v>44800</v>
      </c>
      <c r="C470" s="3">
        <v>0.5625</v>
      </c>
      <c r="D470" t="s">
        <v>40</v>
      </c>
      <c r="E470" t="s">
        <v>15</v>
      </c>
      <c r="F470" s="1" t="s">
        <v>38</v>
      </c>
      <c r="G470">
        <v>0.57799999999999996</v>
      </c>
      <c r="H470">
        <v>0.70699999999999996</v>
      </c>
      <c r="I470">
        <f t="shared" si="29"/>
        <v>0.22318339100346024</v>
      </c>
      <c r="J470">
        <f t="shared" si="30"/>
        <v>1.8782341199965641E-5</v>
      </c>
      <c r="K470">
        <f t="shared" si="28"/>
        <v>18.782341199965639</v>
      </c>
      <c r="L470">
        <v>4528.792189625</v>
      </c>
      <c r="M470">
        <f t="shared" si="31"/>
        <v>8.5061320129276243</v>
      </c>
      <c r="N470">
        <v>30.803799999999999</v>
      </c>
    </row>
    <row r="471" spans="1:14" x14ac:dyDescent="0.35">
      <c r="A471" t="s">
        <v>37</v>
      </c>
      <c r="B471" s="2">
        <v>44800</v>
      </c>
      <c r="C471" s="3">
        <v>0.58333333333333337</v>
      </c>
      <c r="D471" t="s">
        <v>40</v>
      </c>
      <c r="E471" t="s">
        <v>15</v>
      </c>
      <c r="F471" s="1" t="s">
        <v>38</v>
      </c>
      <c r="G471">
        <v>0.58799999999999997</v>
      </c>
      <c r="H471">
        <v>0.70699999999999996</v>
      </c>
      <c r="I471">
        <f t="shared" si="29"/>
        <v>0.20238095238095238</v>
      </c>
      <c r="J471">
        <f t="shared" si="30"/>
        <v>1.6651056040460674E-5</v>
      </c>
      <c r="K471">
        <f t="shared" si="28"/>
        <v>16.651056040460674</v>
      </c>
      <c r="L471">
        <v>4528.792189625</v>
      </c>
      <c r="M471">
        <f t="shared" si="31"/>
        <v>7.5409172545046479</v>
      </c>
      <c r="N471">
        <v>30.016100000000002</v>
      </c>
    </row>
    <row r="472" spans="1:14" x14ac:dyDescent="0.35">
      <c r="A472" t="s">
        <v>37</v>
      </c>
      <c r="B472" s="2">
        <v>44800</v>
      </c>
      <c r="C472" s="3">
        <v>0.60416666666666663</v>
      </c>
      <c r="D472" t="s">
        <v>40</v>
      </c>
      <c r="E472" t="s">
        <v>15</v>
      </c>
      <c r="F472" s="1" t="s">
        <v>38</v>
      </c>
      <c r="G472">
        <v>0.59699999999999998</v>
      </c>
      <c r="H472">
        <v>0.70699999999999996</v>
      </c>
      <c r="I472">
        <f t="shared" si="29"/>
        <v>0.18425460636515911</v>
      </c>
      <c r="J472">
        <f t="shared" si="30"/>
        <v>1.483463807600163E-5</v>
      </c>
      <c r="K472">
        <f t="shared" si="28"/>
        <v>14.83463807600163</v>
      </c>
      <c r="L472">
        <v>4528.792189625</v>
      </c>
      <c r="M472">
        <f t="shared" si="31"/>
        <v>6.7182993054509819</v>
      </c>
      <c r="N472">
        <v>31.1188</v>
      </c>
    </row>
    <row r="473" spans="1:14" x14ac:dyDescent="0.35">
      <c r="A473" t="s">
        <v>37</v>
      </c>
      <c r="B473" s="2">
        <v>44800</v>
      </c>
      <c r="C473" s="3">
        <v>0.625</v>
      </c>
      <c r="D473" t="s">
        <v>40</v>
      </c>
      <c r="E473" t="s">
        <v>15</v>
      </c>
      <c r="F473" s="1" t="s">
        <v>38</v>
      </c>
      <c r="G473">
        <v>0.61</v>
      </c>
      <c r="H473">
        <v>0.70699999999999996</v>
      </c>
      <c r="I473">
        <f t="shared" si="29"/>
        <v>0.15901639344262292</v>
      </c>
      <c r="J473">
        <f t="shared" si="30"/>
        <v>1.2374337001413526E-5</v>
      </c>
      <c r="K473">
        <f t="shared" si="28"/>
        <v>12.374337001413526</v>
      </c>
      <c r="L473">
        <v>4528.792189625</v>
      </c>
      <c r="M473">
        <f t="shared" si="31"/>
        <v>5.6040800763789216</v>
      </c>
      <c r="N473">
        <v>33.7301</v>
      </c>
    </row>
    <row r="474" spans="1:14" x14ac:dyDescent="0.35">
      <c r="A474" t="s">
        <v>37</v>
      </c>
      <c r="B474" s="2">
        <v>44800</v>
      </c>
      <c r="C474" s="3">
        <v>0.64583333333333337</v>
      </c>
      <c r="D474" t="s">
        <v>40</v>
      </c>
      <c r="E474" t="s">
        <v>15</v>
      </c>
      <c r="F474" s="1" t="s">
        <v>38</v>
      </c>
      <c r="G474">
        <v>0.60799999999999998</v>
      </c>
      <c r="H474">
        <v>0.70699999999999996</v>
      </c>
      <c r="I474">
        <f t="shared" si="29"/>
        <v>0.16282894736842102</v>
      </c>
      <c r="J474">
        <f t="shared" si="30"/>
        <v>1.2740561830881321E-5</v>
      </c>
      <c r="K474">
        <f t="shared" si="28"/>
        <v>12.740561830881321</v>
      </c>
      <c r="L474">
        <v>4528.792189625</v>
      </c>
      <c r="M474">
        <f t="shared" si="31"/>
        <v>5.7699356911129716</v>
      </c>
      <c r="N474">
        <v>32.391100000000002</v>
      </c>
    </row>
    <row r="475" spans="1:14" x14ac:dyDescent="0.35">
      <c r="A475" t="s">
        <v>37</v>
      </c>
      <c r="B475" s="2">
        <v>44800</v>
      </c>
      <c r="C475" s="3">
        <v>0.66666666666666663</v>
      </c>
      <c r="D475" t="s">
        <v>40</v>
      </c>
      <c r="E475" t="s">
        <v>15</v>
      </c>
      <c r="F475" s="1" t="s">
        <v>38</v>
      </c>
      <c r="G475">
        <v>0.60399999999999998</v>
      </c>
      <c r="H475">
        <v>0.70699999999999996</v>
      </c>
      <c r="I475">
        <f t="shared" si="29"/>
        <v>0.17052980132450329</v>
      </c>
      <c r="J475">
        <f t="shared" si="30"/>
        <v>1.3486309232833011E-5</v>
      </c>
      <c r="K475">
        <f t="shared" si="28"/>
        <v>13.48630923283301</v>
      </c>
      <c r="L475">
        <v>4528.792189625</v>
      </c>
      <c r="M475">
        <f t="shared" si="31"/>
        <v>6.1076691920521657</v>
      </c>
      <c r="N475">
        <v>28.613099999999999</v>
      </c>
    </row>
    <row r="476" spans="1:14" x14ac:dyDescent="0.35">
      <c r="A476" t="s">
        <v>37</v>
      </c>
      <c r="B476" s="2">
        <v>44800</v>
      </c>
      <c r="C476" s="3">
        <v>0.6875</v>
      </c>
      <c r="D476" t="s">
        <v>40</v>
      </c>
      <c r="E476" t="s">
        <v>15</v>
      </c>
      <c r="F476" s="1" t="s">
        <v>38</v>
      </c>
      <c r="G476">
        <v>0.60299999999999998</v>
      </c>
      <c r="H476">
        <v>0.70699999999999996</v>
      </c>
      <c r="I476">
        <f t="shared" si="29"/>
        <v>0.17247097844112766</v>
      </c>
      <c r="J476">
        <f t="shared" si="30"/>
        <v>1.367553706164619E-5</v>
      </c>
      <c r="K476">
        <f t="shared" si="28"/>
        <v>13.675537061646191</v>
      </c>
      <c r="L476">
        <v>4528.792189625</v>
      </c>
      <c r="M476">
        <f t="shared" si="31"/>
        <v>6.1933665433710487</v>
      </c>
      <c r="N476">
        <v>29.746700000000001</v>
      </c>
    </row>
    <row r="477" spans="1:14" x14ac:dyDescent="0.35">
      <c r="A477" t="s">
        <v>37</v>
      </c>
      <c r="B477" s="2">
        <v>44800</v>
      </c>
      <c r="C477" s="3">
        <v>0.70833333333333337</v>
      </c>
      <c r="D477" t="s">
        <v>40</v>
      </c>
      <c r="E477" t="s">
        <v>15</v>
      </c>
      <c r="F477" s="1" t="s">
        <v>38</v>
      </c>
      <c r="G477">
        <v>0.60499999999999998</v>
      </c>
      <c r="H477">
        <v>0.70699999999999996</v>
      </c>
      <c r="I477">
        <f t="shared" si="29"/>
        <v>0.16859504132231401</v>
      </c>
      <c r="J477">
        <f t="shared" si="30"/>
        <v>1.3298201418994046E-5</v>
      </c>
      <c r="K477">
        <f t="shared" si="28"/>
        <v>13.298201418994047</v>
      </c>
      <c r="L477">
        <v>4528.792189625</v>
      </c>
      <c r="M477">
        <f t="shared" si="31"/>
        <v>6.0224790722400332</v>
      </c>
      <c r="N477">
        <v>26.706800000000001</v>
      </c>
    </row>
    <row r="478" spans="1:14" x14ac:dyDescent="0.35">
      <c r="A478" t="s">
        <v>37</v>
      </c>
      <c r="B478" s="2">
        <v>44800</v>
      </c>
      <c r="C478" s="3">
        <v>0.72916666666666663</v>
      </c>
      <c r="D478" t="s">
        <v>40</v>
      </c>
      <c r="E478" t="s">
        <v>15</v>
      </c>
      <c r="F478" s="1" t="s">
        <v>38</v>
      </c>
      <c r="G478">
        <v>0.61699999999999999</v>
      </c>
      <c r="H478">
        <v>0.70699999999999996</v>
      </c>
      <c r="I478">
        <f t="shared" si="29"/>
        <v>0.14586709886547808</v>
      </c>
      <c r="J478">
        <f t="shared" si="30"/>
        <v>1.1127009365432817E-5</v>
      </c>
      <c r="K478">
        <f t="shared" si="28"/>
        <v>11.127009365432817</v>
      </c>
      <c r="L478">
        <v>4528.792189625</v>
      </c>
      <c r="M478">
        <f t="shared" si="31"/>
        <v>5.039191310805637</v>
      </c>
      <c r="N478">
        <v>24.7545</v>
      </c>
    </row>
    <row r="479" spans="1:14" x14ac:dyDescent="0.35">
      <c r="A479" t="s">
        <v>37</v>
      </c>
      <c r="B479" s="2">
        <v>44800</v>
      </c>
      <c r="C479" s="3">
        <v>0.75</v>
      </c>
      <c r="D479" t="s">
        <v>40</v>
      </c>
      <c r="E479" t="s">
        <v>15</v>
      </c>
      <c r="F479" s="1" t="s">
        <v>38</v>
      </c>
      <c r="G479">
        <v>0.63</v>
      </c>
      <c r="H479">
        <v>0.70699999999999996</v>
      </c>
      <c r="I479">
        <f t="shared" si="29"/>
        <v>0.12222222222222215</v>
      </c>
      <c r="J479">
        <f t="shared" si="30"/>
        <v>8.9501193710899229E-6</v>
      </c>
      <c r="K479">
        <f t="shared" si="28"/>
        <v>8.9501193710899223</v>
      </c>
      <c r="L479">
        <v>4528.792189625</v>
      </c>
      <c r="M479">
        <f t="shared" si="31"/>
        <v>4.0533230704003458</v>
      </c>
      <c r="N479">
        <v>21.6553</v>
      </c>
    </row>
    <row r="480" spans="1:14" x14ac:dyDescent="0.35">
      <c r="A480" t="s">
        <v>37</v>
      </c>
      <c r="B480" s="2">
        <v>44800</v>
      </c>
      <c r="C480" s="3">
        <v>0.77083333333333337</v>
      </c>
      <c r="D480" t="s">
        <v>40</v>
      </c>
      <c r="E480" t="s">
        <v>15</v>
      </c>
      <c r="F480" s="1" t="s">
        <v>38</v>
      </c>
      <c r="G480">
        <v>0.64500000000000002</v>
      </c>
      <c r="H480">
        <v>0.70699999999999996</v>
      </c>
      <c r="I480">
        <f t="shared" si="29"/>
        <v>9.6124031007751853E-2</v>
      </c>
      <c r="J480">
        <f t="shared" si="30"/>
        <v>6.6590629811062185E-6</v>
      </c>
      <c r="K480">
        <f t="shared" si="28"/>
        <v>6.659062981106219</v>
      </c>
      <c r="L480">
        <v>4528.792189625</v>
      </c>
      <c r="M480">
        <f t="shared" si="31"/>
        <v>3.0157512419054813</v>
      </c>
      <c r="N480">
        <v>21.886700000000001</v>
      </c>
    </row>
    <row r="481" spans="1:14" x14ac:dyDescent="0.35">
      <c r="A481" t="s">
        <v>37</v>
      </c>
      <c r="B481" s="2">
        <v>44800</v>
      </c>
      <c r="C481" s="3">
        <v>0.79166666666666663</v>
      </c>
      <c r="D481" t="s">
        <v>40</v>
      </c>
      <c r="E481" t="s">
        <v>15</v>
      </c>
      <c r="F481" s="1" t="s">
        <v>38</v>
      </c>
      <c r="G481">
        <v>0.65800000000000003</v>
      </c>
      <c r="H481">
        <v>0.70699999999999996</v>
      </c>
      <c r="I481">
        <f t="shared" si="29"/>
        <v>7.4468085106382878E-2</v>
      </c>
      <c r="J481">
        <f t="shared" si="30"/>
        <v>4.8634254251066576E-6</v>
      </c>
      <c r="K481">
        <f t="shared" si="28"/>
        <v>4.8634254251066578</v>
      </c>
      <c r="L481">
        <v>4528.792189625</v>
      </c>
      <c r="M481">
        <f t="shared" si="31"/>
        <v>2.2025443080046676</v>
      </c>
      <c r="N481">
        <v>21.135999999999999</v>
      </c>
    </row>
    <row r="482" spans="1:14" x14ac:dyDescent="0.35">
      <c r="A482" t="s">
        <v>37</v>
      </c>
      <c r="B482" s="2">
        <v>44800</v>
      </c>
      <c r="C482" s="3">
        <v>0.8125</v>
      </c>
      <c r="D482" t="s">
        <v>40</v>
      </c>
      <c r="E482" t="s">
        <v>15</v>
      </c>
      <c r="F482" s="1" t="s">
        <v>38</v>
      </c>
      <c r="G482">
        <v>0.66800000000000004</v>
      </c>
      <c r="H482">
        <v>0.70699999999999996</v>
      </c>
      <c r="I482">
        <f t="shared" si="29"/>
        <v>5.8383233532934016E-2</v>
      </c>
      <c r="J482">
        <f t="shared" si="30"/>
        <v>3.60452189023467E-6</v>
      </c>
      <c r="K482">
        <f t="shared" si="28"/>
        <v>3.6045218902346701</v>
      </c>
      <c r="L482">
        <v>4528.792189625</v>
      </c>
      <c r="M482">
        <f t="shared" si="31"/>
        <v>1.6324130583827114</v>
      </c>
      <c r="N482">
        <v>22.610600000000002</v>
      </c>
    </row>
    <row r="483" spans="1:14" x14ac:dyDescent="0.35">
      <c r="A483" t="s">
        <v>37</v>
      </c>
      <c r="B483" s="2">
        <v>44800</v>
      </c>
      <c r="C483" s="3">
        <v>0.83333333333333337</v>
      </c>
      <c r="D483" t="s">
        <v>40</v>
      </c>
      <c r="E483" t="s">
        <v>15</v>
      </c>
      <c r="F483" s="1" t="s">
        <v>38</v>
      </c>
      <c r="G483">
        <v>0.67600000000000005</v>
      </c>
      <c r="H483">
        <v>0.70699999999999996</v>
      </c>
      <c r="I483">
        <f t="shared" si="29"/>
        <v>4.5857988165680347E-2</v>
      </c>
      <c r="J483">
        <f t="shared" si="30"/>
        <v>2.6776192635507295E-6</v>
      </c>
      <c r="K483">
        <f t="shared" si="28"/>
        <v>2.6776192635507297</v>
      </c>
      <c r="L483">
        <v>4528.792189625</v>
      </c>
      <c r="M483">
        <f t="shared" si="31"/>
        <v>1.2126381207557988</v>
      </c>
      <c r="N483">
        <v>22.5307</v>
      </c>
    </row>
    <row r="484" spans="1:14" x14ac:dyDescent="0.35">
      <c r="A484" t="s">
        <v>37</v>
      </c>
      <c r="B484" s="2">
        <v>44800</v>
      </c>
      <c r="C484" s="3">
        <v>0.85416666666666663</v>
      </c>
      <c r="D484" t="s">
        <v>40</v>
      </c>
      <c r="E484" t="s">
        <v>15</v>
      </c>
      <c r="F484" s="1" t="s">
        <v>38</v>
      </c>
      <c r="G484">
        <v>0.68300000000000005</v>
      </c>
      <c r="H484">
        <v>0.70699999999999996</v>
      </c>
      <c r="I484">
        <f t="shared" si="29"/>
        <v>3.5139092240116999E-2</v>
      </c>
      <c r="J484">
        <f t="shared" si="30"/>
        <v>1.9293681890557147E-6</v>
      </c>
      <c r="K484">
        <f t="shared" si="28"/>
        <v>1.9293681890557146</v>
      </c>
      <c r="L484">
        <v>4528.792189625</v>
      </c>
      <c r="M484">
        <f t="shared" si="31"/>
        <v>0.87377075855064512</v>
      </c>
      <c r="N484">
        <v>22.331499999999998</v>
      </c>
    </row>
    <row r="485" spans="1:14" x14ac:dyDescent="0.35">
      <c r="A485" t="s">
        <v>37</v>
      </c>
      <c r="B485" s="2">
        <v>44800</v>
      </c>
      <c r="C485" s="3">
        <v>0.875</v>
      </c>
      <c r="D485" t="s">
        <v>40</v>
      </c>
      <c r="E485" t="s">
        <v>15</v>
      </c>
      <c r="F485" s="1" t="s">
        <v>38</v>
      </c>
      <c r="G485">
        <v>0.68799999999999994</v>
      </c>
      <c r="H485">
        <v>0.70699999999999996</v>
      </c>
      <c r="I485">
        <f t="shared" si="29"/>
        <v>2.761627906976747E-2</v>
      </c>
      <c r="J485">
        <f t="shared" si="30"/>
        <v>1.4342381710283452E-6</v>
      </c>
      <c r="K485">
        <f t="shared" si="28"/>
        <v>1.4342381710283452</v>
      </c>
      <c r="L485">
        <v>4528.792189625</v>
      </c>
      <c r="M485">
        <f t="shared" si="31"/>
        <v>0.64953666270152144</v>
      </c>
      <c r="N485">
        <v>22.132000000000001</v>
      </c>
    </row>
    <row r="486" spans="1:14" x14ac:dyDescent="0.35">
      <c r="A486" t="s">
        <v>37</v>
      </c>
      <c r="B486" s="2">
        <v>44800</v>
      </c>
      <c r="C486" s="3">
        <v>0.89583333333333337</v>
      </c>
      <c r="D486" t="s">
        <v>40</v>
      </c>
      <c r="E486" t="s">
        <v>15</v>
      </c>
      <c r="F486" s="1" t="s">
        <v>38</v>
      </c>
      <c r="G486">
        <v>0.69199999999999995</v>
      </c>
      <c r="H486">
        <v>0.70699999999999996</v>
      </c>
      <c r="I486">
        <f t="shared" si="29"/>
        <v>2.1676300578034702E-2</v>
      </c>
      <c r="J486">
        <f t="shared" si="30"/>
        <v>1.0644976303741184E-6</v>
      </c>
      <c r="K486">
        <f t="shared" si="28"/>
        <v>1.0644976303741183</v>
      </c>
      <c r="L486">
        <v>4528.792189625</v>
      </c>
      <c r="M486">
        <f t="shared" si="31"/>
        <v>0.48208885543126268</v>
      </c>
      <c r="N486">
        <v>21.936800000000002</v>
      </c>
    </row>
    <row r="487" spans="1:14" x14ac:dyDescent="0.35">
      <c r="A487" t="s">
        <v>37</v>
      </c>
      <c r="B487" s="2">
        <v>44800</v>
      </c>
      <c r="C487" s="3">
        <v>0.91666666666666663</v>
      </c>
      <c r="D487" t="s">
        <v>40</v>
      </c>
      <c r="E487" t="s">
        <v>15</v>
      </c>
      <c r="F487" s="1" t="s">
        <v>38</v>
      </c>
      <c r="G487">
        <v>0.69499999999999995</v>
      </c>
      <c r="H487">
        <v>0.70699999999999996</v>
      </c>
      <c r="I487">
        <f t="shared" si="29"/>
        <v>1.7266187050359729E-2</v>
      </c>
      <c r="J487">
        <f t="shared" si="30"/>
        <v>8.0451802877347698E-7</v>
      </c>
      <c r="K487">
        <f t="shared" si="28"/>
        <v>0.804518028773477</v>
      </c>
      <c r="L487">
        <v>4528.792189625</v>
      </c>
      <c r="M487">
        <f t="shared" si="31"/>
        <v>0.36434949651218235</v>
      </c>
      <c r="N487">
        <v>21.610299999999999</v>
      </c>
    </row>
    <row r="488" spans="1:14" x14ac:dyDescent="0.35">
      <c r="A488" t="s">
        <v>37</v>
      </c>
      <c r="B488" s="2">
        <v>44800</v>
      </c>
      <c r="C488" s="3">
        <v>0.9375</v>
      </c>
      <c r="D488" t="s">
        <v>40</v>
      </c>
      <c r="E488" t="s">
        <v>15</v>
      </c>
      <c r="F488" s="1" t="s">
        <v>38</v>
      </c>
      <c r="G488">
        <v>0.69699999999999995</v>
      </c>
      <c r="H488">
        <v>0.70699999999999996</v>
      </c>
      <c r="I488">
        <f t="shared" si="29"/>
        <v>1.4347202295552381E-2</v>
      </c>
      <c r="J488">
        <f t="shared" si="30"/>
        <v>6.4051220778139019E-7</v>
      </c>
      <c r="K488">
        <f t="shared" si="28"/>
        <v>0.64051220778139017</v>
      </c>
      <c r="L488">
        <v>4528.792189625</v>
      </c>
      <c r="M488">
        <f t="shared" si="31"/>
        <v>0.2900746683959825</v>
      </c>
      <c r="N488">
        <v>21.201899999999998</v>
      </c>
    </row>
    <row r="489" spans="1:14" x14ac:dyDescent="0.35">
      <c r="A489" t="s">
        <v>37</v>
      </c>
      <c r="B489" s="2">
        <v>44800</v>
      </c>
      <c r="C489" s="3">
        <v>0.95833333333333337</v>
      </c>
      <c r="D489" t="s">
        <v>40</v>
      </c>
      <c r="E489" t="s">
        <v>15</v>
      </c>
      <c r="F489" s="1" t="s">
        <v>38</v>
      </c>
      <c r="G489">
        <v>0.69899999999999995</v>
      </c>
      <c r="H489">
        <v>0.70699999999999996</v>
      </c>
      <c r="I489">
        <f t="shared" si="29"/>
        <v>1.1444921316165962E-2</v>
      </c>
      <c r="J489">
        <f t="shared" si="30"/>
        <v>4.849526446200464E-7</v>
      </c>
      <c r="K489">
        <f t="shared" si="28"/>
        <v>0.48495264462004639</v>
      </c>
      <c r="L489">
        <v>4528.792189625</v>
      </c>
      <c r="M489">
        <f t="shared" si="31"/>
        <v>0.21962497492932542</v>
      </c>
      <c r="N489">
        <v>20.816600000000001</v>
      </c>
    </row>
    <row r="490" spans="1:14" x14ac:dyDescent="0.35">
      <c r="A490" t="s">
        <v>37</v>
      </c>
      <c r="B490" s="2">
        <v>44800</v>
      </c>
      <c r="C490" s="3">
        <v>0.97916666666666663</v>
      </c>
      <c r="D490" t="s">
        <v>40</v>
      </c>
      <c r="E490" t="s">
        <v>15</v>
      </c>
      <c r="F490" s="1" t="s">
        <v>38</v>
      </c>
      <c r="G490">
        <v>0.7</v>
      </c>
      <c r="H490">
        <v>0.70699999999999996</v>
      </c>
      <c r="I490">
        <f t="shared" si="29"/>
        <v>1.0000000000000009E-2</v>
      </c>
      <c r="J490">
        <f t="shared" si="30"/>
        <v>4.107210498096689E-7</v>
      </c>
      <c r="K490">
        <f t="shared" si="28"/>
        <v>0.41072104980966889</v>
      </c>
      <c r="L490">
        <v>4528.792189625</v>
      </c>
      <c r="M490">
        <f t="shared" si="31"/>
        <v>0.18600702824926091</v>
      </c>
      <c r="N490">
        <v>20.130299999999998</v>
      </c>
    </row>
  </sheetData>
  <sortState xmlns:xlrd2="http://schemas.microsoft.com/office/spreadsheetml/2017/richdata2" ref="A2:L490">
    <sortCondition ref="D1:D490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BB88-51C7-40F4-8294-D5615365C531}">
  <dimension ref="A1:P337"/>
  <sheetViews>
    <sheetView tabSelected="1" topLeftCell="A26" workbookViewId="0">
      <selection activeCell="O44" sqref="O44"/>
    </sheetView>
  </sheetViews>
  <sheetFormatPr defaultRowHeight="14.5" x14ac:dyDescent="0.35"/>
  <cols>
    <col min="2" max="2" width="15.08984375" bestFit="1" customWidth="1"/>
    <col min="5" max="5" width="7.1796875" bestFit="1" customWidth="1"/>
    <col min="6" max="6" width="5.1796875" bestFit="1" customWidth="1"/>
    <col min="7" max="8" width="5.81640625" bestFit="1" customWidth="1"/>
    <col min="9" max="12" width="11.81640625" bestFit="1" customWidth="1"/>
    <col min="13" max="14" width="11.81640625" customWidth="1"/>
    <col min="15" max="15" width="11.81640625" bestFit="1" customWidth="1"/>
  </cols>
  <sheetData>
    <row r="1" spans="1:16" x14ac:dyDescent="0.35">
      <c r="A1" t="s">
        <v>4</v>
      </c>
      <c r="B1" s="1" t="s">
        <v>0</v>
      </c>
      <c r="C1" t="s">
        <v>1</v>
      </c>
      <c r="D1" t="s">
        <v>53</v>
      </c>
      <c r="E1" t="s">
        <v>2</v>
      </c>
      <c r="F1" t="s">
        <v>54</v>
      </c>
      <c r="G1" t="s">
        <v>3</v>
      </c>
      <c r="H1" t="s">
        <v>57</v>
      </c>
      <c r="I1" t="s">
        <v>55</v>
      </c>
      <c r="J1" t="s">
        <v>56</v>
      </c>
      <c r="K1" t="s">
        <v>58</v>
      </c>
      <c r="L1" t="s">
        <v>60</v>
      </c>
      <c r="M1" t="s">
        <v>65</v>
      </c>
      <c r="N1" t="s">
        <v>66</v>
      </c>
      <c r="O1" t="s">
        <v>61</v>
      </c>
      <c r="P1" t="s">
        <v>62</v>
      </c>
    </row>
    <row r="2" spans="1:16" x14ac:dyDescent="0.35">
      <c r="A2" t="s">
        <v>37</v>
      </c>
      <c r="B2" s="2">
        <v>44800</v>
      </c>
      <c r="C2" s="3">
        <v>0</v>
      </c>
      <c r="D2" t="s">
        <v>43</v>
      </c>
      <c r="E2" t="s">
        <v>13</v>
      </c>
      <c r="F2" s="1" t="s">
        <v>38</v>
      </c>
      <c r="G2">
        <v>0.67300000000000004</v>
      </c>
      <c r="H2">
        <f>MAX(G2:G49)</f>
        <v>0.71799999999999997</v>
      </c>
      <c r="I2">
        <f t="shared" ref="I2:I24" si="0">(H2-G2)/G2</f>
        <v>6.6864784546805237E-2</v>
      </c>
      <c r="J2">
        <f t="shared" ref="J2:J24" si="1">119*10^-6*(I2^1.231)</f>
        <v>4.2595627630251225E-6</v>
      </c>
      <c r="K2">
        <f t="shared" ref="K2:K25" si="2">J2*10^6</f>
        <v>4.2595627630251229</v>
      </c>
      <c r="L2">
        <v>3880.0925246250008</v>
      </c>
      <c r="M2">
        <f>L2/1000000</f>
        <v>3.8800925246250009E-3</v>
      </c>
      <c r="N2">
        <f>J2*M2</f>
        <v>1.6527497634984793E-8</v>
      </c>
      <c r="O2">
        <f>N2*1000*3600</f>
        <v>5.9498991485945257E-2</v>
      </c>
      <c r="P2">
        <v>20.339200000000002</v>
      </c>
    </row>
    <row r="3" spans="1:16" x14ac:dyDescent="0.35">
      <c r="A3" t="s">
        <v>37</v>
      </c>
      <c r="B3" s="2">
        <v>44800</v>
      </c>
      <c r="C3" s="3">
        <v>2.0833333333333332E-2</v>
      </c>
      <c r="D3" t="s">
        <v>43</v>
      </c>
      <c r="E3" t="s">
        <v>13</v>
      </c>
      <c r="F3" s="1" t="s">
        <v>38</v>
      </c>
      <c r="G3">
        <v>0.67400000000000004</v>
      </c>
      <c r="H3">
        <v>0.71799999999999997</v>
      </c>
      <c r="I3">
        <f t="shared" si="0"/>
        <v>6.528189910979218E-2</v>
      </c>
      <c r="J3">
        <f t="shared" si="1"/>
        <v>4.1357747129455073E-6</v>
      </c>
      <c r="K3">
        <f t="shared" si="2"/>
        <v>4.1357747129455076</v>
      </c>
      <c r="L3">
        <v>3880.0925246250008</v>
      </c>
      <c r="M3">
        <f t="shared" ref="M3:M66" si="3">L3/1000000</f>
        <v>3.8800925246250009E-3</v>
      </c>
      <c r="N3">
        <f t="shared" ref="N3:N66" si="4">J3*M3</f>
        <v>1.6047188547232973E-8</v>
      </c>
      <c r="O3">
        <f t="shared" ref="O3:O66" si="5">N3*1000*3600</f>
        <v>5.7769878770038703E-2</v>
      </c>
      <c r="P3">
        <v>19.898800000000001</v>
      </c>
    </row>
    <row r="4" spans="1:16" x14ac:dyDescent="0.35">
      <c r="A4" t="s">
        <v>37</v>
      </c>
      <c r="B4" s="2">
        <v>44800</v>
      </c>
      <c r="C4" s="3">
        <v>4.1666666666666664E-2</v>
      </c>
      <c r="D4" t="s">
        <v>43</v>
      </c>
      <c r="E4" t="s">
        <v>13</v>
      </c>
      <c r="F4" s="1" t="s">
        <v>38</v>
      </c>
      <c r="G4">
        <v>0.67500000000000004</v>
      </c>
      <c r="H4">
        <v>0.71799999999999997</v>
      </c>
      <c r="I4">
        <f t="shared" si="0"/>
        <v>6.3703703703703596E-2</v>
      </c>
      <c r="J4">
        <f t="shared" si="1"/>
        <v>4.0130418228268463E-6</v>
      </c>
      <c r="K4">
        <f t="shared" si="2"/>
        <v>4.0130418228268461</v>
      </c>
      <c r="L4">
        <v>3880.0925246250008</v>
      </c>
      <c r="M4">
        <f t="shared" si="3"/>
        <v>3.8800925246250009E-3</v>
      </c>
      <c r="N4">
        <f t="shared" si="4"/>
        <v>1.5570973577757933E-8</v>
      </c>
      <c r="O4">
        <f t="shared" si="5"/>
        <v>5.6055504879928567E-2</v>
      </c>
      <c r="P4">
        <v>19.249500000000001</v>
      </c>
    </row>
    <row r="5" spans="1:16" x14ac:dyDescent="0.35">
      <c r="A5" t="s">
        <v>37</v>
      </c>
      <c r="B5" s="2">
        <v>44800</v>
      </c>
      <c r="C5" s="3">
        <v>6.25E-2</v>
      </c>
      <c r="D5" t="s">
        <v>43</v>
      </c>
      <c r="E5" t="s">
        <v>13</v>
      </c>
      <c r="F5" s="1" t="s">
        <v>38</v>
      </c>
      <c r="G5">
        <v>0.68100000000000005</v>
      </c>
      <c r="H5">
        <v>0.71799999999999997</v>
      </c>
      <c r="I5">
        <f t="shared" si="0"/>
        <v>5.433186490455201E-2</v>
      </c>
      <c r="J5">
        <f t="shared" si="1"/>
        <v>3.2991281767557546E-6</v>
      </c>
      <c r="K5">
        <f t="shared" si="2"/>
        <v>3.2991281767557545</v>
      </c>
      <c r="L5">
        <v>3880.0925246250008</v>
      </c>
      <c r="M5">
        <f t="shared" si="3"/>
        <v>3.8800925246250009E-3</v>
      </c>
      <c r="N5">
        <f t="shared" si="4"/>
        <v>1.2800922576409712E-8</v>
      </c>
      <c r="O5">
        <f t="shared" si="5"/>
        <v>4.6083321275074959E-2</v>
      </c>
      <c r="P5">
        <v>17.116900000000001</v>
      </c>
    </row>
    <row r="6" spans="1:16" x14ac:dyDescent="0.35">
      <c r="A6" t="s">
        <v>37</v>
      </c>
      <c r="B6" s="2">
        <v>44800</v>
      </c>
      <c r="C6" s="3">
        <v>8.3333333333333329E-2</v>
      </c>
      <c r="D6" t="s">
        <v>43</v>
      </c>
      <c r="E6" t="s">
        <v>13</v>
      </c>
      <c r="F6" s="1" t="s">
        <v>38</v>
      </c>
      <c r="G6">
        <v>0.68899999999999995</v>
      </c>
      <c r="H6">
        <v>0.71799999999999997</v>
      </c>
      <c r="I6">
        <f t="shared" si="0"/>
        <v>4.2089985486211942E-2</v>
      </c>
      <c r="J6">
        <f t="shared" si="1"/>
        <v>2.4094118093571723E-6</v>
      </c>
      <c r="K6">
        <f t="shared" si="2"/>
        <v>2.4094118093571724</v>
      </c>
      <c r="L6">
        <v>3880.0925246250008</v>
      </c>
      <c r="M6">
        <f t="shared" si="3"/>
        <v>3.8800925246250009E-3</v>
      </c>
      <c r="N6">
        <f t="shared" si="4"/>
        <v>9.3487407502299619E-9</v>
      </c>
      <c r="O6">
        <f t="shared" si="5"/>
        <v>3.3655466700827863E-2</v>
      </c>
      <c r="P6">
        <v>16.752199999999998</v>
      </c>
    </row>
    <row r="7" spans="1:16" x14ac:dyDescent="0.35">
      <c r="A7" t="s">
        <v>37</v>
      </c>
      <c r="B7" s="2">
        <v>44800</v>
      </c>
      <c r="C7" s="3">
        <v>0.10416666666666667</v>
      </c>
      <c r="D7" t="s">
        <v>43</v>
      </c>
      <c r="E7" t="s">
        <v>13</v>
      </c>
      <c r="F7" s="1" t="s">
        <v>38</v>
      </c>
      <c r="G7">
        <v>0.69499999999999995</v>
      </c>
      <c r="H7">
        <v>0.71799999999999997</v>
      </c>
      <c r="I7">
        <f t="shared" si="0"/>
        <v>3.3093525179856149E-2</v>
      </c>
      <c r="J7">
        <f t="shared" si="1"/>
        <v>1.7920521058048725E-6</v>
      </c>
      <c r="K7">
        <f t="shared" si="2"/>
        <v>1.7920521058048724</v>
      </c>
      <c r="L7">
        <v>3880.0925246250008</v>
      </c>
      <c r="M7">
        <f t="shared" si="3"/>
        <v>3.8800925246250009E-3</v>
      </c>
      <c r="N7">
        <f t="shared" si="4"/>
        <v>6.9533279794719768E-9</v>
      </c>
      <c r="O7">
        <f t="shared" si="5"/>
        <v>2.5031980726099117E-2</v>
      </c>
      <c r="P7">
        <v>16.4085</v>
      </c>
    </row>
    <row r="8" spans="1:16" x14ac:dyDescent="0.35">
      <c r="A8" t="s">
        <v>37</v>
      </c>
      <c r="B8" s="2">
        <v>44800</v>
      </c>
      <c r="C8" s="3">
        <v>0.125</v>
      </c>
      <c r="D8" t="s">
        <v>43</v>
      </c>
      <c r="E8" t="s">
        <v>13</v>
      </c>
      <c r="F8" s="1" t="s">
        <v>38</v>
      </c>
      <c r="G8">
        <v>0.69799999999999995</v>
      </c>
      <c r="H8">
        <v>0.71799999999999997</v>
      </c>
      <c r="I8">
        <f t="shared" si="0"/>
        <v>2.8653295128939854E-2</v>
      </c>
      <c r="J8">
        <f t="shared" si="1"/>
        <v>1.5008208719000861E-6</v>
      </c>
      <c r="K8">
        <f t="shared" si="2"/>
        <v>1.5008208719000862</v>
      </c>
      <c r="L8">
        <v>3880.0925246250008</v>
      </c>
      <c r="M8">
        <f t="shared" si="3"/>
        <v>3.8800925246250009E-3</v>
      </c>
      <c r="N8">
        <f t="shared" si="4"/>
        <v>5.8233238458606998E-9</v>
      </c>
      <c r="O8">
        <f t="shared" si="5"/>
        <v>2.096396584509852E-2</v>
      </c>
      <c r="P8">
        <v>17.264900000000001</v>
      </c>
    </row>
    <row r="9" spans="1:16" x14ac:dyDescent="0.35">
      <c r="A9" t="s">
        <v>37</v>
      </c>
      <c r="B9" s="2">
        <v>44800</v>
      </c>
      <c r="C9" s="3">
        <v>0.14583333333333334</v>
      </c>
      <c r="D9" t="s">
        <v>43</v>
      </c>
      <c r="E9" t="s">
        <v>13</v>
      </c>
      <c r="F9" s="1" t="s">
        <v>38</v>
      </c>
      <c r="G9">
        <v>0.69799999999999995</v>
      </c>
      <c r="H9">
        <v>0.71799999999999997</v>
      </c>
      <c r="I9">
        <f t="shared" si="0"/>
        <v>2.8653295128939854E-2</v>
      </c>
      <c r="J9">
        <f t="shared" si="1"/>
        <v>1.5008208719000861E-6</v>
      </c>
      <c r="K9">
        <f t="shared" si="2"/>
        <v>1.5008208719000862</v>
      </c>
      <c r="L9">
        <v>3880.0925246250008</v>
      </c>
      <c r="M9">
        <f t="shared" si="3"/>
        <v>3.8800925246250009E-3</v>
      </c>
      <c r="N9">
        <f t="shared" si="4"/>
        <v>5.8233238458606998E-9</v>
      </c>
      <c r="O9">
        <f t="shared" si="5"/>
        <v>2.096396584509852E-2</v>
      </c>
      <c r="P9">
        <v>15.769</v>
      </c>
    </row>
    <row r="10" spans="1:16" x14ac:dyDescent="0.35">
      <c r="A10" t="s">
        <v>37</v>
      </c>
      <c r="B10" s="2">
        <v>44800</v>
      </c>
      <c r="C10" s="3">
        <v>0.16666666666666666</v>
      </c>
      <c r="D10" t="s">
        <v>43</v>
      </c>
      <c r="E10" t="s">
        <v>13</v>
      </c>
      <c r="F10" s="1" t="s">
        <v>38</v>
      </c>
      <c r="G10">
        <v>0.70199999999999996</v>
      </c>
      <c r="H10">
        <v>0.71799999999999997</v>
      </c>
      <c r="I10">
        <f t="shared" si="0"/>
        <v>2.2792022792022814E-2</v>
      </c>
      <c r="J10">
        <f t="shared" si="1"/>
        <v>1.1323421534772981E-6</v>
      </c>
      <c r="K10">
        <f t="shared" si="2"/>
        <v>1.1323421534772979</v>
      </c>
      <c r="L10">
        <v>3880.0925246250008</v>
      </c>
      <c r="M10">
        <f t="shared" si="3"/>
        <v>3.8800925246250009E-3</v>
      </c>
      <c r="N10">
        <f t="shared" si="4"/>
        <v>4.3935923250250394E-9</v>
      </c>
      <c r="O10">
        <f t="shared" si="5"/>
        <v>1.5816932370090141E-2</v>
      </c>
      <c r="P10">
        <v>16.060199999999998</v>
      </c>
    </row>
    <row r="11" spans="1:16" x14ac:dyDescent="0.35">
      <c r="A11" t="s">
        <v>37</v>
      </c>
      <c r="B11" s="2">
        <v>44800</v>
      </c>
      <c r="C11" s="3">
        <v>0.1875</v>
      </c>
      <c r="D11" t="s">
        <v>43</v>
      </c>
      <c r="E11" t="s">
        <v>13</v>
      </c>
      <c r="F11" s="1" t="s">
        <v>38</v>
      </c>
      <c r="G11">
        <v>0.70399999999999996</v>
      </c>
      <c r="H11">
        <v>0.71799999999999997</v>
      </c>
      <c r="I11">
        <f t="shared" si="0"/>
        <v>1.9886363636363657E-2</v>
      </c>
      <c r="J11">
        <f t="shared" si="1"/>
        <v>9.5734534499295097E-7</v>
      </c>
      <c r="K11">
        <f t="shared" si="2"/>
        <v>0.95734534499295099</v>
      </c>
      <c r="L11">
        <v>3880.0925246250008</v>
      </c>
      <c r="M11">
        <f t="shared" si="3"/>
        <v>3.8800925246250009E-3</v>
      </c>
      <c r="N11">
        <f t="shared" si="4"/>
        <v>3.7145885165916917E-9</v>
      </c>
      <c r="O11">
        <f t="shared" si="5"/>
        <v>1.337251865973009E-2</v>
      </c>
      <c r="P11">
        <v>15.727600000000001</v>
      </c>
    </row>
    <row r="12" spans="1:16" x14ac:dyDescent="0.35">
      <c r="A12" t="s">
        <v>37</v>
      </c>
      <c r="B12" s="2">
        <v>44800</v>
      </c>
      <c r="C12" s="3">
        <v>0.20833333333333334</v>
      </c>
      <c r="D12" t="s">
        <v>43</v>
      </c>
      <c r="E12" t="s">
        <v>13</v>
      </c>
      <c r="F12" s="1" t="s">
        <v>38</v>
      </c>
      <c r="G12">
        <v>0.71199999999999997</v>
      </c>
      <c r="H12">
        <v>0.71799999999999997</v>
      </c>
      <c r="I12">
        <f t="shared" si="0"/>
        <v>8.4269662921348399E-3</v>
      </c>
      <c r="J12">
        <f t="shared" si="1"/>
        <v>3.3269653552671239E-7</v>
      </c>
      <c r="K12">
        <f t="shared" si="2"/>
        <v>0.33269653552671241</v>
      </c>
      <c r="L12">
        <v>3880.0925246250008</v>
      </c>
      <c r="M12">
        <f t="shared" si="3"/>
        <v>3.8800925246250009E-3</v>
      </c>
      <c r="N12">
        <f t="shared" si="4"/>
        <v>1.2908933404658328E-9</v>
      </c>
      <c r="O12">
        <f t="shared" si="5"/>
        <v>4.6472160256769979E-3</v>
      </c>
      <c r="P12">
        <v>15.0184</v>
      </c>
    </row>
    <row r="13" spans="1:16" x14ac:dyDescent="0.35">
      <c r="A13" t="s">
        <v>37</v>
      </c>
      <c r="B13" s="2">
        <v>44800</v>
      </c>
      <c r="C13" s="3">
        <v>0.22916666666666666</v>
      </c>
      <c r="D13" t="s">
        <v>43</v>
      </c>
      <c r="E13" t="s">
        <v>13</v>
      </c>
      <c r="F13" s="1" t="s">
        <v>38</v>
      </c>
      <c r="G13">
        <v>0.71799999999999997</v>
      </c>
      <c r="H13">
        <v>0.71799999999999997</v>
      </c>
      <c r="I13">
        <f t="shared" si="0"/>
        <v>0</v>
      </c>
      <c r="J13">
        <f t="shared" si="1"/>
        <v>0</v>
      </c>
      <c r="K13">
        <f t="shared" si="2"/>
        <v>0</v>
      </c>
      <c r="L13">
        <v>3880.0925246250008</v>
      </c>
      <c r="M13">
        <f t="shared" si="3"/>
        <v>3.8800925246250009E-3</v>
      </c>
      <c r="N13">
        <f t="shared" si="4"/>
        <v>0</v>
      </c>
      <c r="O13">
        <f t="shared" si="5"/>
        <v>0</v>
      </c>
      <c r="P13">
        <v>14.711399999999999</v>
      </c>
    </row>
    <row r="14" spans="1:16" x14ac:dyDescent="0.35">
      <c r="A14" t="s">
        <v>37</v>
      </c>
      <c r="B14" s="2">
        <v>44800</v>
      </c>
      <c r="C14" s="3">
        <v>0.25</v>
      </c>
      <c r="D14" t="s">
        <v>43</v>
      </c>
      <c r="E14" t="s">
        <v>13</v>
      </c>
      <c r="F14" s="1" t="s">
        <v>38</v>
      </c>
      <c r="G14">
        <v>0.71599999999999997</v>
      </c>
      <c r="H14">
        <v>0.71799999999999997</v>
      </c>
      <c r="I14">
        <f t="shared" si="0"/>
        <v>2.7932960893854776E-3</v>
      </c>
      <c r="J14">
        <f t="shared" si="1"/>
        <v>8.5450961853924612E-8</v>
      </c>
      <c r="K14">
        <f t="shared" si="2"/>
        <v>8.5450961853924617E-2</v>
      </c>
      <c r="L14">
        <v>3880.0925246250008</v>
      </c>
      <c r="M14">
        <f t="shared" si="3"/>
        <v>3.8800925246250009E-3</v>
      </c>
      <c r="N14">
        <f t="shared" si="4"/>
        <v>3.3155763831142899E-10</v>
      </c>
      <c r="O14">
        <f t="shared" si="5"/>
        <v>1.1936074979211444E-3</v>
      </c>
      <c r="P14">
        <v>15.889900000000001</v>
      </c>
    </row>
    <row r="15" spans="1:16" x14ac:dyDescent="0.35">
      <c r="A15" t="s">
        <v>37</v>
      </c>
      <c r="B15" s="2">
        <v>44800</v>
      </c>
      <c r="C15" s="3">
        <v>0.27083333333333331</v>
      </c>
      <c r="D15" t="s">
        <v>43</v>
      </c>
      <c r="E15" t="s">
        <v>13</v>
      </c>
      <c r="F15" s="1" t="s">
        <v>38</v>
      </c>
      <c r="G15">
        <v>0.71399999999999997</v>
      </c>
      <c r="H15">
        <v>0.71799999999999997</v>
      </c>
      <c r="I15">
        <f t="shared" si="0"/>
        <v>5.6022408963585487E-3</v>
      </c>
      <c r="J15">
        <f t="shared" si="1"/>
        <v>2.0127058645117965E-7</v>
      </c>
      <c r="K15">
        <f t="shared" si="2"/>
        <v>0.20127058645117965</v>
      </c>
      <c r="L15">
        <v>3880.0925246250008</v>
      </c>
      <c r="M15">
        <f t="shared" si="3"/>
        <v>3.8800925246250009E-3</v>
      </c>
      <c r="N15">
        <f t="shared" si="4"/>
        <v>7.8094849791611213E-10</v>
      </c>
      <c r="O15">
        <f t="shared" si="5"/>
        <v>2.8114145924980037E-3</v>
      </c>
      <c r="P15">
        <v>16.3066</v>
      </c>
    </row>
    <row r="16" spans="1:16" x14ac:dyDescent="0.35">
      <c r="A16" t="s">
        <v>37</v>
      </c>
      <c r="B16" s="2">
        <v>44800</v>
      </c>
      <c r="C16" s="3">
        <v>0.29166666666666669</v>
      </c>
      <c r="D16" t="s">
        <v>43</v>
      </c>
      <c r="E16" t="s">
        <v>13</v>
      </c>
      <c r="F16" s="1" t="s">
        <v>38</v>
      </c>
      <c r="G16">
        <v>0.71099999999999997</v>
      </c>
      <c r="H16">
        <v>0.71799999999999997</v>
      </c>
      <c r="I16">
        <f t="shared" si="0"/>
        <v>9.8452883263009938E-3</v>
      </c>
      <c r="J16">
        <f t="shared" si="1"/>
        <v>4.0291289796036974E-7</v>
      </c>
      <c r="K16">
        <f t="shared" si="2"/>
        <v>0.40291289796036972</v>
      </c>
      <c r="L16">
        <v>3880.0925246250008</v>
      </c>
      <c r="M16">
        <f t="shared" si="3"/>
        <v>3.8800925246250009E-3</v>
      </c>
      <c r="N16">
        <f t="shared" si="4"/>
        <v>1.5633393234510264E-9</v>
      </c>
      <c r="O16">
        <f t="shared" si="5"/>
        <v>5.6280215644236948E-3</v>
      </c>
      <c r="P16">
        <v>17.531300000000002</v>
      </c>
    </row>
    <row r="17" spans="1:16" x14ac:dyDescent="0.35">
      <c r="A17" t="s">
        <v>37</v>
      </c>
      <c r="B17" s="2">
        <v>44800</v>
      </c>
      <c r="C17" s="3">
        <v>0.3125</v>
      </c>
      <c r="D17" t="s">
        <v>43</v>
      </c>
      <c r="E17" t="s">
        <v>13</v>
      </c>
      <c r="F17" s="1" t="s">
        <v>38</v>
      </c>
      <c r="G17">
        <v>0.67900000000000005</v>
      </c>
      <c r="H17">
        <v>0.71799999999999997</v>
      </c>
      <c r="I17">
        <f t="shared" si="0"/>
        <v>5.7437407952871757E-2</v>
      </c>
      <c r="J17">
        <f t="shared" si="1"/>
        <v>3.5327735528932569E-6</v>
      </c>
      <c r="K17">
        <f t="shared" si="2"/>
        <v>3.5327735528932567</v>
      </c>
      <c r="L17">
        <v>3880.0925246250008</v>
      </c>
      <c r="M17">
        <f t="shared" si="3"/>
        <v>3.8800925246250009E-3</v>
      </c>
      <c r="N17">
        <f t="shared" si="4"/>
        <v>1.3707488253774031E-8</v>
      </c>
      <c r="O17">
        <f t="shared" si="5"/>
        <v>4.9346957713586506E-2</v>
      </c>
      <c r="P17">
        <v>18.497699999999998</v>
      </c>
    </row>
    <row r="18" spans="1:16" x14ac:dyDescent="0.35">
      <c r="A18" t="s">
        <v>37</v>
      </c>
      <c r="B18" s="2">
        <v>44800</v>
      </c>
      <c r="C18" s="3">
        <v>0.33333333333333331</v>
      </c>
      <c r="D18" t="s">
        <v>43</v>
      </c>
      <c r="E18" t="s">
        <v>13</v>
      </c>
      <c r="F18" s="1" t="s">
        <v>38</v>
      </c>
      <c r="G18">
        <v>0.61199999999999999</v>
      </c>
      <c r="H18">
        <v>0.71799999999999997</v>
      </c>
      <c r="I18">
        <f t="shared" si="0"/>
        <v>0.17320261437908493</v>
      </c>
      <c r="J18">
        <f t="shared" si="1"/>
        <v>1.3746985699024332E-5</v>
      </c>
      <c r="K18">
        <f t="shared" si="2"/>
        <v>13.746985699024332</v>
      </c>
      <c r="L18">
        <v>3880.0925246250008</v>
      </c>
      <c r="M18">
        <f t="shared" si="3"/>
        <v>3.8800925246250009E-3</v>
      </c>
      <c r="N18">
        <f t="shared" si="4"/>
        <v>5.3339576446911104E-8</v>
      </c>
      <c r="O18">
        <f t="shared" si="5"/>
        <v>0.19202247520887997</v>
      </c>
      <c r="P18">
        <v>20.640699999999999</v>
      </c>
    </row>
    <row r="19" spans="1:16" x14ac:dyDescent="0.35">
      <c r="A19" t="s">
        <v>37</v>
      </c>
      <c r="B19" s="2">
        <v>44800</v>
      </c>
      <c r="C19" s="3">
        <v>0.35416666666666669</v>
      </c>
      <c r="D19" t="s">
        <v>43</v>
      </c>
      <c r="E19" t="s">
        <v>13</v>
      </c>
      <c r="F19" s="1" t="s">
        <v>38</v>
      </c>
      <c r="G19">
        <v>0.54500000000000004</v>
      </c>
      <c r="H19">
        <v>0.71799999999999997</v>
      </c>
      <c r="I19">
        <f t="shared" si="0"/>
        <v>0.31743119266055031</v>
      </c>
      <c r="J19">
        <f t="shared" si="1"/>
        <v>2.8978614667840131E-5</v>
      </c>
      <c r="K19">
        <f t="shared" si="2"/>
        <v>28.97861466784013</v>
      </c>
      <c r="L19">
        <v>3880.0925246250008</v>
      </c>
      <c r="M19">
        <f t="shared" si="3"/>
        <v>3.8800925246250009E-3</v>
      </c>
      <c r="N19">
        <f t="shared" si="4"/>
        <v>1.124397061466749E-7</v>
      </c>
      <c r="O19">
        <f t="shared" si="5"/>
        <v>0.40478294212802962</v>
      </c>
      <c r="P19">
        <v>21.7852</v>
      </c>
    </row>
    <row r="20" spans="1:16" x14ac:dyDescent="0.35">
      <c r="A20" t="s">
        <v>37</v>
      </c>
      <c r="B20" s="2">
        <v>44800</v>
      </c>
      <c r="C20" s="3">
        <v>0.375</v>
      </c>
      <c r="D20" t="s">
        <v>43</v>
      </c>
      <c r="E20" t="s">
        <v>13</v>
      </c>
      <c r="F20" s="1" t="s">
        <v>38</v>
      </c>
      <c r="G20">
        <v>0.51100000000000001</v>
      </c>
      <c r="H20">
        <v>0.71799999999999997</v>
      </c>
      <c r="I20">
        <f t="shared" si="0"/>
        <v>0.40508806262230912</v>
      </c>
      <c r="J20">
        <f t="shared" si="1"/>
        <v>3.9123736800129668E-5</v>
      </c>
      <c r="K20">
        <f t="shared" si="2"/>
        <v>39.12373680012967</v>
      </c>
      <c r="L20">
        <v>3880.0925246250008</v>
      </c>
      <c r="M20">
        <f t="shared" si="3"/>
        <v>3.8800925246250009E-3</v>
      </c>
      <c r="N20">
        <f t="shared" si="4"/>
        <v>1.5180371869357917E-7</v>
      </c>
      <c r="O20">
        <f t="shared" si="5"/>
        <v>0.54649338729688501</v>
      </c>
      <c r="P20">
        <v>23.6355</v>
      </c>
    </row>
    <row r="21" spans="1:16" x14ac:dyDescent="0.35">
      <c r="A21" t="s">
        <v>37</v>
      </c>
      <c r="B21" s="2">
        <v>44800</v>
      </c>
      <c r="C21" s="3">
        <v>0.39583333333333331</v>
      </c>
      <c r="D21" t="s">
        <v>43</v>
      </c>
      <c r="E21" t="s">
        <v>13</v>
      </c>
      <c r="F21" s="1" t="s">
        <v>38</v>
      </c>
      <c r="G21">
        <v>0.49399999999999999</v>
      </c>
      <c r="H21">
        <v>0.71799999999999997</v>
      </c>
      <c r="I21">
        <f t="shared" si="0"/>
        <v>0.45344129554655865</v>
      </c>
      <c r="J21">
        <f t="shared" si="1"/>
        <v>4.4949451629936966E-5</v>
      </c>
      <c r="K21">
        <f t="shared" si="2"/>
        <v>44.949451629936966</v>
      </c>
      <c r="L21">
        <v>3880.0925246250008</v>
      </c>
      <c r="M21">
        <f t="shared" si="3"/>
        <v>3.8800925246250009E-3</v>
      </c>
      <c r="N21">
        <f t="shared" si="4"/>
        <v>1.744080312553115E-7</v>
      </c>
      <c r="O21">
        <f t="shared" si="5"/>
        <v>0.62786891251912136</v>
      </c>
      <c r="P21">
        <v>25.8127</v>
      </c>
    </row>
    <row r="22" spans="1:16" x14ac:dyDescent="0.35">
      <c r="A22" t="s">
        <v>37</v>
      </c>
      <c r="B22" s="2">
        <v>44800</v>
      </c>
      <c r="C22" s="3">
        <v>0.41666666666666669</v>
      </c>
      <c r="D22" t="s">
        <v>43</v>
      </c>
      <c r="E22" t="s">
        <v>13</v>
      </c>
      <c r="F22" s="1" t="s">
        <v>38</v>
      </c>
      <c r="G22">
        <v>0.48299999999999998</v>
      </c>
      <c r="H22">
        <v>0.71799999999999997</v>
      </c>
      <c r="I22">
        <f t="shared" si="0"/>
        <v>0.48654244306418221</v>
      </c>
      <c r="J22">
        <f t="shared" si="1"/>
        <v>4.9022175667484281E-5</v>
      </c>
      <c r="K22">
        <f t="shared" si="2"/>
        <v>49.022175667484284</v>
      </c>
      <c r="L22">
        <v>3880.0925246250008</v>
      </c>
      <c r="M22">
        <f t="shared" si="3"/>
        <v>3.8800925246250009E-3</v>
      </c>
      <c r="N22">
        <f t="shared" si="4"/>
        <v>1.9021057734825938E-7</v>
      </c>
      <c r="O22">
        <f t="shared" si="5"/>
        <v>0.68475807845373382</v>
      </c>
      <c r="P22">
        <v>27.663900000000002</v>
      </c>
    </row>
    <row r="23" spans="1:16" x14ac:dyDescent="0.35">
      <c r="A23" t="s">
        <v>37</v>
      </c>
      <c r="B23" s="2">
        <v>44800</v>
      </c>
      <c r="C23" s="3">
        <v>0.4375</v>
      </c>
      <c r="D23" t="s">
        <v>43</v>
      </c>
      <c r="E23" t="s">
        <v>13</v>
      </c>
      <c r="F23" s="1" t="s">
        <v>38</v>
      </c>
      <c r="G23">
        <v>0.495</v>
      </c>
      <c r="H23">
        <v>0.71799999999999997</v>
      </c>
      <c r="I23">
        <f t="shared" si="0"/>
        <v>0.45050505050505046</v>
      </c>
      <c r="J23">
        <f t="shared" si="1"/>
        <v>4.4591414391257698E-5</v>
      </c>
      <c r="K23">
        <f t="shared" si="2"/>
        <v>44.5914143912577</v>
      </c>
      <c r="L23">
        <v>3880.0925246250008</v>
      </c>
      <c r="M23">
        <f t="shared" si="3"/>
        <v>3.8800925246250009E-3</v>
      </c>
      <c r="N23">
        <f t="shared" si="4"/>
        <v>1.7301881364197467E-7</v>
      </c>
      <c r="O23">
        <f t="shared" si="5"/>
        <v>0.62286772911110877</v>
      </c>
      <c r="P23">
        <v>29.2453</v>
      </c>
    </row>
    <row r="24" spans="1:16" x14ac:dyDescent="0.35">
      <c r="A24" t="s">
        <v>37</v>
      </c>
      <c r="B24" s="2">
        <v>44800</v>
      </c>
      <c r="C24" s="3">
        <v>0.45833333333333331</v>
      </c>
      <c r="D24" t="s">
        <v>43</v>
      </c>
      <c r="E24" t="s">
        <v>13</v>
      </c>
      <c r="F24" s="1" t="s">
        <v>38</v>
      </c>
      <c r="G24">
        <v>0.498</v>
      </c>
      <c r="H24">
        <v>0.71799999999999997</v>
      </c>
      <c r="I24">
        <f t="shared" si="0"/>
        <v>0.44176706827309231</v>
      </c>
      <c r="J24">
        <f t="shared" si="1"/>
        <v>4.3529127331919574E-5</v>
      </c>
      <c r="K24">
        <f t="shared" si="2"/>
        <v>43.529127331919575</v>
      </c>
      <c r="L24">
        <v>3880.0925246250008</v>
      </c>
      <c r="M24">
        <f t="shared" si="3"/>
        <v>3.8800925246250009E-3</v>
      </c>
      <c r="N24">
        <f t="shared" si="4"/>
        <v>1.6889704156403095E-7</v>
      </c>
      <c r="O24">
        <f t="shared" si="5"/>
        <v>0.60802934963051147</v>
      </c>
      <c r="P24">
        <v>31.9986</v>
      </c>
    </row>
    <row r="25" spans="1:16" x14ac:dyDescent="0.35">
      <c r="A25" t="s">
        <v>37</v>
      </c>
      <c r="B25" s="2">
        <v>44800</v>
      </c>
      <c r="C25" s="3">
        <v>0.47916666666666669</v>
      </c>
      <c r="D25" t="s">
        <v>43</v>
      </c>
      <c r="E25" t="s">
        <v>13</v>
      </c>
      <c r="F25" s="1" t="s">
        <v>38</v>
      </c>
      <c r="G25">
        <v>0.501</v>
      </c>
      <c r="H25">
        <v>0.71799999999999997</v>
      </c>
      <c r="I25">
        <f t="shared" ref="I25:I49" si="6">(H25-G25)/G25</f>
        <v>0.43313373253493009</v>
      </c>
      <c r="J25">
        <f t="shared" ref="J25:J49" si="7">119*10^-6*(I25^1.231)</f>
        <v>4.248431822441061E-5</v>
      </c>
      <c r="K25">
        <f t="shared" si="2"/>
        <v>42.484318224410607</v>
      </c>
      <c r="L25">
        <v>3880.0925246250008</v>
      </c>
      <c r="M25">
        <f t="shared" si="3"/>
        <v>3.8800925246250009E-3</v>
      </c>
      <c r="N25">
        <f t="shared" si="4"/>
        <v>1.6484308555632529E-7</v>
      </c>
      <c r="O25">
        <f t="shared" si="5"/>
        <v>0.59343510800277099</v>
      </c>
      <c r="P25">
        <v>31.6327</v>
      </c>
    </row>
    <row r="26" spans="1:16" x14ac:dyDescent="0.35">
      <c r="A26" t="s">
        <v>37</v>
      </c>
      <c r="B26" s="2">
        <v>44800</v>
      </c>
      <c r="C26" s="3">
        <v>0.5</v>
      </c>
      <c r="D26" t="s">
        <v>43</v>
      </c>
      <c r="E26" t="s">
        <v>13</v>
      </c>
      <c r="F26" s="1" t="s">
        <v>38</v>
      </c>
      <c r="G26">
        <v>0.498</v>
      </c>
      <c r="H26">
        <v>0.71799999999999997</v>
      </c>
      <c r="I26">
        <f t="shared" si="6"/>
        <v>0.44176706827309231</v>
      </c>
      <c r="J26">
        <f t="shared" si="7"/>
        <v>4.3529127331919574E-5</v>
      </c>
      <c r="K26">
        <f t="shared" ref="K26:K49" si="8">J26*10^6</f>
        <v>43.529127331919575</v>
      </c>
      <c r="L26">
        <v>3880.0925246250008</v>
      </c>
      <c r="M26">
        <f t="shared" si="3"/>
        <v>3.8800925246250009E-3</v>
      </c>
      <c r="N26">
        <f t="shared" si="4"/>
        <v>1.6889704156403095E-7</v>
      </c>
      <c r="O26">
        <f t="shared" si="5"/>
        <v>0.60802934963051147</v>
      </c>
      <c r="P26">
        <v>31.8827</v>
      </c>
    </row>
    <row r="27" spans="1:16" x14ac:dyDescent="0.35">
      <c r="A27" t="s">
        <v>37</v>
      </c>
      <c r="B27" s="2">
        <v>44800</v>
      </c>
      <c r="C27" s="3">
        <v>0.52083333333333337</v>
      </c>
      <c r="D27" t="s">
        <v>43</v>
      </c>
      <c r="E27" t="s">
        <v>13</v>
      </c>
      <c r="F27" s="1" t="s">
        <v>38</v>
      </c>
      <c r="G27">
        <v>0.496</v>
      </c>
      <c r="H27">
        <v>0.71799999999999997</v>
      </c>
      <c r="I27">
        <f t="shared" si="6"/>
        <v>0.44758064516129026</v>
      </c>
      <c r="J27">
        <f t="shared" si="7"/>
        <v>4.4235356246351292E-5</v>
      </c>
      <c r="K27">
        <f t="shared" si="8"/>
        <v>44.235356246351294</v>
      </c>
      <c r="L27">
        <v>3880.0925246250008</v>
      </c>
      <c r="M27">
        <f t="shared" si="3"/>
        <v>3.8800925246250009E-3</v>
      </c>
      <c r="N27">
        <f t="shared" si="4"/>
        <v>1.7163727509559149E-7</v>
      </c>
      <c r="O27">
        <f t="shared" si="5"/>
        <v>0.6178941903441294</v>
      </c>
      <c r="P27">
        <v>32.619799999999998</v>
      </c>
    </row>
    <row r="28" spans="1:16" x14ac:dyDescent="0.35">
      <c r="A28" t="s">
        <v>37</v>
      </c>
      <c r="B28" s="2">
        <v>44800</v>
      </c>
      <c r="C28" s="3">
        <v>0.54166666666666663</v>
      </c>
      <c r="D28" t="s">
        <v>43</v>
      </c>
      <c r="E28" t="s">
        <v>13</v>
      </c>
      <c r="F28" s="1" t="s">
        <v>38</v>
      </c>
      <c r="G28">
        <v>0.504</v>
      </c>
      <c r="H28">
        <v>0.71799999999999997</v>
      </c>
      <c r="I28">
        <f t="shared" si="6"/>
        <v>0.42460317460317454</v>
      </c>
      <c r="J28">
        <f t="shared" si="7"/>
        <v>4.1456661551330275E-5</v>
      </c>
      <c r="K28">
        <f t="shared" si="8"/>
        <v>41.456661551330278</v>
      </c>
      <c r="L28">
        <v>3880.0925246250008</v>
      </c>
      <c r="M28">
        <f t="shared" si="3"/>
        <v>3.8800925246250009E-3</v>
      </c>
      <c r="N28">
        <f t="shared" si="4"/>
        <v>1.6085568258122531E-7</v>
      </c>
      <c r="O28">
        <f t="shared" si="5"/>
        <v>0.57908045729241109</v>
      </c>
      <c r="P28">
        <v>29.2163</v>
      </c>
    </row>
    <row r="29" spans="1:16" x14ac:dyDescent="0.35">
      <c r="A29" t="s">
        <v>37</v>
      </c>
      <c r="B29" s="2">
        <v>44800</v>
      </c>
      <c r="C29" s="3">
        <v>0.5625</v>
      </c>
      <c r="D29" t="s">
        <v>43</v>
      </c>
      <c r="E29" t="s">
        <v>13</v>
      </c>
      <c r="F29" s="1" t="s">
        <v>38</v>
      </c>
      <c r="G29">
        <v>0.51400000000000001</v>
      </c>
      <c r="H29">
        <v>0.71799999999999997</v>
      </c>
      <c r="I29">
        <f t="shared" si="6"/>
        <v>0.39688715953307385</v>
      </c>
      <c r="J29">
        <f t="shared" si="7"/>
        <v>3.8151015109772606E-5</v>
      </c>
      <c r="K29">
        <f t="shared" si="8"/>
        <v>38.151015109772608</v>
      </c>
      <c r="L29">
        <v>3880.0925246250008</v>
      </c>
      <c r="M29">
        <f t="shared" si="3"/>
        <v>3.8800925246250009E-3</v>
      </c>
      <c r="N29">
        <f t="shared" si="4"/>
        <v>1.4802946853428415E-7</v>
      </c>
      <c r="O29">
        <f t="shared" si="5"/>
        <v>0.53290608672342288</v>
      </c>
      <c r="P29">
        <v>30.803799999999999</v>
      </c>
    </row>
    <row r="30" spans="1:16" x14ac:dyDescent="0.35">
      <c r="A30" t="s">
        <v>37</v>
      </c>
      <c r="B30" s="2">
        <v>44800</v>
      </c>
      <c r="C30" s="3">
        <v>0.58333333333333337</v>
      </c>
      <c r="D30" t="s">
        <v>43</v>
      </c>
      <c r="E30" t="s">
        <v>13</v>
      </c>
      <c r="F30" s="1" t="s">
        <v>38</v>
      </c>
      <c r="G30">
        <v>0.51100000000000001</v>
      </c>
      <c r="H30">
        <v>0.71799999999999997</v>
      </c>
      <c r="I30">
        <f t="shared" si="6"/>
        <v>0.40508806262230912</v>
      </c>
      <c r="J30">
        <f t="shared" si="7"/>
        <v>3.9123736800129668E-5</v>
      </c>
      <c r="K30">
        <f t="shared" si="8"/>
        <v>39.12373680012967</v>
      </c>
      <c r="L30">
        <v>3880.0925246250008</v>
      </c>
      <c r="M30">
        <f t="shared" si="3"/>
        <v>3.8800925246250009E-3</v>
      </c>
      <c r="N30">
        <f t="shared" si="4"/>
        <v>1.5180371869357917E-7</v>
      </c>
      <c r="O30">
        <f t="shared" si="5"/>
        <v>0.54649338729688501</v>
      </c>
      <c r="P30">
        <v>30.016100000000002</v>
      </c>
    </row>
    <row r="31" spans="1:16" x14ac:dyDescent="0.35">
      <c r="A31" t="s">
        <v>37</v>
      </c>
      <c r="B31" s="2">
        <v>44800</v>
      </c>
      <c r="C31" s="3">
        <v>0.60416666666666663</v>
      </c>
      <c r="D31" t="s">
        <v>43</v>
      </c>
      <c r="E31" t="s">
        <v>13</v>
      </c>
      <c r="F31" s="1" t="s">
        <v>38</v>
      </c>
      <c r="G31">
        <v>0.504</v>
      </c>
      <c r="H31">
        <v>0.71799999999999997</v>
      </c>
      <c r="I31">
        <f t="shared" si="6"/>
        <v>0.42460317460317454</v>
      </c>
      <c r="J31">
        <f t="shared" si="7"/>
        <v>4.1456661551330275E-5</v>
      </c>
      <c r="K31">
        <f t="shared" si="8"/>
        <v>41.456661551330278</v>
      </c>
      <c r="L31">
        <v>3880.0925246250008</v>
      </c>
      <c r="M31">
        <f t="shared" si="3"/>
        <v>3.8800925246250009E-3</v>
      </c>
      <c r="N31">
        <f t="shared" si="4"/>
        <v>1.6085568258122531E-7</v>
      </c>
      <c r="O31">
        <f t="shared" si="5"/>
        <v>0.57908045729241109</v>
      </c>
      <c r="P31">
        <v>31.1188</v>
      </c>
    </row>
    <row r="32" spans="1:16" x14ac:dyDescent="0.35">
      <c r="A32" t="s">
        <v>37</v>
      </c>
      <c r="B32" s="2">
        <v>44800</v>
      </c>
      <c r="C32" s="3">
        <v>0.625</v>
      </c>
      <c r="D32" t="s">
        <v>43</v>
      </c>
      <c r="E32" t="s">
        <v>13</v>
      </c>
      <c r="F32" s="1" t="s">
        <v>38</v>
      </c>
      <c r="G32">
        <v>0.504</v>
      </c>
      <c r="H32">
        <v>0.71799999999999997</v>
      </c>
      <c r="I32">
        <f t="shared" si="6"/>
        <v>0.42460317460317454</v>
      </c>
      <c r="J32">
        <f t="shared" si="7"/>
        <v>4.1456661551330275E-5</v>
      </c>
      <c r="K32">
        <f t="shared" si="8"/>
        <v>41.456661551330278</v>
      </c>
      <c r="L32">
        <v>3880.0925246250008</v>
      </c>
      <c r="M32">
        <f t="shared" si="3"/>
        <v>3.8800925246250009E-3</v>
      </c>
      <c r="N32">
        <f t="shared" si="4"/>
        <v>1.6085568258122531E-7</v>
      </c>
      <c r="O32">
        <f t="shared" si="5"/>
        <v>0.57908045729241109</v>
      </c>
      <c r="P32">
        <v>33.7301</v>
      </c>
    </row>
    <row r="33" spans="1:16" x14ac:dyDescent="0.35">
      <c r="A33" t="s">
        <v>37</v>
      </c>
      <c r="B33" s="2">
        <v>44800</v>
      </c>
      <c r="C33" s="3">
        <v>0.64583333333333337</v>
      </c>
      <c r="D33" t="s">
        <v>43</v>
      </c>
      <c r="E33" t="s">
        <v>13</v>
      </c>
      <c r="F33" s="1" t="s">
        <v>38</v>
      </c>
      <c r="G33">
        <v>0.505</v>
      </c>
      <c r="H33">
        <v>0.71799999999999997</v>
      </c>
      <c r="I33">
        <f t="shared" si="6"/>
        <v>0.42178217821782171</v>
      </c>
      <c r="J33">
        <f t="shared" si="7"/>
        <v>4.111786598967133E-5</v>
      </c>
      <c r="K33">
        <f t="shared" si="8"/>
        <v>41.11786598967133</v>
      </c>
      <c r="L33">
        <v>3880.0925246250008</v>
      </c>
      <c r="M33">
        <f t="shared" si="3"/>
        <v>3.8800925246250009E-3</v>
      </c>
      <c r="N33">
        <f t="shared" si="4"/>
        <v>1.5954112445505629E-7</v>
      </c>
      <c r="O33">
        <f t="shared" si="5"/>
        <v>0.57434804803820261</v>
      </c>
      <c r="P33">
        <v>32.391100000000002</v>
      </c>
    </row>
    <row r="34" spans="1:16" x14ac:dyDescent="0.35">
      <c r="A34" t="s">
        <v>37</v>
      </c>
      <c r="B34" s="2">
        <v>44800</v>
      </c>
      <c r="C34" s="3">
        <v>0.66666666666666663</v>
      </c>
      <c r="D34" t="s">
        <v>43</v>
      </c>
      <c r="E34" t="s">
        <v>13</v>
      </c>
      <c r="F34" s="1" t="s">
        <v>38</v>
      </c>
      <c r="G34">
        <v>0.50600000000000001</v>
      </c>
      <c r="H34">
        <v>0.71799999999999997</v>
      </c>
      <c r="I34">
        <f t="shared" si="6"/>
        <v>0.41897233201581019</v>
      </c>
      <c r="J34">
        <f t="shared" si="7"/>
        <v>4.078092947624725E-5</v>
      </c>
      <c r="K34">
        <f t="shared" si="8"/>
        <v>40.780929476247252</v>
      </c>
      <c r="L34">
        <v>3880.0925246250008</v>
      </c>
      <c r="M34">
        <f t="shared" si="3"/>
        <v>3.8800925246250009E-3</v>
      </c>
      <c r="N34">
        <f t="shared" si="4"/>
        <v>1.5823377960804631E-7</v>
      </c>
      <c r="O34">
        <f t="shared" si="5"/>
        <v>0.56964160658896668</v>
      </c>
      <c r="P34">
        <v>28.613099999999999</v>
      </c>
    </row>
    <row r="35" spans="1:16" x14ac:dyDescent="0.35">
      <c r="A35" t="s">
        <v>37</v>
      </c>
      <c r="B35" s="2">
        <v>44800</v>
      </c>
      <c r="C35" s="3">
        <v>0.6875</v>
      </c>
      <c r="D35" t="s">
        <v>43</v>
      </c>
      <c r="E35" t="s">
        <v>13</v>
      </c>
      <c r="F35" s="1" t="s">
        <v>38</v>
      </c>
      <c r="G35">
        <v>0.54500000000000004</v>
      </c>
      <c r="H35">
        <v>0.71799999999999997</v>
      </c>
      <c r="I35">
        <f t="shared" si="6"/>
        <v>0.31743119266055031</v>
      </c>
      <c r="J35">
        <f t="shared" si="7"/>
        <v>2.8978614667840131E-5</v>
      </c>
      <c r="K35">
        <f t="shared" si="8"/>
        <v>28.97861466784013</v>
      </c>
      <c r="L35">
        <v>3880.0925246250008</v>
      </c>
      <c r="M35">
        <f t="shared" si="3"/>
        <v>3.8800925246250009E-3</v>
      </c>
      <c r="N35">
        <f t="shared" si="4"/>
        <v>1.124397061466749E-7</v>
      </c>
      <c r="O35">
        <f t="shared" si="5"/>
        <v>0.40478294212802962</v>
      </c>
      <c r="P35">
        <v>29.746700000000001</v>
      </c>
    </row>
    <row r="36" spans="1:16" x14ac:dyDescent="0.35">
      <c r="A36" t="s">
        <v>37</v>
      </c>
      <c r="B36" s="2">
        <v>44800</v>
      </c>
      <c r="C36" s="3">
        <v>0.70833333333333337</v>
      </c>
      <c r="D36" t="s">
        <v>43</v>
      </c>
      <c r="E36" t="s">
        <v>13</v>
      </c>
      <c r="F36" s="1" t="s">
        <v>38</v>
      </c>
      <c r="G36">
        <v>0.54500000000000004</v>
      </c>
      <c r="H36">
        <v>0.71799999999999997</v>
      </c>
      <c r="I36">
        <f t="shared" si="6"/>
        <v>0.31743119266055031</v>
      </c>
      <c r="J36">
        <f t="shared" si="7"/>
        <v>2.8978614667840131E-5</v>
      </c>
      <c r="K36">
        <f t="shared" si="8"/>
        <v>28.97861466784013</v>
      </c>
      <c r="L36">
        <v>3880.0925246250008</v>
      </c>
      <c r="M36">
        <f t="shared" si="3"/>
        <v>3.8800925246250009E-3</v>
      </c>
      <c r="N36">
        <f t="shared" si="4"/>
        <v>1.124397061466749E-7</v>
      </c>
      <c r="O36">
        <f t="shared" si="5"/>
        <v>0.40478294212802962</v>
      </c>
      <c r="P36">
        <v>26.706800000000001</v>
      </c>
    </row>
    <row r="37" spans="1:16" x14ac:dyDescent="0.35">
      <c r="A37" t="s">
        <v>37</v>
      </c>
      <c r="B37" s="2">
        <v>44800</v>
      </c>
      <c r="C37" s="3">
        <v>0.72916666666666663</v>
      </c>
      <c r="D37" t="s">
        <v>43</v>
      </c>
      <c r="E37" t="s">
        <v>13</v>
      </c>
      <c r="F37" s="1" t="s">
        <v>38</v>
      </c>
      <c r="G37">
        <v>0.57199999999999995</v>
      </c>
      <c r="H37">
        <v>0.71799999999999997</v>
      </c>
      <c r="I37">
        <f t="shared" si="6"/>
        <v>0.25524475524475532</v>
      </c>
      <c r="J37">
        <f t="shared" si="7"/>
        <v>2.2156992741208936E-5</v>
      </c>
      <c r="K37">
        <f t="shared" si="8"/>
        <v>22.156992741208935</v>
      </c>
      <c r="L37">
        <v>3880.0925246250008</v>
      </c>
      <c r="M37">
        <f t="shared" si="3"/>
        <v>3.8800925246250009E-3</v>
      </c>
      <c r="N37">
        <f t="shared" si="4"/>
        <v>8.5971181903335205E-8</v>
      </c>
      <c r="O37">
        <f t="shared" si="5"/>
        <v>0.30949625485200671</v>
      </c>
      <c r="P37">
        <v>24.7545</v>
      </c>
    </row>
    <row r="38" spans="1:16" x14ac:dyDescent="0.35">
      <c r="A38" t="s">
        <v>37</v>
      </c>
      <c r="B38" s="2">
        <v>44800</v>
      </c>
      <c r="C38" s="3">
        <v>0.75</v>
      </c>
      <c r="D38" t="s">
        <v>43</v>
      </c>
      <c r="E38" t="s">
        <v>13</v>
      </c>
      <c r="F38" s="1" t="s">
        <v>38</v>
      </c>
      <c r="G38">
        <v>0.61699999999999999</v>
      </c>
      <c r="H38">
        <v>0.71799999999999997</v>
      </c>
      <c r="I38">
        <f t="shared" si="6"/>
        <v>0.16369529983792541</v>
      </c>
      <c r="J38">
        <f t="shared" si="7"/>
        <v>1.2824059831900864E-5</v>
      </c>
      <c r="K38">
        <f t="shared" si="8"/>
        <v>12.824059831900863</v>
      </c>
      <c r="L38">
        <v>3880.0925246250008</v>
      </c>
      <c r="M38">
        <f t="shared" si="3"/>
        <v>3.8800925246250009E-3</v>
      </c>
      <c r="N38">
        <f t="shared" si="4"/>
        <v>4.9758538689102285E-8</v>
      </c>
      <c r="O38">
        <f t="shared" si="5"/>
        <v>0.17913073928076823</v>
      </c>
      <c r="P38">
        <v>21.6553</v>
      </c>
    </row>
    <row r="39" spans="1:16" x14ac:dyDescent="0.35">
      <c r="A39" t="s">
        <v>37</v>
      </c>
      <c r="B39" s="2">
        <v>44800</v>
      </c>
      <c r="C39" s="3">
        <v>0.77083333333333337</v>
      </c>
      <c r="D39" t="s">
        <v>43</v>
      </c>
      <c r="E39" t="s">
        <v>13</v>
      </c>
      <c r="F39" s="1" t="s">
        <v>38</v>
      </c>
      <c r="G39">
        <v>0.65400000000000003</v>
      </c>
      <c r="H39">
        <v>0.71799999999999997</v>
      </c>
      <c r="I39">
        <f t="shared" si="6"/>
        <v>9.78593272171253E-2</v>
      </c>
      <c r="J39">
        <f t="shared" si="7"/>
        <v>6.8073534600489564E-6</v>
      </c>
      <c r="K39">
        <f t="shared" si="8"/>
        <v>6.8073534600489563</v>
      </c>
      <c r="L39">
        <v>3880.0925246250008</v>
      </c>
      <c r="M39">
        <f t="shared" si="3"/>
        <v>3.8800925246250009E-3</v>
      </c>
      <c r="N39">
        <f t="shared" si="4"/>
        <v>2.6413161272816092E-8</v>
      </c>
      <c r="O39">
        <f t="shared" si="5"/>
        <v>9.5087380582137934E-2</v>
      </c>
      <c r="P39">
        <v>21.886700000000001</v>
      </c>
    </row>
    <row r="40" spans="1:16" x14ac:dyDescent="0.35">
      <c r="A40" t="s">
        <v>37</v>
      </c>
      <c r="B40" s="2">
        <v>44800</v>
      </c>
      <c r="C40" s="3">
        <v>0.79166666666666663</v>
      </c>
      <c r="D40" t="s">
        <v>43</v>
      </c>
      <c r="E40" t="s">
        <v>13</v>
      </c>
      <c r="F40" s="1" t="s">
        <v>38</v>
      </c>
      <c r="G40">
        <v>0.67100000000000004</v>
      </c>
      <c r="H40">
        <v>0.71799999999999997</v>
      </c>
      <c r="I40">
        <f t="shared" si="6"/>
        <v>7.0044709388971574E-2</v>
      </c>
      <c r="J40">
        <f t="shared" si="7"/>
        <v>4.5102851749170322E-6</v>
      </c>
      <c r="K40">
        <f t="shared" si="8"/>
        <v>4.5102851749170325</v>
      </c>
      <c r="L40">
        <v>3880.0925246250008</v>
      </c>
      <c r="M40">
        <f t="shared" si="3"/>
        <v>3.8800925246250009E-3</v>
      </c>
      <c r="N40">
        <f t="shared" si="4"/>
        <v>1.7500323791122541E-8</v>
      </c>
      <c r="O40">
        <f t="shared" si="5"/>
        <v>6.3001165648041146E-2</v>
      </c>
      <c r="P40">
        <v>21.135999999999999</v>
      </c>
    </row>
    <row r="41" spans="1:16" x14ac:dyDescent="0.35">
      <c r="A41" t="s">
        <v>37</v>
      </c>
      <c r="B41" s="2">
        <v>44800</v>
      </c>
      <c r="C41" s="3">
        <v>0.8125</v>
      </c>
      <c r="D41" t="s">
        <v>43</v>
      </c>
      <c r="E41" t="s">
        <v>13</v>
      </c>
      <c r="F41" s="1" t="s">
        <v>38</v>
      </c>
      <c r="G41">
        <v>0.67900000000000005</v>
      </c>
      <c r="H41">
        <v>0.71799999999999997</v>
      </c>
      <c r="I41">
        <f t="shared" si="6"/>
        <v>5.7437407952871757E-2</v>
      </c>
      <c r="J41">
        <f t="shared" si="7"/>
        <v>3.5327735528932569E-6</v>
      </c>
      <c r="K41">
        <f t="shared" si="8"/>
        <v>3.5327735528932567</v>
      </c>
      <c r="L41">
        <v>3880.0925246250008</v>
      </c>
      <c r="M41">
        <f t="shared" si="3"/>
        <v>3.8800925246250009E-3</v>
      </c>
      <c r="N41">
        <f t="shared" si="4"/>
        <v>1.3707488253774031E-8</v>
      </c>
      <c r="O41">
        <f t="shared" si="5"/>
        <v>4.9346957713586506E-2</v>
      </c>
      <c r="P41">
        <v>22.610600000000002</v>
      </c>
    </row>
    <row r="42" spans="1:16" x14ac:dyDescent="0.35">
      <c r="A42" t="s">
        <v>37</v>
      </c>
      <c r="B42" s="2">
        <v>44800</v>
      </c>
      <c r="C42" s="3">
        <v>0.83333333333333337</v>
      </c>
      <c r="D42" t="s">
        <v>43</v>
      </c>
      <c r="E42" t="s">
        <v>13</v>
      </c>
      <c r="F42" s="1" t="s">
        <v>38</v>
      </c>
      <c r="G42">
        <v>0.68400000000000005</v>
      </c>
      <c r="H42">
        <v>0.71799999999999997</v>
      </c>
      <c r="I42">
        <f t="shared" si="6"/>
        <v>4.9707602339181166E-2</v>
      </c>
      <c r="J42">
        <f t="shared" si="7"/>
        <v>2.9569463647950332E-6</v>
      </c>
      <c r="K42">
        <f t="shared" si="8"/>
        <v>2.9569463647950331</v>
      </c>
      <c r="L42">
        <v>3880.0925246250008</v>
      </c>
      <c r="M42">
        <f t="shared" si="3"/>
        <v>3.8800925246250009E-3</v>
      </c>
      <c r="N42">
        <f t="shared" si="4"/>
        <v>1.147322548575828E-8</v>
      </c>
      <c r="O42">
        <f t="shared" si="5"/>
        <v>4.1303611748729804E-2</v>
      </c>
      <c r="P42">
        <v>22.5307</v>
      </c>
    </row>
    <row r="43" spans="1:16" x14ac:dyDescent="0.35">
      <c r="A43" t="s">
        <v>37</v>
      </c>
      <c r="B43" s="2">
        <v>44800</v>
      </c>
      <c r="C43" s="3">
        <v>0.85416666666666663</v>
      </c>
      <c r="D43" t="s">
        <v>43</v>
      </c>
      <c r="E43" t="s">
        <v>13</v>
      </c>
      <c r="F43" s="1" t="s">
        <v>38</v>
      </c>
      <c r="G43">
        <v>0.68899999999999995</v>
      </c>
      <c r="H43">
        <v>0.71799999999999997</v>
      </c>
      <c r="I43">
        <f t="shared" si="6"/>
        <v>4.2089985486211942E-2</v>
      </c>
      <c r="J43">
        <f t="shared" si="7"/>
        <v>2.4094118093571723E-6</v>
      </c>
      <c r="K43">
        <f t="shared" si="8"/>
        <v>2.4094118093571724</v>
      </c>
      <c r="L43">
        <v>3880.0925246250008</v>
      </c>
      <c r="M43">
        <f t="shared" si="3"/>
        <v>3.8800925246250009E-3</v>
      </c>
      <c r="N43">
        <f t="shared" si="4"/>
        <v>9.3487407502299619E-9</v>
      </c>
      <c r="O43">
        <f t="shared" si="5"/>
        <v>3.3655466700827863E-2</v>
      </c>
      <c r="P43">
        <v>22.331499999999998</v>
      </c>
    </row>
    <row r="44" spans="1:16" x14ac:dyDescent="0.35">
      <c r="A44" t="s">
        <v>37</v>
      </c>
      <c r="B44" s="2">
        <v>44800</v>
      </c>
      <c r="C44" s="3">
        <v>0.875</v>
      </c>
      <c r="D44" t="s">
        <v>43</v>
      </c>
      <c r="E44" t="s">
        <v>13</v>
      </c>
      <c r="F44" s="1" t="s">
        <v>38</v>
      </c>
      <c r="G44">
        <v>0.69</v>
      </c>
      <c r="H44">
        <v>0.71799999999999997</v>
      </c>
      <c r="I44">
        <f t="shared" si="6"/>
        <v>4.0579710144927575E-2</v>
      </c>
      <c r="J44">
        <f t="shared" si="7"/>
        <v>2.3034313178143229E-6</v>
      </c>
      <c r="K44">
        <f t="shared" si="8"/>
        <v>2.3034313178143231</v>
      </c>
      <c r="L44">
        <v>3880.0925246250008</v>
      </c>
      <c r="M44">
        <f t="shared" si="3"/>
        <v>3.8800925246250009E-3</v>
      </c>
      <c r="N44">
        <f t="shared" si="4"/>
        <v>8.9375266372384685E-9</v>
      </c>
      <c r="O44">
        <f t="shared" si="5"/>
        <v>3.2175095894058488E-2</v>
      </c>
      <c r="P44">
        <v>22.132000000000001</v>
      </c>
    </row>
    <row r="45" spans="1:16" x14ac:dyDescent="0.35">
      <c r="A45" t="s">
        <v>37</v>
      </c>
      <c r="B45" s="2">
        <v>44800</v>
      </c>
      <c r="C45" s="3">
        <v>0.89583333333333337</v>
      </c>
      <c r="D45" t="s">
        <v>43</v>
      </c>
      <c r="E45" t="s">
        <v>13</v>
      </c>
      <c r="F45" s="1" t="s">
        <v>38</v>
      </c>
      <c r="G45">
        <v>0.69</v>
      </c>
      <c r="H45">
        <v>0.71799999999999997</v>
      </c>
      <c r="I45">
        <f t="shared" si="6"/>
        <v>4.0579710144927575E-2</v>
      </c>
      <c r="J45">
        <f t="shared" si="7"/>
        <v>2.3034313178143229E-6</v>
      </c>
      <c r="K45">
        <f t="shared" si="8"/>
        <v>2.3034313178143231</v>
      </c>
      <c r="L45">
        <v>3880.0925246250008</v>
      </c>
      <c r="M45">
        <f t="shared" si="3"/>
        <v>3.8800925246250009E-3</v>
      </c>
      <c r="N45">
        <f t="shared" si="4"/>
        <v>8.9375266372384685E-9</v>
      </c>
      <c r="O45">
        <f t="shared" si="5"/>
        <v>3.2175095894058488E-2</v>
      </c>
      <c r="P45">
        <v>21.936800000000002</v>
      </c>
    </row>
    <row r="46" spans="1:16" x14ac:dyDescent="0.35">
      <c r="A46" t="s">
        <v>37</v>
      </c>
      <c r="B46" s="2">
        <v>44800</v>
      </c>
      <c r="C46" s="3">
        <v>0.91666666666666663</v>
      </c>
      <c r="D46" t="s">
        <v>43</v>
      </c>
      <c r="E46" t="s">
        <v>13</v>
      </c>
      <c r="F46" s="1" t="s">
        <v>38</v>
      </c>
      <c r="G46">
        <v>0.68799999999999994</v>
      </c>
      <c r="H46">
        <v>0.71799999999999997</v>
      </c>
      <c r="I46">
        <f t="shared" si="6"/>
        <v>4.360465116279074E-2</v>
      </c>
      <c r="J46">
        <f t="shared" si="7"/>
        <v>2.5165864764972687E-6</v>
      </c>
      <c r="K46">
        <f t="shared" si="8"/>
        <v>2.5165864764972685</v>
      </c>
      <c r="L46">
        <v>3880.0925246250008</v>
      </c>
      <c r="M46">
        <f t="shared" si="3"/>
        <v>3.8800925246250009E-3</v>
      </c>
      <c r="N46">
        <f t="shared" si="4"/>
        <v>9.7645883750294236E-9</v>
      </c>
      <c r="O46">
        <f t="shared" si="5"/>
        <v>3.5152518150105921E-2</v>
      </c>
      <c r="P46">
        <v>21.610299999999999</v>
      </c>
    </row>
    <row r="47" spans="1:16" x14ac:dyDescent="0.35">
      <c r="A47" t="s">
        <v>37</v>
      </c>
      <c r="B47" s="2">
        <v>44800</v>
      </c>
      <c r="C47" s="3">
        <v>0.9375</v>
      </c>
      <c r="D47" t="s">
        <v>43</v>
      </c>
      <c r="E47" t="s">
        <v>13</v>
      </c>
      <c r="F47" s="1" t="s">
        <v>38</v>
      </c>
      <c r="G47">
        <v>0.68700000000000006</v>
      </c>
      <c r="H47">
        <v>0.71799999999999997</v>
      </c>
      <c r="I47">
        <f t="shared" si="6"/>
        <v>4.5123726346433642E-2</v>
      </c>
      <c r="J47">
        <f t="shared" si="7"/>
        <v>2.6249404973409374E-6</v>
      </c>
      <c r="K47">
        <f t="shared" si="8"/>
        <v>2.6249404973409374</v>
      </c>
      <c r="L47">
        <v>3880.0925246250008</v>
      </c>
      <c r="M47">
        <f t="shared" si="3"/>
        <v>3.8800925246250009E-3</v>
      </c>
      <c r="N47">
        <f t="shared" si="4"/>
        <v>1.0185012001318004E-8</v>
      </c>
      <c r="O47">
        <f t="shared" si="5"/>
        <v>3.6666043204744814E-2</v>
      </c>
      <c r="P47">
        <v>21.201899999999998</v>
      </c>
    </row>
    <row r="48" spans="1:16" x14ac:dyDescent="0.35">
      <c r="A48" t="s">
        <v>37</v>
      </c>
      <c r="B48" s="2">
        <v>44800</v>
      </c>
      <c r="C48" s="3">
        <v>0.95833333333333337</v>
      </c>
      <c r="D48" t="s">
        <v>43</v>
      </c>
      <c r="E48" t="s">
        <v>13</v>
      </c>
      <c r="F48" s="1" t="s">
        <v>38</v>
      </c>
      <c r="G48">
        <v>0.68799999999999994</v>
      </c>
      <c r="H48">
        <v>0.71799999999999997</v>
      </c>
      <c r="I48">
        <f t="shared" si="6"/>
        <v>4.360465116279074E-2</v>
      </c>
      <c r="J48">
        <f t="shared" si="7"/>
        <v>2.5165864764972687E-6</v>
      </c>
      <c r="K48">
        <f t="shared" si="8"/>
        <v>2.5165864764972685</v>
      </c>
      <c r="L48">
        <v>3880.0925246250008</v>
      </c>
      <c r="M48">
        <f t="shared" si="3"/>
        <v>3.8800925246250009E-3</v>
      </c>
      <c r="N48">
        <f t="shared" si="4"/>
        <v>9.7645883750294236E-9</v>
      </c>
      <c r="O48">
        <f t="shared" si="5"/>
        <v>3.5152518150105921E-2</v>
      </c>
      <c r="P48">
        <v>20.816600000000001</v>
      </c>
    </row>
    <row r="49" spans="1:16" x14ac:dyDescent="0.35">
      <c r="A49" t="s">
        <v>37</v>
      </c>
      <c r="B49" s="2">
        <v>44800</v>
      </c>
      <c r="C49" s="3">
        <v>0.97916666666666663</v>
      </c>
      <c r="D49" t="s">
        <v>43</v>
      </c>
      <c r="E49" t="s">
        <v>13</v>
      </c>
      <c r="F49" s="1" t="s">
        <v>38</v>
      </c>
      <c r="G49">
        <v>0.68899999999999995</v>
      </c>
      <c r="H49">
        <v>0.71799999999999997</v>
      </c>
      <c r="I49">
        <f t="shared" si="6"/>
        <v>4.2089985486211942E-2</v>
      </c>
      <c r="J49">
        <f t="shared" si="7"/>
        <v>2.4094118093571723E-6</v>
      </c>
      <c r="K49">
        <f t="shared" si="8"/>
        <v>2.4094118093571724</v>
      </c>
      <c r="L49">
        <v>3880.0925246250008</v>
      </c>
      <c r="M49">
        <f t="shared" si="3"/>
        <v>3.8800925246250009E-3</v>
      </c>
      <c r="N49">
        <f t="shared" si="4"/>
        <v>9.3487407502299619E-9</v>
      </c>
      <c r="O49">
        <f t="shared" si="5"/>
        <v>3.3655466700827863E-2</v>
      </c>
      <c r="P49">
        <v>20.130299999999998</v>
      </c>
    </row>
    <row r="50" spans="1:16" x14ac:dyDescent="0.35">
      <c r="A50" t="s">
        <v>37</v>
      </c>
      <c r="B50" s="2">
        <v>44800</v>
      </c>
      <c r="C50" s="3">
        <v>0</v>
      </c>
      <c r="D50" t="s">
        <v>46</v>
      </c>
      <c r="E50" t="s">
        <v>16</v>
      </c>
      <c r="F50" s="1" t="s">
        <v>38</v>
      </c>
      <c r="G50">
        <v>0.89</v>
      </c>
      <c r="H50">
        <f>MAX(G50:G97)</f>
        <v>0.90100000000000002</v>
      </c>
      <c r="I50">
        <f t="shared" ref="I50:I104" si="9">(H50-G50)/G50</f>
        <v>1.2359550561797763E-2</v>
      </c>
      <c r="J50">
        <f t="shared" ref="J50:J104" si="10">119*10^-6*(I50^1.231)</f>
        <v>5.3309211469037612E-7</v>
      </c>
      <c r="K50">
        <f t="shared" ref="K50:K105" si="11">J50*10^6</f>
        <v>0.5330921146903761</v>
      </c>
      <c r="L50">
        <v>899.4706625</v>
      </c>
      <c r="M50">
        <f t="shared" si="3"/>
        <v>8.9947066250000004E-4</v>
      </c>
      <c r="N50">
        <f t="shared" si="4"/>
        <v>4.7950071757407856E-10</v>
      </c>
      <c r="O50">
        <f t="shared" si="5"/>
        <v>1.7262025832666828E-3</v>
      </c>
      <c r="P50">
        <v>20.112200000000001</v>
      </c>
    </row>
    <row r="51" spans="1:16" x14ac:dyDescent="0.35">
      <c r="A51" t="s">
        <v>37</v>
      </c>
      <c r="B51" s="2">
        <v>44800</v>
      </c>
      <c r="C51" s="3">
        <v>2.0833333333333332E-2</v>
      </c>
      <c r="D51" t="s">
        <v>46</v>
      </c>
      <c r="E51" t="s">
        <v>16</v>
      </c>
      <c r="F51" s="1" t="s">
        <v>38</v>
      </c>
      <c r="G51">
        <v>0.88900000000000001</v>
      </c>
      <c r="H51">
        <v>0.90100000000000002</v>
      </c>
      <c r="I51">
        <f t="shared" si="9"/>
        <v>1.3498312710911148E-2</v>
      </c>
      <c r="J51">
        <f t="shared" si="10"/>
        <v>5.9418407448674981E-7</v>
      </c>
      <c r="K51">
        <f t="shared" si="11"/>
        <v>0.59418407448674981</v>
      </c>
      <c r="L51">
        <v>899.4706625</v>
      </c>
      <c r="M51">
        <f t="shared" si="3"/>
        <v>8.9947066250000004E-4</v>
      </c>
      <c r="N51">
        <f t="shared" si="4"/>
        <v>5.3445114312554626E-10</v>
      </c>
      <c r="O51">
        <f t="shared" si="5"/>
        <v>1.9240241152519667E-3</v>
      </c>
      <c r="P51">
        <v>19.898800000000001</v>
      </c>
    </row>
    <row r="52" spans="1:16" x14ac:dyDescent="0.35">
      <c r="A52" t="s">
        <v>37</v>
      </c>
      <c r="B52" s="2">
        <v>44800</v>
      </c>
      <c r="C52" s="3">
        <v>4.1666666666666664E-2</v>
      </c>
      <c r="D52" t="s">
        <v>46</v>
      </c>
      <c r="E52" t="s">
        <v>16</v>
      </c>
      <c r="F52" s="1" t="s">
        <v>38</v>
      </c>
      <c r="G52">
        <v>0.88900000000000001</v>
      </c>
      <c r="H52">
        <v>0.90100000000000002</v>
      </c>
      <c r="I52">
        <f t="shared" si="9"/>
        <v>1.3498312710911148E-2</v>
      </c>
      <c r="J52">
        <f t="shared" si="10"/>
        <v>5.9418407448674981E-7</v>
      </c>
      <c r="K52">
        <f t="shared" si="11"/>
        <v>0.59418407448674981</v>
      </c>
      <c r="L52">
        <v>899.4706625</v>
      </c>
      <c r="M52">
        <f t="shared" si="3"/>
        <v>8.9947066250000004E-4</v>
      </c>
      <c r="N52">
        <f t="shared" si="4"/>
        <v>5.3445114312554626E-10</v>
      </c>
      <c r="O52">
        <f t="shared" si="5"/>
        <v>1.9240241152519667E-3</v>
      </c>
      <c r="P52">
        <v>19.249500000000001</v>
      </c>
    </row>
    <row r="53" spans="1:16" x14ac:dyDescent="0.35">
      <c r="A53" t="s">
        <v>37</v>
      </c>
      <c r="B53" s="2">
        <v>44800</v>
      </c>
      <c r="C53" s="3">
        <v>6.25E-2</v>
      </c>
      <c r="D53" t="s">
        <v>46</v>
      </c>
      <c r="E53" t="s">
        <v>16</v>
      </c>
      <c r="F53" s="1" t="s">
        <v>38</v>
      </c>
      <c r="G53">
        <v>0.89100000000000001</v>
      </c>
      <c r="H53">
        <v>0.90100000000000002</v>
      </c>
      <c r="I53">
        <f t="shared" si="9"/>
        <v>1.12233445566779E-2</v>
      </c>
      <c r="J53">
        <f t="shared" si="10"/>
        <v>4.7342098831003216E-7</v>
      </c>
      <c r="K53">
        <f t="shared" si="11"/>
        <v>0.47342098831003215</v>
      </c>
      <c r="L53">
        <v>899.4706625</v>
      </c>
      <c r="M53">
        <f t="shared" si="3"/>
        <v>8.9947066250000004E-4</v>
      </c>
      <c r="N53">
        <f t="shared" si="4"/>
        <v>4.2582828999662939E-10</v>
      </c>
      <c r="O53">
        <f t="shared" si="5"/>
        <v>1.5329818439878658E-3</v>
      </c>
      <c r="P53">
        <v>17.116900000000001</v>
      </c>
    </row>
    <row r="54" spans="1:16" x14ac:dyDescent="0.35">
      <c r="A54" t="s">
        <v>37</v>
      </c>
      <c r="B54" s="2">
        <v>44800</v>
      </c>
      <c r="C54" s="3">
        <v>8.3333333333333329E-2</v>
      </c>
      <c r="D54" t="s">
        <v>46</v>
      </c>
      <c r="E54" t="s">
        <v>16</v>
      </c>
      <c r="F54" s="1" t="s">
        <v>38</v>
      </c>
      <c r="G54">
        <v>0.89200000000000002</v>
      </c>
      <c r="H54">
        <v>0.90100000000000002</v>
      </c>
      <c r="I54">
        <f t="shared" si="9"/>
        <v>1.0089686098654717E-2</v>
      </c>
      <c r="J54">
        <f t="shared" si="10"/>
        <v>4.1526024396811838E-7</v>
      </c>
      <c r="K54">
        <f t="shared" si="11"/>
        <v>0.41526024396811839</v>
      </c>
      <c r="L54">
        <v>899.4706625</v>
      </c>
      <c r="M54">
        <f t="shared" si="3"/>
        <v>8.9947066250000004E-4</v>
      </c>
      <c r="N54">
        <f t="shared" si="4"/>
        <v>3.7351440675191509E-10</v>
      </c>
      <c r="O54">
        <f t="shared" si="5"/>
        <v>1.3446518643068942E-3</v>
      </c>
      <c r="P54">
        <v>16.752199999999998</v>
      </c>
    </row>
    <row r="55" spans="1:16" x14ac:dyDescent="0.35">
      <c r="A55" t="s">
        <v>37</v>
      </c>
      <c r="B55" s="2">
        <v>44800</v>
      </c>
      <c r="C55" s="3">
        <v>0.10416666666666667</v>
      </c>
      <c r="D55" t="s">
        <v>46</v>
      </c>
      <c r="E55" t="s">
        <v>16</v>
      </c>
      <c r="F55" s="1" t="s">
        <v>38</v>
      </c>
      <c r="G55">
        <v>0.89400000000000002</v>
      </c>
      <c r="H55">
        <v>0.90100000000000002</v>
      </c>
      <c r="I55">
        <f t="shared" si="9"/>
        <v>7.829977628635354E-3</v>
      </c>
      <c r="J55">
        <f t="shared" si="10"/>
        <v>3.0392481639905515E-7</v>
      </c>
      <c r="K55">
        <f t="shared" si="11"/>
        <v>0.30392481639905516</v>
      </c>
      <c r="L55">
        <v>899.4706625</v>
      </c>
      <c r="M55">
        <f t="shared" si="3"/>
        <v>8.9947066250000004E-4</v>
      </c>
      <c r="N55">
        <f t="shared" si="4"/>
        <v>2.7337145595664904E-10</v>
      </c>
      <c r="O55">
        <f t="shared" si="5"/>
        <v>9.841372414439364E-4</v>
      </c>
      <c r="P55">
        <v>16.4085</v>
      </c>
    </row>
    <row r="56" spans="1:16" x14ac:dyDescent="0.35">
      <c r="A56" t="s">
        <v>37</v>
      </c>
      <c r="B56" s="2">
        <v>44800</v>
      </c>
      <c r="C56" s="3">
        <v>0.125</v>
      </c>
      <c r="D56" t="s">
        <v>46</v>
      </c>
      <c r="E56" t="s">
        <v>16</v>
      </c>
      <c r="F56" s="1" t="s">
        <v>38</v>
      </c>
      <c r="G56">
        <v>0.89600000000000002</v>
      </c>
      <c r="H56">
        <v>0.90100000000000002</v>
      </c>
      <c r="I56">
        <f t="shared" si="9"/>
        <v>5.5803571428571473E-3</v>
      </c>
      <c r="J56">
        <f t="shared" si="10"/>
        <v>2.0030319506208591E-7</v>
      </c>
      <c r="K56">
        <f t="shared" si="11"/>
        <v>0.20030319506208591</v>
      </c>
      <c r="L56">
        <v>899.4706625</v>
      </c>
      <c r="M56">
        <f t="shared" si="3"/>
        <v>8.9947066250000004E-4</v>
      </c>
      <c r="N56">
        <f t="shared" si="4"/>
        <v>1.8016684756336116E-10</v>
      </c>
      <c r="O56">
        <f t="shared" si="5"/>
        <v>6.4860065122810024E-4</v>
      </c>
      <c r="P56">
        <v>17.264900000000001</v>
      </c>
    </row>
    <row r="57" spans="1:16" x14ac:dyDescent="0.35">
      <c r="A57" t="s">
        <v>37</v>
      </c>
      <c r="B57" s="2">
        <v>44800</v>
      </c>
      <c r="C57" s="3">
        <v>0.14583333333333334</v>
      </c>
      <c r="D57" t="s">
        <v>46</v>
      </c>
      <c r="E57" t="s">
        <v>16</v>
      </c>
      <c r="F57" s="1" t="s">
        <v>38</v>
      </c>
      <c r="G57">
        <v>0.89700000000000002</v>
      </c>
      <c r="H57">
        <v>0.90100000000000002</v>
      </c>
      <c r="I57">
        <f t="shared" si="9"/>
        <v>4.4593088071348983E-3</v>
      </c>
      <c r="J57">
        <f t="shared" si="10"/>
        <v>1.5198310516492499E-7</v>
      </c>
      <c r="K57">
        <f t="shared" si="11"/>
        <v>0.151983105164925</v>
      </c>
      <c r="L57">
        <v>899.4706625</v>
      </c>
      <c r="M57">
        <f t="shared" si="3"/>
        <v>8.9947066250000004E-4</v>
      </c>
      <c r="N57">
        <f t="shared" si="4"/>
        <v>1.3670434429150225E-10</v>
      </c>
      <c r="O57">
        <f t="shared" si="5"/>
        <v>4.9213563944940802E-4</v>
      </c>
      <c r="P57">
        <v>15.769</v>
      </c>
    </row>
    <row r="58" spans="1:16" x14ac:dyDescent="0.35">
      <c r="A58" t="s">
        <v>37</v>
      </c>
      <c r="B58" s="2">
        <v>44800</v>
      </c>
      <c r="C58" s="3">
        <v>0.16666666666666666</v>
      </c>
      <c r="D58" t="s">
        <v>46</v>
      </c>
      <c r="E58" t="s">
        <v>16</v>
      </c>
      <c r="F58" s="1" t="s">
        <v>38</v>
      </c>
      <c r="G58">
        <v>0.89700000000000002</v>
      </c>
      <c r="H58">
        <v>0.90100000000000002</v>
      </c>
      <c r="I58">
        <f t="shared" si="9"/>
        <v>4.4593088071348983E-3</v>
      </c>
      <c r="J58">
        <f t="shared" si="10"/>
        <v>1.5198310516492499E-7</v>
      </c>
      <c r="K58">
        <f t="shared" si="11"/>
        <v>0.151983105164925</v>
      </c>
      <c r="L58">
        <v>899.4706625</v>
      </c>
      <c r="M58">
        <f t="shared" si="3"/>
        <v>8.9947066250000004E-4</v>
      </c>
      <c r="N58">
        <f t="shared" si="4"/>
        <v>1.3670434429150225E-10</v>
      </c>
      <c r="O58">
        <f t="shared" si="5"/>
        <v>4.9213563944940802E-4</v>
      </c>
      <c r="P58">
        <v>16.060199999999998</v>
      </c>
    </row>
    <row r="59" spans="1:16" x14ac:dyDescent="0.35">
      <c r="A59" t="s">
        <v>37</v>
      </c>
      <c r="B59" s="2">
        <v>44800</v>
      </c>
      <c r="C59" s="3">
        <v>0.1875</v>
      </c>
      <c r="D59" t="s">
        <v>46</v>
      </c>
      <c r="E59" t="s">
        <v>16</v>
      </c>
      <c r="F59" s="1" t="s">
        <v>38</v>
      </c>
      <c r="G59">
        <v>0.89600000000000002</v>
      </c>
      <c r="H59">
        <v>0.90100000000000002</v>
      </c>
      <c r="I59">
        <f t="shared" si="9"/>
        <v>5.5803571428571473E-3</v>
      </c>
      <c r="J59">
        <f t="shared" si="10"/>
        <v>2.0030319506208591E-7</v>
      </c>
      <c r="K59">
        <f t="shared" si="11"/>
        <v>0.20030319506208591</v>
      </c>
      <c r="L59">
        <v>899.4706625</v>
      </c>
      <c r="M59">
        <f t="shared" si="3"/>
        <v>8.9947066250000004E-4</v>
      </c>
      <c r="N59">
        <f t="shared" si="4"/>
        <v>1.8016684756336116E-10</v>
      </c>
      <c r="O59">
        <f t="shared" si="5"/>
        <v>6.4860065122810024E-4</v>
      </c>
      <c r="P59">
        <v>15.727600000000001</v>
      </c>
    </row>
    <row r="60" spans="1:16" x14ac:dyDescent="0.35">
      <c r="A60" t="s">
        <v>37</v>
      </c>
      <c r="B60" s="2">
        <v>44800</v>
      </c>
      <c r="C60" s="3">
        <v>0.20833333333333334</v>
      </c>
      <c r="D60" t="s">
        <v>46</v>
      </c>
      <c r="E60" t="s">
        <v>16</v>
      </c>
      <c r="F60" s="1" t="s">
        <v>38</v>
      </c>
      <c r="G60">
        <v>0.89600000000000002</v>
      </c>
      <c r="H60">
        <v>0.90100000000000002</v>
      </c>
      <c r="I60">
        <f t="shared" si="9"/>
        <v>5.5803571428571473E-3</v>
      </c>
      <c r="J60">
        <f t="shared" si="10"/>
        <v>2.0030319506208591E-7</v>
      </c>
      <c r="K60">
        <f t="shared" si="11"/>
        <v>0.20030319506208591</v>
      </c>
      <c r="L60">
        <v>899.4706625</v>
      </c>
      <c r="M60">
        <f t="shared" si="3"/>
        <v>8.9947066250000004E-4</v>
      </c>
      <c r="N60">
        <f t="shared" si="4"/>
        <v>1.8016684756336116E-10</v>
      </c>
      <c r="O60">
        <f t="shared" si="5"/>
        <v>6.4860065122810024E-4</v>
      </c>
      <c r="P60">
        <v>15.0184</v>
      </c>
    </row>
    <row r="61" spans="1:16" x14ac:dyDescent="0.35">
      <c r="A61" t="s">
        <v>37</v>
      </c>
      <c r="B61" s="2">
        <v>44800</v>
      </c>
      <c r="C61" s="3">
        <v>0.22916666666666666</v>
      </c>
      <c r="D61" t="s">
        <v>46</v>
      </c>
      <c r="E61" t="s">
        <v>16</v>
      </c>
      <c r="F61" s="1" t="s">
        <v>38</v>
      </c>
      <c r="G61">
        <v>0.89600000000000002</v>
      </c>
      <c r="H61">
        <v>0.90100000000000002</v>
      </c>
      <c r="I61">
        <f t="shared" si="9"/>
        <v>5.5803571428571473E-3</v>
      </c>
      <c r="J61">
        <f t="shared" si="10"/>
        <v>2.0030319506208591E-7</v>
      </c>
      <c r="K61">
        <f t="shared" si="11"/>
        <v>0.20030319506208591</v>
      </c>
      <c r="L61">
        <v>899.4706625</v>
      </c>
      <c r="M61">
        <f t="shared" si="3"/>
        <v>8.9947066250000004E-4</v>
      </c>
      <c r="N61">
        <f t="shared" si="4"/>
        <v>1.8016684756336116E-10</v>
      </c>
      <c r="O61">
        <f t="shared" si="5"/>
        <v>6.4860065122810024E-4</v>
      </c>
      <c r="P61">
        <v>14.711399999999999</v>
      </c>
    </row>
    <row r="62" spans="1:16" x14ac:dyDescent="0.35">
      <c r="A62" t="s">
        <v>37</v>
      </c>
      <c r="B62" s="2">
        <v>44800</v>
      </c>
      <c r="C62" s="3">
        <v>0.25</v>
      </c>
      <c r="D62" t="s">
        <v>46</v>
      </c>
      <c r="E62" t="s">
        <v>16</v>
      </c>
      <c r="F62" s="1" t="s">
        <v>38</v>
      </c>
      <c r="G62">
        <v>0.89600000000000002</v>
      </c>
      <c r="H62">
        <v>0.90100000000000002</v>
      </c>
      <c r="I62">
        <f t="shared" si="9"/>
        <v>5.5803571428571473E-3</v>
      </c>
      <c r="J62">
        <f t="shared" si="10"/>
        <v>2.0030319506208591E-7</v>
      </c>
      <c r="K62">
        <f t="shared" si="11"/>
        <v>0.20030319506208591</v>
      </c>
      <c r="L62">
        <v>899.4706625</v>
      </c>
      <c r="M62">
        <f t="shared" si="3"/>
        <v>8.9947066250000004E-4</v>
      </c>
      <c r="N62">
        <f t="shared" si="4"/>
        <v>1.8016684756336116E-10</v>
      </c>
      <c r="O62">
        <f t="shared" si="5"/>
        <v>6.4860065122810024E-4</v>
      </c>
      <c r="P62">
        <v>15.889900000000001</v>
      </c>
    </row>
    <row r="63" spans="1:16" x14ac:dyDescent="0.35">
      <c r="A63" t="s">
        <v>37</v>
      </c>
      <c r="B63" s="2">
        <v>44800</v>
      </c>
      <c r="C63" s="3">
        <v>0.27083333333333331</v>
      </c>
      <c r="D63" t="s">
        <v>46</v>
      </c>
      <c r="E63" t="s">
        <v>16</v>
      </c>
      <c r="F63" s="1" t="s">
        <v>38</v>
      </c>
      <c r="G63">
        <v>0.89500000000000002</v>
      </c>
      <c r="H63">
        <v>0.90100000000000002</v>
      </c>
      <c r="I63">
        <f t="shared" si="9"/>
        <v>6.7039106145251456E-3</v>
      </c>
      <c r="J63">
        <f t="shared" si="10"/>
        <v>2.5104813195302351E-7</v>
      </c>
      <c r="K63">
        <f t="shared" si="11"/>
        <v>0.2510481319530235</v>
      </c>
      <c r="L63">
        <v>899.4706625</v>
      </c>
      <c r="M63">
        <f t="shared" si="3"/>
        <v>8.9947066250000004E-4</v>
      </c>
      <c r="N63">
        <f t="shared" si="4"/>
        <v>2.258104295671735E-10</v>
      </c>
      <c r="O63">
        <f t="shared" si="5"/>
        <v>8.1291754644182465E-4</v>
      </c>
      <c r="P63">
        <v>16.3066</v>
      </c>
    </row>
    <row r="64" spans="1:16" x14ac:dyDescent="0.35">
      <c r="A64" t="s">
        <v>37</v>
      </c>
      <c r="B64" s="2">
        <v>44800</v>
      </c>
      <c r="C64" s="3">
        <v>0.29166666666666669</v>
      </c>
      <c r="D64" t="s">
        <v>46</v>
      </c>
      <c r="E64" t="s">
        <v>16</v>
      </c>
      <c r="F64" s="1" t="s">
        <v>38</v>
      </c>
      <c r="G64">
        <v>0.89500000000000002</v>
      </c>
      <c r="H64">
        <v>0.90100000000000002</v>
      </c>
      <c r="I64">
        <f t="shared" si="9"/>
        <v>6.7039106145251456E-3</v>
      </c>
      <c r="J64">
        <f t="shared" si="10"/>
        <v>2.5104813195302351E-7</v>
      </c>
      <c r="K64">
        <f t="shared" si="11"/>
        <v>0.2510481319530235</v>
      </c>
      <c r="L64">
        <v>899.4706625</v>
      </c>
      <c r="M64">
        <f t="shared" si="3"/>
        <v>8.9947066250000004E-4</v>
      </c>
      <c r="N64">
        <f t="shared" si="4"/>
        <v>2.258104295671735E-10</v>
      </c>
      <c r="O64">
        <f t="shared" si="5"/>
        <v>8.1291754644182465E-4</v>
      </c>
      <c r="P64">
        <v>17.531300000000002</v>
      </c>
    </row>
    <row r="65" spans="1:16" x14ac:dyDescent="0.35">
      <c r="A65" t="s">
        <v>37</v>
      </c>
      <c r="B65" s="2">
        <v>44800</v>
      </c>
      <c r="C65" s="3">
        <v>0.3125</v>
      </c>
      <c r="D65" t="s">
        <v>46</v>
      </c>
      <c r="E65" t="s">
        <v>16</v>
      </c>
      <c r="F65" s="1" t="s">
        <v>38</v>
      </c>
      <c r="G65">
        <v>0.89400000000000002</v>
      </c>
      <c r="H65">
        <v>0.90100000000000002</v>
      </c>
      <c r="I65">
        <f t="shared" si="9"/>
        <v>7.829977628635354E-3</v>
      </c>
      <c r="J65">
        <f t="shared" si="10"/>
        <v>3.0392481639905515E-7</v>
      </c>
      <c r="K65">
        <f t="shared" si="11"/>
        <v>0.30392481639905516</v>
      </c>
      <c r="L65">
        <v>899.4706625</v>
      </c>
      <c r="M65">
        <f t="shared" si="3"/>
        <v>8.9947066250000004E-4</v>
      </c>
      <c r="N65">
        <f t="shared" si="4"/>
        <v>2.7337145595664904E-10</v>
      </c>
      <c r="O65">
        <f t="shared" si="5"/>
        <v>9.841372414439364E-4</v>
      </c>
      <c r="P65">
        <v>18.497699999999998</v>
      </c>
    </row>
    <row r="66" spans="1:16" x14ac:dyDescent="0.35">
      <c r="A66" t="s">
        <v>37</v>
      </c>
      <c r="B66" s="2">
        <v>44800</v>
      </c>
      <c r="C66" s="3">
        <v>0.33333333333333331</v>
      </c>
      <c r="D66" t="s">
        <v>46</v>
      </c>
      <c r="E66" t="s">
        <v>16</v>
      </c>
      <c r="F66" s="1" t="s">
        <v>38</v>
      </c>
      <c r="G66">
        <v>0.89300000000000002</v>
      </c>
      <c r="H66">
        <v>0.90100000000000002</v>
      </c>
      <c r="I66">
        <f t="shared" si="9"/>
        <v>8.9585666293393127E-3</v>
      </c>
      <c r="J66">
        <f t="shared" si="10"/>
        <v>3.5871752087985984E-7</v>
      </c>
      <c r="K66">
        <f t="shared" si="11"/>
        <v>0.35871752087985986</v>
      </c>
      <c r="L66">
        <v>899.4706625</v>
      </c>
      <c r="M66">
        <f t="shared" si="3"/>
        <v>8.9947066250000004E-4</v>
      </c>
      <c r="N66">
        <f t="shared" si="4"/>
        <v>3.2265588615616515E-10</v>
      </c>
      <c r="O66">
        <f t="shared" si="5"/>
        <v>1.1615611901621946E-3</v>
      </c>
      <c r="P66">
        <v>20.640699999999999</v>
      </c>
    </row>
    <row r="67" spans="1:16" x14ac:dyDescent="0.35">
      <c r="A67" t="s">
        <v>37</v>
      </c>
      <c r="B67" s="2">
        <v>44800</v>
      </c>
      <c r="C67" s="3">
        <v>0.35416666666666669</v>
      </c>
      <c r="D67" t="s">
        <v>46</v>
      </c>
      <c r="E67" t="s">
        <v>16</v>
      </c>
      <c r="F67" s="1" t="s">
        <v>38</v>
      </c>
      <c r="G67">
        <v>0.89</v>
      </c>
      <c r="H67">
        <v>0.90100000000000002</v>
      </c>
      <c r="I67">
        <f t="shared" si="9"/>
        <v>1.2359550561797763E-2</v>
      </c>
      <c r="J67">
        <f t="shared" si="10"/>
        <v>5.3309211469037612E-7</v>
      </c>
      <c r="K67">
        <f t="shared" si="11"/>
        <v>0.5330921146903761</v>
      </c>
      <c r="L67">
        <v>899.4706625</v>
      </c>
      <c r="M67">
        <f t="shared" ref="M67:M130" si="12">L67/1000000</f>
        <v>8.9947066250000004E-4</v>
      </c>
      <c r="N67">
        <f t="shared" ref="N67:N130" si="13">J67*M67</f>
        <v>4.7950071757407856E-10</v>
      </c>
      <c r="O67">
        <f t="shared" ref="O67:O130" si="14">N67*1000*3600</f>
        <v>1.7262025832666828E-3</v>
      </c>
      <c r="P67">
        <v>21.7852</v>
      </c>
    </row>
    <row r="68" spans="1:16" x14ac:dyDescent="0.35">
      <c r="A68" t="s">
        <v>37</v>
      </c>
      <c r="B68" s="2">
        <v>44800</v>
      </c>
      <c r="C68" s="3">
        <v>0.375</v>
      </c>
      <c r="D68" t="s">
        <v>46</v>
      </c>
      <c r="E68" t="s">
        <v>16</v>
      </c>
      <c r="F68" s="1" t="s">
        <v>38</v>
      </c>
      <c r="G68">
        <v>0.88300000000000001</v>
      </c>
      <c r="H68">
        <v>0.90100000000000002</v>
      </c>
      <c r="I68">
        <f t="shared" si="9"/>
        <v>2.0385050962627424E-2</v>
      </c>
      <c r="J68">
        <f t="shared" si="10"/>
        <v>9.8698326524783168E-7</v>
      </c>
      <c r="K68">
        <f t="shared" si="11"/>
        <v>0.98698326524783164</v>
      </c>
      <c r="L68">
        <v>899.4706625</v>
      </c>
      <c r="M68">
        <f t="shared" si="12"/>
        <v>8.9947066250000004E-4</v>
      </c>
      <c r="N68">
        <f t="shared" si="13"/>
        <v>8.8776249146888042E-10</v>
      </c>
      <c r="O68">
        <f t="shared" si="14"/>
        <v>3.1959449692879694E-3</v>
      </c>
      <c r="P68">
        <v>23.6355</v>
      </c>
    </row>
    <row r="69" spans="1:16" x14ac:dyDescent="0.35">
      <c r="A69" t="s">
        <v>37</v>
      </c>
      <c r="B69" s="2">
        <v>44800</v>
      </c>
      <c r="C69" s="3">
        <v>0.39583333333333331</v>
      </c>
      <c r="D69" t="s">
        <v>46</v>
      </c>
      <c r="E69" t="s">
        <v>16</v>
      </c>
      <c r="F69" s="1" t="s">
        <v>38</v>
      </c>
      <c r="G69">
        <v>0.86799999999999999</v>
      </c>
      <c r="H69">
        <v>0.90100000000000002</v>
      </c>
      <c r="I69">
        <f t="shared" si="9"/>
        <v>3.8018433179723539E-2</v>
      </c>
      <c r="J69">
        <f t="shared" si="10"/>
        <v>2.1257874544423795E-6</v>
      </c>
      <c r="K69">
        <f t="shared" si="11"/>
        <v>2.1257874544423796</v>
      </c>
      <c r="L69">
        <v>899.4706625</v>
      </c>
      <c r="M69">
        <f t="shared" si="12"/>
        <v>8.9947066250000004E-4</v>
      </c>
      <c r="N69">
        <f t="shared" si="13"/>
        <v>1.9120834499814759E-9</v>
      </c>
      <c r="O69">
        <f t="shared" si="14"/>
        <v>6.8835004199333137E-3</v>
      </c>
      <c r="P69">
        <v>25.8127</v>
      </c>
    </row>
    <row r="70" spans="1:16" x14ac:dyDescent="0.35">
      <c r="A70" t="s">
        <v>37</v>
      </c>
      <c r="B70" s="2">
        <v>44800</v>
      </c>
      <c r="C70" s="3">
        <v>0.41666666666666669</v>
      </c>
      <c r="D70" t="s">
        <v>46</v>
      </c>
      <c r="E70" t="s">
        <v>16</v>
      </c>
      <c r="F70" s="1" t="s">
        <v>38</v>
      </c>
      <c r="G70">
        <v>0.84399999999999997</v>
      </c>
      <c r="H70">
        <v>0.90100000000000002</v>
      </c>
      <c r="I70">
        <f t="shared" si="9"/>
        <v>6.7535545023696741E-2</v>
      </c>
      <c r="J70">
        <f t="shared" si="10"/>
        <v>4.3122244426879673E-6</v>
      </c>
      <c r="K70">
        <f t="shared" si="11"/>
        <v>4.3122244426879677</v>
      </c>
      <c r="L70">
        <v>899.4706625</v>
      </c>
      <c r="M70">
        <f t="shared" si="12"/>
        <v>8.9947066250000004E-4</v>
      </c>
      <c r="N70">
        <f t="shared" si="13"/>
        <v>3.8787193763132392E-9</v>
      </c>
      <c r="O70">
        <f t="shared" si="14"/>
        <v>1.3963389754727662E-2</v>
      </c>
      <c r="P70">
        <v>27.663900000000002</v>
      </c>
    </row>
    <row r="71" spans="1:16" x14ac:dyDescent="0.35">
      <c r="A71" t="s">
        <v>37</v>
      </c>
      <c r="B71" s="2">
        <v>44800</v>
      </c>
      <c r="C71" s="3">
        <v>0.4375</v>
      </c>
      <c r="D71" t="s">
        <v>46</v>
      </c>
      <c r="E71" t="s">
        <v>16</v>
      </c>
      <c r="F71" s="1" t="s">
        <v>38</v>
      </c>
      <c r="G71">
        <v>0.81699999999999995</v>
      </c>
      <c r="H71">
        <v>0.90100000000000002</v>
      </c>
      <c r="I71">
        <f t="shared" si="9"/>
        <v>0.10281517747858027</v>
      </c>
      <c r="J71">
        <f t="shared" si="10"/>
        <v>7.2341816710620251E-6</v>
      </c>
      <c r="K71">
        <f t="shared" si="11"/>
        <v>7.234181671062025</v>
      </c>
      <c r="L71">
        <v>899.4706625</v>
      </c>
      <c r="M71">
        <f t="shared" si="12"/>
        <v>8.9947066250000004E-4</v>
      </c>
      <c r="N71">
        <f t="shared" si="13"/>
        <v>6.5069341803155173E-9</v>
      </c>
      <c r="O71">
        <f t="shared" si="14"/>
        <v>2.3424963049135862E-2</v>
      </c>
      <c r="P71">
        <v>29.2453</v>
      </c>
    </row>
    <row r="72" spans="1:16" x14ac:dyDescent="0.35">
      <c r="A72" t="s">
        <v>37</v>
      </c>
      <c r="B72" s="2">
        <v>44800</v>
      </c>
      <c r="C72" s="3">
        <v>0.45833333333333331</v>
      </c>
      <c r="D72" t="s">
        <v>46</v>
      </c>
      <c r="E72" t="s">
        <v>16</v>
      </c>
      <c r="F72" s="1" t="s">
        <v>38</v>
      </c>
      <c r="G72">
        <v>0.79200000000000004</v>
      </c>
      <c r="H72">
        <v>0.90100000000000002</v>
      </c>
      <c r="I72">
        <f t="shared" si="9"/>
        <v>0.1376262626262626</v>
      </c>
      <c r="J72">
        <f t="shared" si="10"/>
        <v>1.0358295153450727E-5</v>
      </c>
      <c r="K72">
        <f t="shared" si="11"/>
        <v>10.358295153450726</v>
      </c>
      <c r="L72">
        <v>899.4706625</v>
      </c>
      <c r="M72">
        <f t="shared" si="12"/>
        <v>8.9947066250000004E-4</v>
      </c>
      <c r="N72">
        <f t="shared" si="13"/>
        <v>9.3169826040448646E-9</v>
      </c>
      <c r="O72">
        <f t="shared" si="14"/>
        <v>3.3541137374561512E-2</v>
      </c>
      <c r="P72">
        <v>31.9986</v>
      </c>
    </row>
    <row r="73" spans="1:16" x14ac:dyDescent="0.35">
      <c r="A73" t="s">
        <v>37</v>
      </c>
      <c r="B73" s="2">
        <v>44800</v>
      </c>
      <c r="C73" s="3">
        <v>0.47916666666666669</v>
      </c>
      <c r="D73" t="s">
        <v>46</v>
      </c>
      <c r="E73" t="s">
        <v>16</v>
      </c>
      <c r="F73" s="1" t="s">
        <v>38</v>
      </c>
      <c r="G73">
        <v>0.78100000000000003</v>
      </c>
      <c r="H73">
        <v>0.90100000000000002</v>
      </c>
      <c r="I73">
        <f t="shared" si="9"/>
        <v>0.15364916773367476</v>
      </c>
      <c r="J73">
        <f t="shared" si="10"/>
        <v>1.1862211211991072E-5</v>
      </c>
      <c r="K73">
        <f t="shared" si="11"/>
        <v>11.862211211991072</v>
      </c>
      <c r="L73">
        <v>899.4706625</v>
      </c>
      <c r="M73">
        <f t="shared" si="12"/>
        <v>8.9947066250000004E-4</v>
      </c>
      <c r="N73">
        <f t="shared" si="13"/>
        <v>1.0669710977564539E-8</v>
      </c>
      <c r="O73">
        <f t="shared" si="14"/>
        <v>3.8410959519232339E-2</v>
      </c>
      <c r="P73">
        <v>31.6327</v>
      </c>
    </row>
    <row r="74" spans="1:16" x14ac:dyDescent="0.35">
      <c r="A74" t="s">
        <v>37</v>
      </c>
      <c r="B74" s="2">
        <v>44800</v>
      </c>
      <c r="C74" s="3">
        <v>0.5</v>
      </c>
      <c r="D74" t="s">
        <v>46</v>
      </c>
      <c r="E74" t="s">
        <v>16</v>
      </c>
      <c r="F74" s="1" t="s">
        <v>38</v>
      </c>
      <c r="G74">
        <v>0.77900000000000003</v>
      </c>
      <c r="H74">
        <v>0.90100000000000002</v>
      </c>
      <c r="I74">
        <f t="shared" si="9"/>
        <v>0.15661103979460847</v>
      </c>
      <c r="J74">
        <f t="shared" si="10"/>
        <v>1.2144322804658613E-5</v>
      </c>
      <c r="K74">
        <f t="shared" si="11"/>
        <v>12.144322804658612</v>
      </c>
      <c r="L74">
        <v>899.4706625</v>
      </c>
      <c r="M74">
        <f t="shared" si="12"/>
        <v>8.9947066250000004E-4</v>
      </c>
      <c r="N74">
        <f t="shared" si="13"/>
        <v>1.0923462078720141E-8</v>
      </c>
      <c r="O74">
        <f t="shared" si="14"/>
        <v>3.9324463483392511E-2</v>
      </c>
      <c r="P74">
        <v>31.8827</v>
      </c>
    </row>
    <row r="75" spans="1:16" x14ac:dyDescent="0.35">
      <c r="A75" t="s">
        <v>37</v>
      </c>
      <c r="B75" s="2">
        <v>44800</v>
      </c>
      <c r="C75" s="3">
        <v>0.52083333333333337</v>
      </c>
      <c r="D75" t="s">
        <v>46</v>
      </c>
      <c r="E75" t="s">
        <v>16</v>
      </c>
      <c r="F75" s="1" t="s">
        <v>38</v>
      </c>
      <c r="G75">
        <v>0.79300000000000004</v>
      </c>
      <c r="H75">
        <v>0.90100000000000002</v>
      </c>
      <c r="I75">
        <f t="shared" si="9"/>
        <v>0.13619167717528372</v>
      </c>
      <c r="J75">
        <f t="shared" si="10"/>
        <v>1.0225541386569302E-5</v>
      </c>
      <c r="K75">
        <f t="shared" si="11"/>
        <v>10.225541386569303</v>
      </c>
      <c r="L75">
        <v>899.4706625</v>
      </c>
      <c r="M75">
        <f t="shared" si="12"/>
        <v>8.9947066250000004E-4</v>
      </c>
      <c r="N75">
        <f t="shared" si="13"/>
        <v>9.1975744853986598E-9</v>
      </c>
      <c r="O75">
        <f t="shared" si="14"/>
        <v>3.3111268147435174E-2</v>
      </c>
      <c r="P75">
        <v>32.619799999999998</v>
      </c>
    </row>
    <row r="76" spans="1:16" x14ac:dyDescent="0.35">
      <c r="A76" t="s">
        <v>37</v>
      </c>
      <c r="B76" s="2">
        <v>44800</v>
      </c>
      <c r="C76" s="3">
        <v>0.54166666666666663</v>
      </c>
      <c r="D76" t="s">
        <v>46</v>
      </c>
      <c r="E76" t="s">
        <v>16</v>
      </c>
      <c r="F76" s="1" t="s">
        <v>38</v>
      </c>
      <c r="G76">
        <v>0.80600000000000005</v>
      </c>
      <c r="H76">
        <v>0.90100000000000002</v>
      </c>
      <c r="I76">
        <f t="shared" si="9"/>
        <v>0.11786600496277912</v>
      </c>
      <c r="J76">
        <f t="shared" si="10"/>
        <v>8.5590641820133253E-6</v>
      </c>
      <c r="K76">
        <f t="shared" si="11"/>
        <v>8.5590641820133246</v>
      </c>
      <c r="L76">
        <v>899.4706625</v>
      </c>
      <c r="M76">
        <f t="shared" si="12"/>
        <v>8.9947066250000004E-4</v>
      </c>
      <c r="N76">
        <f t="shared" si="13"/>
        <v>7.6986271301755473E-9</v>
      </c>
      <c r="O76">
        <f t="shared" si="14"/>
        <v>2.7715057668631971E-2</v>
      </c>
      <c r="P76">
        <v>29.2163</v>
      </c>
    </row>
    <row r="77" spans="1:16" x14ac:dyDescent="0.35">
      <c r="A77" t="s">
        <v>37</v>
      </c>
      <c r="B77" s="2">
        <v>44800</v>
      </c>
      <c r="C77" s="3">
        <v>0.5625</v>
      </c>
      <c r="D77" t="s">
        <v>46</v>
      </c>
      <c r="E77" t="s">
        <v>16</v>
      </c>
      <c r="F77" s="1" t="s">
        <v>38</v>
      </c>
      <c r="G77">
        <v>0.80800000000000005</v>
      </c>
      <c r="H77">
        <v>0.90100000000000002</v>
      </c>
      <c r="I77">
        <f t="shared" si="9"/>
        <v>0.11509900990099006</v>
      </c>
      <c r="J77">
        <f t="shared" si="10"/>
        <v>8.3123933443412558E-6</v>
      </c>
      <c r="K77">
        <f t="shared" si="11"/>
        <v>8.3123933443412561</v>
      </c>
      <c r="L77">
        <v>899.4706625</v>
      </c>
      <c r="M77">
        <f t="shared" si="12"/>
        <v>8.9947066250000004E-4</v>
      </c>
      <c r="N77">
        <f t="shared" si="13"/>
        <v>7.4767539483952198E-9</v>
      </c>
      <c r="O77">
        <f t="shared" si="14"/>
        <v>2.6916314214222792E-2</v>
      </c>
      <c r="P77">
        <v>30.803799999999999</v>
      </c>
    </row>
    <row r="78" spans="1:16" x14ac:dyDescent="0.35">
      <c r="A78" t="s">
        <v>37</v>
      </c>
      <c r="B78" s="2">
        <v>44800</v>
      </c>
      <c r="C78" s="3">
        <v>0.58333333333333337</v>
      </c>
      <c r="D78" t="s">
        <v>46</v>
      </c>
      <c r="E78" t="s">
        <v>16</v>
      </c>
      <c r="F78" s="1" t="s">
        <v>38</v>
      </c>
      <c r="G78">
        <v>0.81599999999999995</v>
      </c>
      <c r="H78">
        <v>0.90100000000000002</v>
      </c>
      <c r="I78">
        <f t="shared" si="9"/>
        <v>0.10416666666666677</v>
      </c>
      <c r="J78">
        <f t="shared" si="10"/>
        <v>7.3514172582651037E-6</v>
      </c>
      <c r="K78">
        <f t="shared" si="11"/>
        <v>7.3514172582651041</v>
      </c>
      <c r="L78">
        <v>899.4706625</v>
      </c>
      <c r="M78">
        <f t="shared" si="12"/>
        <v>8.9947066250000004E-4</v>
      </c>
      <c r="N78">
        <f t="shared" si="13"/>
        <v>6.6123841516056469E-9</v>
      </c>
      <c r="O78">
        <f t="shared" si="14"/>
        <v>2.3804582945780327E-2</v>
      </c>
      <c r="P78">
        <v>30.016100000000002</v>
      </c>
    </row>
    <row r="79" spans="1:16" x14ac:dyDescent="0.35">
      <c r="A79" t="s">
        <v>37</v>
      </c>
      <c r="B79" s="2">
        <v>44800</v>
      </c>
      <c r="C79" s="3">
        <v>0.60416666666666663</v>
      </c>
      <c r="D79" t="s">
        <v>46</v>
      </c>
      <c r="E79" t="s">
        <v>16</v>
      </c>
      <c r="F79" s="1" t="s">
        <v>38</v>
      </c>
      <c r="G79">
        <v>0.81599999999999995</v>
      </c>
      <c r="H79">
        <v>0.90100000000000002</v>
      </c>
      <c r="I79">
        <f t="shared" si="9"/>
        <v>0.10416666666666677</v>
      </c>
      <c r="J79">
        <f t="shared" si="10"/>
        <v>7.3514172582651037E-6</v>
      </c>
      <c r="K79">
        <f t="shared" si="11"/>
        <v>7.3514172582651041</v>
      </c>
      <c r="L79">
        <v>899.4706625</v>
      </c>
      <c r="M79">
        <f t="shared" si="12"/>
        <v>8.9947066250000004E-4</v>
      </c>
      <c r="N79">
        <f t="shared" si="13"/>
        <v>6.6123841516056469E-9</v>
      </c>
      <c r="O79">
        <f t="shared" si="14"/>
        <v>2.3804582945780327E-2</v>
      </c>
      <c r="P79">
        <v>31.1188</v>
      </c>
    </row>
    <row r="80" spans="1:16" x14ac:dyDescent="0.35">
      <c r="A80" t="s">
        <v>37</v>
      </c>
      <c r="B80" s="2">
        <v>44800</v>
      </c>
      <c r="C80" s="3">
        <v>0.625</v>
      </c>
      <c r="D80" t="s">
        <v>46</v>
      </c>
      <c r="E80" t="s">
        <v>16</v>
      </c>
      <c r="F80" s="1" t="s">
        <v>38</v>
      </c>
      <c r="G80">
        <v>0.81899999999999995</v>
      </c>
      <c r="H80">
        <v>0.90100000000000002</v>
      </c>
      <c r="I80">
        <f t="shared" si="9"/>
        <v>0.10012210012210021</v>
      </c>
      <c r="J80">
        <f t="shared" si="10"/>
        <v>7.0016328019096574E-6</v>
      </c>
      <c r="K80">
        <f t="shared" si="11"/>
        <v>7.0016328019096576</v>
      </c>
      <c r="L80">
        <v>899.4706625</v>
      </c>
      <c r="M80">
        <f t="shared" si="12"/>
        <v>8.9947066250000004E-4</v>
      </c>
      <c r="N80">
        <f t="shared" si="13"/>
        <v>6.2977632949154111E-9</v>
      </c>
      <c r="O80">
        <f t="shared" si="14"/>
        <v>2.267194786169548E-2</v>
      </c>
      <c r="P80">
        <v>33.7301</v>
      </c>
    </row>
    <row r="81" spans="1:16" x14ac:dyDescent="0.35">
      <c r="A81" t="s">
        <v>37</v>
      </c>
      <c r="B81" s="2">
        <v>44800</v>
      </c>
      <c r="C81" s="3">
        <v>0.64583333333333337</v>
      </c>
      <c r="D81" t="s">
        <v>46</v>
      </c>
      <c r="E81" t="s">
        <v>16</v>
      </c>
      <c r="F81" s="1" t="s">
        <v>38</v>
      </c>
      <c r="G81">
        <v>0.82</v>
      </c>
      <c r="H81">
        <v>0.90100000000000002</v>
      </c>
      <c r="I81">
        <f t="shared" si="9"/>
        <v>9.8780487804878137E-2</v>
      </c>
      <c r="J81">
        <f t="shared" si="10"/>
        <v>6.8863194815838576E-6</v>
      </c>
      <c r="K81">
        <f t="shared" si="11"/>
        <v>6.8863194815838575</v>
      </c>
      <c r="L81">
        <v>899.4706625</v>
      </c>
      <c r="M81">
        <f t="shared" si="12"/>
        <v>8.9947066250000004E-4</v>
      </c>
      <c r="N81">
        <f t="shared" si="13"/>
        <v>6.194042346286889E-9</v>
      </c>
      <c r="O81">
        <f t="shared" si="14"/>
        <v>2.2298552446632799E-2</v>
      </c>
      <c r="P81">
        <v>32.391100000000002</v>
      </c>
    </row>
    <row r="82" spans="1:16" x14ac:dyDescent="0.35">
      <c r="A82" t="s">
        <v>37</v>
      </c>
      <c r="B82" s="2">
        <v>44800</v>
      </c>
      <c r="C82" s="3">
        <v>0.66666666666666663</v>
      </c>
      <c r="D82" t="s">
        <v>46</v>
      </c>
      <c r="E82" t="s">
        <v>16</v>
      </c>
      <c r="F82" s="1" t="s">
        <v>38</v>
      </c>
      <c r="G82">
        <v>0.81799999999999995</v>
      </c>
      <c r="H82">
        <v>0.90100000000000002</v>
      </c>
      <c r="I82">
        <f t="shared" si="9"/>
        <v>0.10146699266503677</v>
      </c>
      <c r="J82">
        <f t="shared" si="10"/>
        <v>7.1175868680596164E-6</v>
      </c>
      <c r="K82">
        <f t="shared" si="11"/>
        <v>7.1175868680596164</v>
      </c>
      <c r="L82">
        <v>899.4706625</v>
      </c>
      <c r="M82">
        <f t="shared" si="12"/>
        <v>8.9947066250000004E-4</v>
      </c>
      <c r="N82">
        <f t="shared" si="13"/>
        <v>6.4020605756148838E-9</v>
      </c>
      <c r="O82">
        <f t="shared" si="14"/>
        <v>2.3047418072213582E-2</v>
      </c>
      <c r="P82">
        <v>28.613099999999999</v>
      </c>
    </row>
    <row r="83" spans="1:16" x14ac:dyDescent="0.35">
      <c r="A83" t="s">
        <v>37</v>
      </c>
      <c r="B83" s="2">
        <v>44800</v>
      </c>
      <c r="C83" s="3">
        <v>0.6875</v>
      </c>
      <c r="D83" t="s">
        <v>46</v>
      </c>
      <c r="E83" t="s">
        <v>16</v>
      </c>
      <c r="F83" s="1" t="s">
        <v>38</v>
      </c>
      <c r="G83">
        <v>0.82599999999999996</v>
      </c>
      <c r="H83">
        <v>0.90100000000000002</v>
      </c>
      <c r="I83">
        <f t="shared" si="9"/>
        <v>9.0799031476997666E-2</v>
      </c>
      <c r="J83">
        <f t="shared" si="10"/>
        <v>6.2079032291433799E-6</v>
      </c>
      <c r="K83">
        <f t="shared" si="11"/>
        <v>6.2079032291433798</v>
      </c>
      <c r="L83">
        <v>899.4706625</v>
      </c>
      <c r="M83">
        <f t="shared" si="12"/>
        <v>8.9947066250000004E-4</v>
      </c>
      <c r="N83">
        <f t="shared" si="13"/>
        <v>5.5838268302534857E-9</v>
      </c>
      <c r="O83">
        <f t="shared" si="14"/>
        <v>2.0101776588912549E-2</v>
      </c>
      <c r="P83">
        <v>29.746700000000001</v>
      </c>
    </row>
    <row r="84" spans="1:16" x14ac:dyDescent="0.35">
      <c r="A84" t="s">
        <v>37</v>
      </c>
      <c r="B84" s="2">
        <v>44800</v>
      </c>
      <c r="C84" s="3">
        <v>0.70833333333333337</v>
      </c>
      <c r="D84" t="s">
        <v>46</v>
      </c>
      <c r="E84" t="s">
        <v>16</v>
      </c>
      <c r="F84" s="1" t="s">
        <v>38</v>
      </c>
      <c r="G84">
        <v>0.83899999999999997</v>
      </c>
      <c r="H84">
        <v>0.90100000000000002</v>
      </c>
      <c r="I84">
        <f t="shared" si="9"/>
        <v>7.3897497020262284E-2</v>
      </c>
      <c r="J84">
        <f t="shared" si="10"/>
        <v>4.8175935574065085E-6</v>
      </c>
      <c r="K84">
        <f t="shared" si="11"/>
        <v>4.817593557406509</v>
      </c>
      <c r="L84">
        <v>899.4706625</v>
      </c>
      <c r="M84">
        <f t="shared" si="12"/>
        <v>8.9947066250000004E-4</v>
      </c>
      <c r="N84">
        <f t="shared" si="13"/>
        <v>4.3332840687361639E-9</v>
      </c>
      <c r="O84">
        <f t="shared" si="14"/>
        <v>1.559982264745019E-2</v>
      </c>
      <c r="P84">
        <v>26.706800000000001</v>
      </c>
    </row>
    <row r="85" spans="1:16" x14ac:dyDescent="0.35">
      <c r="A85" t="s">
        <v>37</v>
      </c>
      <c r="B85" s="2">
        <v>44800</v>
      </c>
      <c r="C85" s="3">
        <v>0.72916666666666663</v>
      </c>
      <c r="D85" t="s">
        <v>46</v>
      </c>
      <c r="E85" t="s">
        <v>16</v>
      </c>
      <c r="F85" s="1" t="s">
        <v>38</v>
      </c>
      <c r="G85">
        <v>0.85299999999999998</v>
      </c>
      <c r="H85">
        <v>0.90100000000000002</v>
      </c>
      <c r="I85">
        <f t="shared" si="9"/>
        <v>5.6271981242672971E-2</v>
      </c>
      <c r="J85">
        <f t="shared" si="10"/>
        <v>3.4447417384143497E-6</v>
      </c>
      <c r="K85">
        <f t="shared" si="11"/>
        <v>3.4447417384143497</v>
      </c>
      <c r="L85">
        <v>899.4706625</v>
      </c>
      <c r="M85">
        <f t="shared" si="12"/>
        <v>8.9947066250000004E-4</v>
      </c>
      <c r="N85">
        <f t="shared" si="13"/>
        <v>3.0984441335929569E-9</v>
      </c>
      <c r="O85">
        <f t="shared" si="14"/>
        <v>1.1154398880934646E-2</v>
      </c>
      <c r="P85">
        <v>24.7545</v>
      </c>
    </row>
    <row r="86" spans="1:16" x14ac:dyDescent="0.35">
      <c r="A86" t="s">
        <v>37</v>
      </c>
      <c r="B86" s="2">
        <v>44800</v>
      </c>
      <c r="C86" s="3">
        <v>0.75</v>
      </c>
      <c r="D86" t="s">
        <v>46</v>
      </c>
      <c r="E86" t="s">
        <v>16</v>
      </c>
      <c r="F86" s="1" t="s">
        <v>38</v>
      </c>
      <c r="G86">
        <v>0.86899999999999999</v>
      </c>
      <c r="H86">
        <v>0.90100000000000002</v>
      </c>
      <c r="I86">
        <f t="shared" si="9"/>
        <v>3.6823935558112808E-2</v>
      </c>
      <c r="J86">
        <f t="shared" si="10"/>
        <v>2.0438698624889051E-6</v>
      </c>
      <c r="K86">
        <f t="shared" si="11"/>
        <v>2.0438698624889051</v>
      </c>
      <c r="L86">
        <v>899.4706625</v>
      </c>
      <c r="M86">
        <f t="shared" si="12"/>
        <v>8.9947066250000004E-4</v>
      </c>
      <c r="N86">
        <f t="shared" si="13"/>
        <v>1.8384009792766794E-9</v>
      </c>
      <c r="O86">
        <f t="shared" si="14"/>
        <v>6.6182435253960455E-3</v>
      </c>
      <c r="P86">
        <v>21.6553</v>
      </c>
    </row>
    <row r="87" spans="1:16" x14ac:dyDescent="0.35">
      <c r="A87" t="s">
        <v>37</v>
      </c>
      <c r="B87" s="2">
        <v>44800</v>
      </c>
      <c r="C87" s="3">
        <v>0.77083333333333337</v>
      </c>
      <c r="D87" t="s">
        <v>46</v>
      </c>
      <c r="E87" t="s">
        <v>16</v>
      </c>
      <c r="F87" s="1" t="s">
        <v>38</v>
      </c>
      <c r="G87">
        <v>0.88400000000000001</v>
      </c>
      <c r="H87">
        <v>0.90100000000000002</v>
      </c>
      <c r="I87">
        <f t="shared" si="9"/>
        <v>1.9230769230769249E-2</v>
      </c>
      <c r="J87">
        <f t="shared" si="10"/>
        <v>9.1864315925615838E-7</v>
      </c>
      <c r="K87">
        <f t="shared" si="11"/>
        <v>0.91864315925615836</v>
      </c>
      <c r="L87">
        <v>899.4706625</v>
      </c>
      <c r="M87">
        <f t="shared" si="12"/>
        <v>8.9947066250000004E-4</v>
      </c>
      <c r="N87">
        <f t="shared" si="13"/>
        <v>8.262925710572298E-10</v>
      </c>
      <c r="O87">
        <f t="shared" si="14"/>
        <v>2.9746532558060272E-3</v>
      </c>
      <c r="P87">
        <v>21.886700000000001</v>
      </c>
    </row>
    <row r="88" spans="1:16" x14ac:dyDescent="0.35">
      <c r="A88" t="s">
        <v>37</v>
      </c>
      <c r="B88" s="2">
        <v>44800</v>
      </c>
      <c r="C88" s="3">
        <v>0.79166666666666663</v>
      </c>
      <c r="D88" t="s">
        <v>46</v>
      </c>
      <c r="E88" t="s">
        <v>16</v>
      </c>
      <c r="F88" s="1" t="s">
        <v>38</v>
      </c>
      <c r="G88">
        <v>0.89500000000000002</v>
      </c>
      <c r="H88">
        <v>0.90100000000000002</v>
      </c>
      <c r="I88">
        <f t="shared" si="9"/>
        <v>6.7039106145251456E-3</v>
      </c>
      <c r="J88">
        <f t="shared" si="10"/>
        <v>2.5104813195302351E-7</v>
      </c>
      <c r="K88">
        <f t="shared" si="11"/>
        <v>0.2510481319530235</v>
      </c>
      <c r="L88">
        <v>899.4706625</v>
      </c>
      <c r="M88">
        <f t="shared" si="12"/>
        <v>8.9947066250000004E-4</v>
      </c>
      <c r="N88">
        <f t="shared" si="13"/>
        <v>2.258104295671735E-10</v>
      </c>
      <c r="O88">
        <f t="shared" si="14"/>
        <v>8.1291754644182465E-4</v>
      </c>
      <c r="P88">
        <v>21.135999999999999</v>
      </c>
    </row>
    <row r="89" spans="1:16" x14ac:dyDescent="0.35">
      <c r="A89" t="s">
        <v>37</v>
      </c>
      <c r="B89" s="2">
        <v>44800</v>
      </c>
      <c r="C89" s="3">
        <v>0.8125</v>
      </c>
      <c r="D89" t="s">
        <v>46</v>
      </c>
      <c r="E89" t="s">
        <v>16</v>
      </c>
      <c r="F89" s="1" t="s">
        <v>38</v>
      </c>
      <c r="G89">
        <v>0.9</v>
      </c>
      <c r="H89">
        <v>0.90100000000000002</v>
      </c>
      <c r="I89">
        <f t="shared" si="9"/>
        <v>1.111111111111112E-3</v>
      </c>
      <c r="J89">
        <f t="shared" si="10"/>
        <v>2.7470997682759057E-8</v>
      </c>
      <c r="K89">
        <f t="shared" si="11"/>
        <v>2.7470997682759058E-2</v>
      </c>
      <c r="L89">
        <v>899.4706625</v>
      </c>
      <c r="M89">
        <f t="shared" si="12"/>
        <v>8.9947066250000004E-4</v>
      </c>
      <c r="N89">
        <f t="shared" si="13"/>
        <v>2.4709356485247254E-11</v>
      </c>
      <c r="O89">
        <f t="shared" si="14"/>
        <v>8.8953683346890114E-5</v>
      </c>
      <c r="P89">
        <v>22.610600000000002</v>
      </c>
    </row>
    <row r="90" spans="1:16" x14ac:dyDescent="0.35">
      <c r="A90" t="s">
        <v>37</v>
      </c>
      <c r="B90" s="2">
        <v>44800</v>
      </c>
      <c r="C90" s="3">
        <v>0.83333333333333337</v>
      </c>
      <c r="D90" t="s">
        <v>46</v>
      </c>
      <c r="E90" t="s">
        <v>16</v>
      </c>
      <c r="F90" s="1" t="s">
        <v>38</v>
      </c>
      <c r="G90">
        <v>0.90100000000000002</v>
      </c>
      <c r="H90">
        <v>0.90100000000000002</v>
      </c>
      <c r="I90">
        <f t="shared" si="9"/>
        <v>0</v>
      </c>
      <c r="J90">
        <f t="shared" si="10"/>
        <v>0</v>
      </c>
      <c r="K90">
        <f t="shared" si="11"/>
        <v>0</v>
      </c>
      <c r="L90">
        <v>899.4706625</v>
      </c>
      <c r="M90">
        <f t="shared" si="12"/>
        <v>8.9947066250000004E-4</v>
      </c>
      <c r="N90">
        <f t="shared" si="13"/>
        <v>0</v>
      </c>
      <c r="O90">
        <f t="shared" si="14"/>
        <v>0</v>
      </c>
      <c r="P90">
        <v>22.5307</v>
      </c>
    </row>
    <row r="91" spans="1:16" x14ac:dyDescent="0.35">
      <c r="A91" t="s">
        <v>37</v>
      </c>
      <c r="B91" s="2">
        <v>44800</v>
      </c>
      <c r="C91" s="3">
        <v>0.85416666666666663</v>
      </c>
      <c r="D91" t="s">
        <v>46</v>
      </c>
      <c r="E91" t="s">
        <v>16</v>
      </c>
      <c r="F91" s="1" t="s">
        <v>38</v>
      </c>
      <c r="G91">
        <v>0.89900000000000002</v>
      </c>
      <c r="H91">
        <v>0.90100000000000002</v>
      </c>
      <c r="I91">
        <f t="shared" si="9"/>
        <v>2.2246941045606246E-3</v>
      </c>
      <c r="J91">
        <f t="shared" si="10"/>
        <v>6.4570880049253753E-8</v>
      </c>
      <c r="K91">
        <f t="shared" si="11"/>
        <v>6.4570880049253751E-2</v>
      </c>
      <c r="L91">
        <v>899.4706625</v>
      </c>
      <c r="M91">
        <f t="shared" si="12"/>
        <v>8.9947066250000004E-4</v>
      </c>
      <c r="N91">
        <f t="shared" si="13"/>
        <v>5.8079612256110308E-11</v>
      </c>
      <c r="O91">
        <f t="shared" si="14"/>
        <v>2.0908660412199712E-4</v>
      </c>
      <c r="P91">
        <v>22.331499999999998</v>
      </c>
    </row>
    <row r="92" spans="1:16" x14ac:dyDescent="0.35">
      <c r="A92" t="s">
        <v>37</v>
      </c>
      <c r="B92" s="2">
        <v>44800</v>
      </c>
      <c r="C92" s="3">
        <v>0.875</v>
      </c>
      <c r="D92" t="s">
        <v>46</v>
      </c>
      <c r="E92" t="s">
        <v>16</v>
      </c>
      <c r="F92" s="1" t="s">
        <v>38</v>
      </c>
      <c r="G92">
        <v>0.89800000000000002</v>
      </c>
      <c r="H92">
        <v>0.90100000000000002</v>
      </c>
      <c r="I92">
        <f t="shared" si="9"/>
        <v>3.3407572383073528E-3</v>
      </c>
      <c r="J92">
        <f t="shared" si="10"/>
        <v>1.0651237178139777E-7</v>
      </c>
      <c r="K92">
        <f t="shared" si="11"/>
        <v>0.10651237178139777</v>
      </c>
      <c r="L92">
        <v>899.4706625</v>
      </c>
      <c r="M92">
        <f t="shared" si="12"/>
        <v>8.9947066250000004E-4</v>
      </c>
      <c r="N92">
        <f t="shared" si="13"/>
        <v>9.580475361066016E-11</v>
      </c>
      <c r="O92">
        <f t="shared" si="14"/>
        <v>3.4489711299837659E-4</v>
      </c>
      <c r="P92">
        <v>22.132000000000001</v>
      </c>
    </row>
    <row r="93" spans="1:16" x14ac:dyDescent="0.35">
      <c r="A93" t="s">
        <v>37</v>
      </c>
      <c r="B93" s="2">
        <v>44800</v>
      </c>
      <c r="C93" s="3">
        <v>0.89583333333333337</v>
      </c>
      <c r="D93" t="s">
        <v>46</v>
      </c>
      <c r="E93" t="s">
        <v>16</v>
      </c>
      <c r="F93" s="1" t="s">
        <v>38</v>
      </c>
      <c r="G93">
        <v>0.89700000000000002</v>
      </c>
      <c r="H93">
        <v>0.90100000000000002</v>
      </c>
      <c r="I93">
        <f t="shared" si="9"/>
        <v>4.4593088071348983E-3</v>
      </c>
      <c r="J93">
        <f t="shared" si="10"/>
        <v>1.5198310516492499E-7</v>
      </c>
      <c r="K93">
        <f t="shared" si="11"/>
        <v>0.151983105164925</v>
      </c>
      <c r="L93">
        <v>899.4706625</v>
      </c>
      <c r="M93">
        <f t="shared" si="12"/>
        <v>8.9947066250000004E-4</v>
      </c>
      <c r="N93">
        <f t="shared" si="13"/>
        <v>1.3670434429150225E-10</v>
      </c>
      <c r="O93">
        <f t="shared" si="14"/>
        <v>4.9213563944940802E-4</v>
      </c>
      <c r="P93">
        <v>21.936800000000002</v>
      </c>
    </row>
    <row r="94" spans="1:16" x14ac:dyDescent="0.35">
      <c r="A94" t="s">
        <v>37</v>
      </c>
      <c r="B94" s="2">
        <v>44800</v>
      </c>
      <c r="C94" s="3">
        <v>0.91666666666666663</v>
      </c>
      <c r="D94" t="s">
        <v>46</v>
      </c>
      <c r="E94" t="s">
        <v>16</v>
      </c>
      <c r="F94" s="1" t="s">
        <v>38</v>
      </c>
      <c r="G94">
        <v>0.89600000000000002</v>
      </c>
      <c r="H94">
        <v>0.90100000000000002</v>
      </c>
      <c r="I94">
        <f t="shared" si="9"/>
        <v>5.5803571428571473E-3</v>
      </c>
      <c r="J94">
        <f t="shared" si="10"/>
        <v>2.0030319506208591E-7</v>
      </c>
      <c r="K94">
        <f t="shared" si="11"/>
        <v>0.20030319506208591</v>
      </c>
      <c r="L94">
        <v>899.4706625</v>
      </c>
      <c r="M94">
        <f t="shared" si="12"/>
        <v>8.9947066250000004E-4</v>
      </c>
      <c r="N94">
        <f t="shared" si="13"/>
        <v>1.8016684756336116E-10</v>
      </c>
      <c r="O94">
        <f t="shared" si="14"/>
        <v>6.4860065122810024E-4</v>
      </c>
      <c r="P94">
        <v>21.610299999999999</v>
      </c>
    </row>
    <row r="95" spans="1:16" x14ac:dyDescent="0.35">
      <c r="A95" t="s">
        <v>37</v>
      </c>
      <c r="B95" s="2">
        <v>44800</v>
      </c>
      <c r="C95" s="3">
        <v>0.9375</v>
      </c>
      <c r="D95" t="s">
        <v>46</v>
      </c>
      <c r="E95" t="s">
        <v>16</v>
      </c>
      <c r="F95" s="1" t="s">
        <v>38</v>
      </c>
      <c r="G95">
        <v>0.89500000000000002</v>
      </c>
      <c r="H95">
        <v>0.90100000000000002</v>
      </c>
      <c r="I95">
        <f t="shared" si="9"/>
        <v>6.7039106145251456E-3</v>
      </c>
      <c r="J95">
        <f t="shared" si="10"/>
        <v>2.5104813195302351E-7</v>
      </c>
      <c r="K95">
        <f t="shared" si="11"/>
        <v>0.2510481319530235</v>
      </c>
      <c r="L95">
        <v>899.4706625</v>
      </c>
      <c r="M95">
        <f t="shared" si="12"/>
        <v>8.9947066250000004E-4</v>
      </c>
      <c r="N95">
        <f t="shared" si="13"/>
        <v>2.258104295671735E-10</v>
      </c>
      <c r="O95">
        <f t="shared" si="14"/>
        <v>8.1291754644182465E-4</v>
      </c>
      <c r="P95">
        <v>21.201899999999998</v>
      </c>
    </row>
    <row r="96" spans="1:16" x14ac:dyDescent="0.35">
      <c r="A96" t="s">
        <v>37</v>
      </c>
      <c r="B96" s="2">
        <v>44800</v>
      </c>
      <c r="C96" s="3">
        <v>0.95833333333333337</v>
      </c>
      <c r="D96" t="s">
        <v>46</v>
      </c>
      <c r="E96" t="s">
        <v>16</v>
      </c>
      <c r="F96" s="1" t="s">
        <v>38</v>
      </c>
      <c r="G96">
        <v>0.89600000000000002</v>
      </c>
      <c r="H96">
        <v>0.90100000000000002</v>
      </c>
      <c r="I96">
        <f t="shared" si="9"/>
        <v>5.5803571428571473E-3</v>
      </c>
      <c r="J96">
        <f t="shared" si="10"/>
        <v>2.0030319506208591E-7</v>
      </c>
      <c r="K96">
        <f t="shared" si="11"/>
        <v>0.20030319506208591</v>
      </c>
      <c r="L96">
        <v>899.4706625</v>
      </c>
      <c r="M96">
        <f t="shared" si="12"/>
        <v>8.9947066250000004E-4</v>
      </c>
      <c r="N96">
        <f t="shared" si="13"/>
        <v>1.8016684756336116E-10</v>
      </c>
      <c r="O96">
        <f t="shared" si="14"/>
        <v>6.4860065122810024E-4</v>
      </c>
      <c r="P96">
        <v>20.816600000000001</v>
      </c>
    </row>
    <row r="97" spans="1:16" x14ac:dyDescent="0.35">
      <c r="A97" t="s">
        <v>37</v>
      </c>
      <c r="B97" s="2">
        <v>44800</v>
      </c>
      <c r="C97" s="3">
        <v>0.97916666666666663</v>
      </c>
      <c r="D97" t="s">
        <v>46</v>
      </c>
      <c r="E97" t="s">
        <v>16</v>
      </c>
      <c r="F97" s="1" t="s">
        <v>38</v>
      </c>
      <c r="G97">
        <v>0.89600000000000002</v>
      </c>
      <c r="H97">
        <v>0.90100000000000002</v>
      </c>
      <c r="I97">
        <f t="shared" si="9"/>
        <v>5.5803571428571473E-3</v>
      </c>
      <c r="J97">
        <f t="shared" si="10"/>
        <v>2.0030319506208591E-7</v>
      </c>
      <c r="K97">
        <f t="shared" si="11"/>
        <v>0.20030319506208591</v>
      </c>
      <c r="L97">
        <v>899.4706625</v>
      </c>
      <c r="M97">
        <f t="shared" si="12"/>
        <v>8.9947066250000004E-4</v>
      </c>
      <c r="N97">
        <f t="shared" si="13"/>
        <v>1.8016684756336116E-10</v>
      </c>
      <c r="O97">
        <f t="shared" si="14"/>
        <v>6.4860065122810024E-4</v>
      </c>
      <c r="P97">
        <v>20.130299999999998</v>
      </c>
    </row>
    <row r="98" spans="1:16" x14ac:dyDescent="0.35">
      <c r="A98" t="s">
        <v>37</v>
      </c>
      <c r="B98" s="1">
        <v>44800</v>
      </c>
      <c r="C98" s="3">
        <v>0</v>
      </c>
      <c r="D98" t="s">
        <v>39</v>
      </c>
      <c r="E98" t="s">
        <v>17</v>
      </c>
      <c r="F98" s="1" t="s">
        <v>38</v>
      </c>
      <c r="G98">
        <v>0.69</v>
      </c>
      <c r="H98">
        <f>MAX(G98:G145)</f>
        <v>0.71199999999999997</v>
      </c>
      <c r="I98">
        <f t="shared" si="9"/>
        <v>3.1884057971014526E-2</v>
      </c>
      <c r="J98">
        <f t="shared" si="10"/>
        <v>1.7117725225701494E-6</v>
      </c>
      <c r="K98">
        <f t="shared" si="11"/>
        <v>1.7117725225701494</v>
      </c>
      <c r="L98">
        <v>1252.5483746250002</v>
      </c>
      <c r="M98">
        <f t="shared" si="12"/>
        <v>1.2525483746250001E-3</v>
      </c>
      <c r="N98">
        <f t="shared" si="13"/>
        <v>2.1440778908729769E-9</v>
      </c>
      <c r="O98">
        <f t="shared" si="14"/>
        <v>7.7186804071427166E-3</v>
      </c>
      <c r="P98">
        <v>20.112200000000001</v>
      </c>
    </row>
    <row r="99" spans="1:16" x14ac:dyDescent="0.35">
      <c r="A99" t="s">
        <v>37</v>
      </c>
      <c r="B99" s="2">
        <v>44800</v>
      </c>
      <c r="C99" s="3">
        <v>2.0833333333333332E-2</v>
      </c>
      <c r="D99" t="s">
        <v>39</v>
      </c>
      <c r="E99" t="s">
        <v>17</v>
      </c>
      <c r="F99" s="1" t="s">
        <v>38</v>
      </c>
      <c r="G99">
        <v>0.69</v>
      </c>
      <c r="H99">
        <v>0.71199999999999997</v>
      </c>
      <c r="I99">
        <f t="shared" si="9"/>
        <v>3.1884057971014526E-2</v>
      </c>
      <c r="J99">
        <f t="shared" si="10"/>
        <v>1.7117725225701494E-6</v>
      </c>
      <c r="K99">
        <f t="shared" si="11"/>
        <v>1.7117725225701494</v>
      </c>
      <c r="L99">
        <v>1252.5483746250002</v>
      </c>
      <c r="M99">
        <f t="shared" si="12"/>
        <v>1.2525483746250001E-3</v>
      </c>
      <c r="N99">
        <f t="shared" si="13"/>
        <v>2.1440778908729769E-9</v>
      </c>
      <c r="O99">
        <f t="shared" si="14"/>
        <v>7.7186804071427166E-3</v>
      </c>
      <c r="P99">
        <v>19.898800000000001</v>
      </c>
    </row>
    <row r="100" spans="1:16" x14ac:dyDescent="0.35">
      <c r="A100" t="s">
        <v>37</v>
      </c>
      <c r="B100" s="2">
        <v>44800</v>
      </c>
      <c r="C100" s="3">
        <v>4.1666666666666664E-2</v>
      </c>
      <c r="D100" t="s">
        <v>39</v>
      </c>
      <c r="E100" t="s">
        <v>17</v>
      </c>
      <c r="F100" s="1" t="s">
        <v>38</v>
      </c>
      <c r="G100">
        <v>0.69099999999999995</v>
      </c>
      <c r="H100">
        <v>0.71199999999999997</v>
      </c>
      <c r="I100">
        <f t="shared" si="9"/>
        <v>3.0390738060781505E-2</v>
      </c>
      <c r="J100">
        <f t="shared" si="10"/>
        <v>1.6136206271569273E-6</v>
      </c>
      <c r="K100">
        <f t="shared" si="11"/>
        <v>1.6136206271569273</v>
      </c>
      <c r="L100">
        <v>1252.5483746250002</v>
      </c>
      <c r="M100">
        <f t="shared" si="12"/>
        <v>1.2525483746250001E-3</v>
      </c>
      <c r="N100">
        <f t="shared" si="13"/>
        <v>2.0211378938067826E-9</v>
      </c>
      <c r="O100">
        <f t="shared" si="14"/>
        <v>7.2760964177044172E-3</v>
      </c>
      <c r="P100">
        <v>19.249500000000001</v>
      </c>
    </row>
    <row r="101" spans="1:16" x14ac:dyDescent="0.35">
      <c r="A101" t="s">
        <v>37</v>
      </c>
      <c r="B101" s="2">
        <v>44800</v>
      </c>
      <c r="C101" s="3">
        <v>6.25E-2</v>
      </c>
      <c r="D101" t="s">
        <v>39</v>
      </c>
      <c r="E101" t="s">
        <v>17</v>
      </c>
      <c r="F101" s="1" t="s">
        <v>38</v>
      </c>
      <c r="G101">
        <v>0.69199999999999995</v>
      </c>
      <c r="H101">
        <v>0.71199999999999997</v>
      </c>
      <c r="I101">
        <f t="shared" si="9"/>
        <v>2.890173410404627E-2</v>
      </c>
      <c r="J101">
        <f t="shared" si="10"/>
        <v>1.5168557555174441E-6</v>
      </c>
      <c r="K101">
        <f t="shared" si="11"/>
        <v>1.516855755517444</v>
      </c>
      <c r="L101">
        <v>1252.5483746250002</v>
      </c>
      <c r="M101">
        <f t="shared" si="12"/>
        <v>1.2525483746250001E-3</v>
      </c>
      <c r="N101">
        <f t="shared" si="13"/>
        <v>1.8999352111139512E-9</v>
      </c>
      <c r="O101">
        <f t="shared" si="14"/>
        <v>6.8397667600102246E-3</v>
      </c>
      <c r="P101">
        <v>17.116900000000001</v>
      </c>
    </row>
    <row r="102" spans="1:16" x14ac:dyDescent="0.35">
      <c r="A102" t="s">
        <v>37</v>
      </c>
      <c r="B102" s="2">
        <v>44800</v>
      </c>
      <c r="C102" s="3">
        <v>8.3333333333333329E-2</v>
      </c>
      <c r="D102" t="s">
        <v>39</v>
      </c>
      <c r="E102" t="s">
        <v>17</v>
      </c>
      <c r="F102" s="1" t="s">
        <v>38</v>
      </c>
      <c r="G102">
        <v>0.69099999999999995</v>
      </c>
      <c r="H102">
        <v>0.71199999999999997</v>
      </c>
      <c r="I102">
        <f t="shared" si="9"/>
        <v>3.0390738060781505E-2</v>
      </c>
      <c r="J102">
        <f t="shared" si="10"/>
        <v>1.6136206271569273E-6</v>
      </c>
      <c r="K102">
        <f t="shared" si="11"/>
        <v>1.6136206271569273</v>
      </c>
      <c r="L102">
        <v>1252.5483746250002</v>
      </c>
      <c r="M102">
        <f t="shared" si="12"/>
        <v>1.2525483746250001E-3</v>
      </c>
      <c r="N102">
        <f t="shared" si="13"/>
        <v>2.0211378938067826E-9</v>
      </c>
      <c r="O102">
        <f t="shared" si="14"/>
        <v>7.2760964177044172E-3</v>
      </c>
      <c r="P102">
        <v>16.752199999999998</v>
      </c>
    </row>
    <row r="103" spans="1:16" x14ac:dyDescent="0.35">
      <c r="A103" t="s">
        <v>37</v>
      </c>
      <c r="B103" s="2">
        <v>44800</v>
      </c>
      <c r="C103" s="3">
        <v>0.10416666666666667</v>
      </c>
      <c r="D103" t="s">
        <v>39</v>
      </c>
      <c r="E103" t="s">
        <v>17</v>
      </c>
      <c r="F103" s="1" t="s">
        <v>38</v>
      </c>
      <c r="G103">
        <v>0.69099999999999995</v>
      </c>
      <c r="H103">
        <v>0.71199999999999997</v>
      </c>
      <c r="I103">
        <f t="shared" si="9"/>
        <v>3.0390738060781505E-2</v>
      </c>
      <c r="J103">
        <f t="shared" si="10"/>
        <v>1.6136206271569273E-6</v>
      </c>
      <c r="K103">
        <f t="shared" si="11"/>
        <v>1.6136206271569273</v>
      </c>
      <c r="L103">
        <v>1252.5483746250002</v>
      </c>
      <c r="M103">
        <f t="shared" si="12"/>
        <v>1.2525483746250001E-3</v>
      </c>
      <c r="N103">
        <f t="shared" si="13"/>
        <v>2.0211378938067826E-9</v>
      </c>
      <c r="O103">
        <f t="shared" si="14"/>
        <v>7.2760964177044172E-3</v>
      </c>
      <c r="P103">
        <v>16.4085</v>
      </c>
    </row>
    <row r="104" spans="1:16" x14ac:dyDescent="0.35">
      <c r="A104" t="s">
        <v>37</v>
      </c>
      <c r="B104" s="2">
        <v>44800</v>
      </c>
      <c r="C104" s="3">
        <v>0.125</v>
      </c>
      <c r="D104" t="s">
        <v>39</v>
      </c>
      <c r="E104" t="s">
        <v>17</v>
      </c>
      <c r="F104" s="1" t="s">
        <v>38</v>
      </c>
      <c r="G104">
        <v>0.69199999999999995</v>
      </c>
      <c r="H104">
        <v>0.71199999999999997</v>
      </c>
      <c r="I104">
        <f t="shared" si="9"/>
        <v>2.890173410404627E-2</v>
      </c>
      <c r="J104">
        <f t="shared" si="10"/>
        <v>1.5168557555174441E-6</v>
      </c>
      <c r="K104">
        <f t="shared" si="11"/>
        <v>1.516855755517444</v>
      </c>
      <c r="L104">
        <v>1252.5483746250002</v>
      </c>
      <c r="M104">
        <f t="shared" si="12"/>
        <v>1.2525483746250001E-3</v>
      </c>
      <c r="N104">
        <f t="shared" si="13"/>
        <v>1.8999352111139512E-9</v>
      </c>
      <c r="O104">
        <f t="shared" si="14"/>
        <v>6.8397667600102246E-3</v>
      </c>
      <c r="P104">
        <v>17.264900000000001</v>
      </c>
    </row>
    <row r="105" spans="1:16" x14ac:dyDescent="0.35">
      <c r="A105" t="s">
        <v>37</v>
      </c>
      <c r="B105" s="2">
        <v>44800</v>
      </c>
      <c r="C105" s="3">
        <v>0.14583333333333334</v>
      </c>
      <c r="D105" t="s">
        <v>39</v>
      </c>
      <c r="E105" t="s">
        <v>17</v>
      </c>
      <c r="F105" s="1" t="s">
        <v>38</v>
      </c>
      <c r="G105">
        <v>0.69299999999999995</v>
      </c>
      <c r="H105">
        <v>0.71199999999999997</v>
      </c>
      <c r="I105">
        <f t="shared" ref="I105:I168" si="15">(H105-G105)/G105</f>
        <v>2.7417027417027444E-2</v>
      </c>
      <c r="J105">
        <f t="shared" ref="J105:J168" si="16">119*10^-6*(I105^1.231)</f>
        <v>1.4215103703831553E-6</v>
      </c>
      <c r="K105">
        <f t="shared" si="11"/>
        <v>1.4215103703831553</v>
      </c>
      <c r="L105">
        <v>1252.5483746250002</v>
      </c>
      <c r="M105">
        <f t="shared" si="12"/>
        <v>1.2525483746250001E-3</v>
      </c>
      <c r="N105">
        <f t="shared" si="13"/>
        <v>1.7805105039360031E-9</v>
      </c>
      <c r="O105">
        <f t="shared" si="14"/>
        <v>6.4098378141696118E-3</v>
      </c>
      <c r="P105">
        <v>15.769</v>
      </c>
    </row>
    <row r="106" spans="1:16" x14ac:dyDescent="0.35">
      <c r="A106" t="s">
        <v>37</v>
      </c>
      <c r="B106" s="2">
        <v>44800</v>
      </c>
      <c r="C106" s="3">
        <v>0.16666666666666666</v>
      </c>
      <c r="D106" t="s">
        <v>39</v>
      </c>
      <c r="E106" t="s">
        <v>17</v>
      </c>
      <c r="F106" s="1" t="s">
        <v>38</v>
      </c>
      <c r="G106">
        <v>0.69399999999999995</v>
      </c>
      <c r="H106">
        <v>0.71199999999999997</v>
      </c>
      <c r="I106">
        <f t="shared" si="15"/>
        <v>2.5936599423631149E-2</v>
      </c>
      <c r="J106">
        <f t="shared" si="16"/>
        <v>1.3276203693028785E-6</v>
      </c>
      <c r="K106">
        <f t="shared" ref="K106:K169" si="17">J106*10^6</f>
        <v>1.3276203693028785</v>
      </c>
      <c r="L106">
        <v>1252.5483746250002</v>
      </c>
      <c r="M106">
        <f t="shared" si="12"/>
        <v>1.2525483746250001E-3</v>
      </c>
      <c r="N106">
        <f t="shared" si="13"/>
        <v>1.6629087356893629E-9</v>
      </c>
      <c r="O106">
        <f t="shared" si="14"/>
        <v>5.9864714484817059E-3</v>
      </c>
      <c r="P106">
        <v>16.060199999999998</v>
      </c>
    </row>
    <row r="107" spans="1:16" x14ac:dyDescent="0.35">
      <c r="A107" t="s">
        <v>37</v>
      </c>
      <c r="B107" s="2">
        <v>44800</v>
      </c>
      <c r="C107" s="3">
        <v>0.1875</v>
      </c>
      <c r="D107" t="s">
        <v>39</v>
      </c>
      <c r="E107" t="s">
        <v>17</v>
      </c>
      <c r="F107" s="1" t="s">
        <v>38</v>
      </c>
      <c r="G107">
        <v>0.69399999999999995</v>
      </c>
      <c r="H107">
        <v>0.71199999999999997</v>
      </c>
      <c r="I107">
        <f t="shared" si="15"/>
        <v>2.5936599423631149E-2</v>
      </c>
      <c r="J107">
        <f t="shared" si="16"/>
        <v>1.3276203693028785E-6</v>
      </c>
      <c r="K107">
        <f t="shared" si="17"/>
        <v>1.3276203693028785</v>
      </c>
      <c r="L107">
        <v>1252.5483746250002</v>
      </c>
      <c r="M107">
        <f t="shared" si="12"/>
        <v>1.2525483746250001E-3</v>
      </c>
      <c r="N107">
        <f t="shared" si="13"/>
        <v>1.6629087356893629E-9</v>
      </c>
      <c r="O107">
        <f t="shared" si="14"/>
        <v>5.9864714484817059E-3</v>
      </c>
      <c r="P107">
        <v>15.727600000000001</v>
      </c>
    </row>
    <row r="108" spans="1:16" x14ac:dyDescent="0.35">
      <c r="A108" t="s">
        <v>37</v>
      </c>
      <c r="B108" s="2">
        <v>44800</v>
      </c>
      <c r="C108" s="3">
        <v>0.20833333333333334</v>
      </c>
      <c r="D108" t="s">
        <v>39</v>
      </c>
      <c r="E108" t="s">
        <v>17</v>
      </c>
      <c r="F108" s="1" t="s">
        <v>38</v>
      </c>
      <c r="G108">
        <v>0.69599999999999995</v>
      </c>
      <c r="H108">
        <v>0.71199999999999997</v>
      </c>
      <c r="I108">
        <f t="shared" si="15"/>
        <v>2.2988505747126457E-2</v>
      </c>
      <c r="J108">
        <f t="shared" si="16"/>
        <v>1.1443705848614467E-6</v>
      </c>
      <c r="K108">
        <f t="shared" si="17"/>
        <v>1.1443705848614467</v>
      </c>
      <c r="L108">
        <v>1252.5483746250002</v>
      </c>
      <c r="M108">
        <f t="shared" si="12"/>
        <v>1.2525483746250001E-3</v>
      </c>
      <c r="N108">
        <f t="shared" si="13"/>
        <v>1.4333795160368658E-9</v>
      </c>
      <c r="O108">
        <f t="shared" si="14"/>
        <v>5.160166257732717E-3</v>
      </c>
      <c r="P108">
        <v>15.0184</v>
      </c>
    </row>
    <row r="109" spans="1:16" x14ac:dyDescent="0.35">
      <c r="A109" t="s">
        <v>37</v>
      </c>
      <c r="B109" s="2">
        <v>44800</v>
      </c>
      <c r="C109" s="3">
        <v>0.22916666666666666</v>
      </c>
      <c r="D109" t="s">
        <v>39</v>
      </c>
      <c r="E109" t="s">
        <v>17</v>
      </c>
      <c r="F109" s="1" t="s">
        <v>38</v>
      </c>
      <c r="G109">
        <v>0.69599999999999995</v>
      </c>
      <c r="H109">
        <v>0.71199999999999997</v>
      </c>
      <c r="I109">
        <f t="shared" si="15"/>
        <v>2.2988505747126457E-2</v>
      </c>
      <c r="J109">
        <f t="shared" si="16"/>
        <v>1.1443705848614467E-6</v>
      </c>
      <c r="K109">
        <f t="shared" si="17"/>
        <v>1.1443705848614467</v>
      </c>
      <c r="L109">
        <v>1252.5483746250002</v>
      </c>
      <c r="M109">
        <f t="shared" si="12"/>
        <v>1.2525483746250001E-3</v>
      </c>
      <c r="N109">
        <f t="shared" si="13"/>
        <v>1.4333795160368658E-9</v>
      </c>
      <c r="O109">
        <f t="shared" si="14"/>
        <v>5.160166257732717E-3</v>
      </c>
      <c r="P109">
        <v>14.711399999999999</v>
      </c>
    </row>
    <row r="110" spans="1:16" x14ac:dyDescent="0.35">
      <c r="A110" t="s">
        <v>37</v>
      </c>
      <c r="B110" s="2">
        <v>44800</v>
      </c>
      <c r="C110" s="3">
        <v>0.25</v>
      </c>
      <c r="D110" t="s">
        <v>39</v>
      </c>
      <c r="E110" t="s">
        <v>17</v>
      </c>
      <c r="F110" s="1" t="s">
        <v>38</v>
      </c>
      <c r="G110">
        <v>0.69499999999999995</v>
      </c>
      <c r="H110">
        <v>0.71199999999999997</v>
      </c>
      <c r="I110">
        <f t="shared" si="15"/>
        <v>2.4460431654676283E-2</v>
      </c>
      <c r="J110">
        <f t="shared" si="16"/>
        <v>1.2352256151837207E-6</v>
      </c>
      <c r="K110">
        <f t="shared" si="17"/>
        <v>1.2352256151837206</v>
      </c>
      <c r="L110">
        <v>1252.5483746250002</v>
      </c>
      <c r="M110">
        <f t="shared" si="12"/>
        <v>1.2525483746250001E-3</v>
      </c>
      <c r="N110">
        <f t="shared" si="13"/>
        <v>1.5471798365935351E-9</v>
      </c>
      <c r="O110">
        <f t="shared" si="14"/>
        <v>5.5698474117367265E-3</v>
      </c>
      <c r="P110">
        <v>15.889900000000001</v>
      </c>
    </row>
    <row r="111" spans="1:16" x14ac:dyDescent="0.35">
      <c r="A111" t="s">
        <v>37</v>
      </c>
      <c r="B111" s="2">
        <v>44800</v>
      </c>
      <c r="C111" s="3">
        <v>0.27083333333333331</v>
      </c>
      <c r="D111" t="s">
        <v>39</v>
      </c>
      <c r="E111" t="s">
        <v>17</v>
      </c>
      <c r="F111" s="1" t="s">
        <v>38</v>
      </c>
      <c r="G111">
        <v>0.69599999999999995</v>
      </c>
      <c r="H111">
        <v>0.71199999999999997</v>
      </c>
      <c r="I111">
        <f t="shared" si="15"/>
        <v>2.2988505747126457E-2</v>
      </c>
      <c r="J111">
        <f t="shared" si="16"/>
        <v>1.1443705848614467E-6</v>
      </c>
      <c r="K111">
        <f t="shared" si="17"/>
        <v>1.1443705848614467</v>
      </c>
      <c r="L111">
        <v>1252.5483746250002</v>
      </c>
      <c r="M111">
        <f t="shared" si="12"/>
        <v>1.2525483746250001E-3</v>
      </c>
      <c r="N111">
        <f t="shared" si="13"/>
        <v>1.4333795160368658E-9</v>
      </c>
      <c r="O111">
        <f t="shared" si="14"/>
        <v>5.160166257732717E-3</v>
      </c>
      <c r="P111">
        <v>16.3066</v>
      </c>
    </row>
    <row r="112" spans="1:16" x14ac:dyDescent="0.35">
      <c r="A112" t="s">
        <v>37</v>
      </c>
      <c r="B112" s="2">
        <v>44800</v>
      </c>
      <c r="C112" s="3">
        <v>0.29166666666666669</v>
      </c>
      <c r="D112" t="s">
        <v>39</v>
      </c>
      <c r="E112" t="s">
        <v>17</v>
      </c>
      <c r="F112" s="1" t="s">
        <v>38</v>
      </c>
      <c r="G112">
        <v>0.69499999999999995</v>
      </c>
      <c r="H112">
        <v>0.71199999999999997</v>
      </c>
      <c r="I112">
        <f t="shared" si="15"/>
        <v>2.4460431654676283E-2</v>
      </c>
      <c r="J112">
        <f t="shared" si="16"/>
        <v>1.2352256151837207E-6</v>
      </c>
      <c r="K112">
        <f t="shared" si="17"/>
        <v>1.2352256151837206</v>
      </c>
      <c r="L112">
        <v>1252.5483746250002</v>
      </c>
      <c r="M112">
        <f t="shared" si="12"/>
        <v>1.2525483746250001E-3</v>
      </c>
      <c r="N112">
        <f t="shared" si="13"/>
        <v>1.5471798365935351E-9</v>
      </c>
      <c r="O112">
        <f t="shared" si="14"/>
        <v>5.5698474117367265E-3</v>
      </c>
      <c r="P112">
        <v>17.531300000000002</v>
      </c>
    </row>
    <row r="113" spans="1:16" x14ac:dyDescent="0.35">
      <c r="A113" t="s">
        <v>37</v>
      </c>
      <c r="B113" s="2">
        <v>44800</v>
      </c>
      <c r="C113" s="3">
        <v>0.3125</v>
      </c>
      <c r="D113" t="s">
        <v>39</v>
      </c>
      <c r="E113" t="s">
        <v>17</v>
      </c>
      <c r="F113" s="1" t="s">
        <v>38</v>
      </c>
      <c r="G113">
        <v>0.69199999999999995</v>
      </c>
      <c r="H113">
        <v>0.71199999999999997</v>
      </c>
      <c r="I113">
        <f t="shared" si="15"/>
        <v>2.890173410404627E-2</v>
      </c>
      <c r="J113">
        <f t="shared" si="16"/>
        <v>1.5168557555174441E-6</v>
      </c>
      <c r="K113">
        <f t="shared" si="17"/>
        <v>1.516855755517444</v>
      </c>
      <c r="L113">
        <v>1252.5483746250002</v>
      </c>
      <c r="M113">
        <f t="shared" si="12"/>
        <v>1.2525483746250001E-3</v>
      </c>
      <c r="N113">
        <f t="shared" si="13"/>
        <v>1.8999352111139512E-9</v>
      </c>
      <c r="O113">
        <f t="shared" si="14"/>
        <v>6.8397667600102246E-3</v>
      </c>
      <c r="P113">
        <v>18.497699999999998</v>
      </c>
    </row>
    <row r="114" spans="1:16" x14ac:dyDescent="0.35">
      <c r="A114" t="s">
        <v>37</v>
      </c>
      <c r="B114" s="2">
        <v>44800</v>
      </c>
      <c r="C114" s="3">
        <v>0.33333333333333331</v>
      </c>
      <c r="D114" t="s">
        <v>39</v>
      </c>
      <c r="E114" t="s">
        <v>17</v>
      </c>
      <c r="F114" s="1" t="s">
        <v>38</v>
      </c>
      <c r="G114">
        <v>0.67700000000000005</v>
      </c>
      <c r="H114">
        <v>0.71199999999999997</v>
      </c>
      <c r="I114">
        <f t="shared" si="15"/>
        <v>5.1698670605612874E-2</v>
      </c>
      <c r="J114">
        <f t="shared" si="16"/>
        <v>3.1034165572502746E-6</v>
      </c>
      <c r="K114">
        <f t="shared" si="17"/>
        <v>3.1034165572502745</v>
      </c>
      <c r="L114">
        <v>1252.5483746250002</v>
      </c>
      <c r="M114">
        <f t="shared" si="12"/>
        <v>1.2525483746250001E-3</v>
      </c>
      <c r="N114">
        <f t="shared" si="13"/>
        <v>3.8871793645681449E-9</v>
      </c>
      <c r="O114">
        <f t="shared" si="14"/>
        <v>1.3993845712445321E-2</v>
      </c>
      <c r="P114">
        <v>20.640699999999999</v>
      </c>
    </row>
    <row r="115" spans="1:16" x14ac:dyDescent="0.35">
      <c r="A115" t="s">
        <v>37</v>
      </c>
      <c r="B115" s="2">
        <v>44800</v>
      </c>
      <c r="C115" s="3">
        <v>0.35416666666666669</v>
      </c>
      <c r="D115" t="s">
        <v>39</v>
      </c>
      <c r="E115" t="s">
        <v>17</v>
      </c>
      <c r="F115" s="1" t="s">
        <v>38</v>
      </c>
      <c r="G115">
        <v>0.63300000000000001</v>
      </c>
      <c r="H115">
        <v>0.71199999999999997</v>
      </c>
      <c r="I115">
        <f t="shared" si="15"/>
        <v>0.12480252764612948</v>
      </c>
      <c r="J115">
        <f t="shared" si="16"/>
        <v>9.1832824845138417E-6</v>
      </c>
      <c r="K115">
        <f t="shared" si="17"/>
        <v>9.1832824845138425</v>
      </c>
      <c r="L115">
        <v>1252.5483746250002</v>
      </c>
      <c r="M115">
        <f t="shared" si="12"/>
        <v>1.2525483746250001E-3</v>
      </c>
      <c r="N115">
        <f t="shared" si="13"/>
        <v>1.1502505549700045E-8</v>
      </c>
      <c r="O115">
        <f t="shared" si="14"/>
        <v>4.1409019978920159E-2</v>
      </c>
      <c r="P115">
        <v>21.7852</v>
      </c>
    </row>
    <row r="116" spans="1:16" x14ac:dyDescent="0.35">
      <c r="A116" t="s">
        <v>37</v>
      </c>
      <c r="B116" s="2">
        <v>44800</v>
      </c>
      <c r="C116" s="3">
        <v>0.375</v>
      </c>
      <c r="D116" t="s">
        <v>39</v>
      </c>
      <c r="E116" t="s">
        <v>17</v>
      </c>
      <c r="F116" s="1" t="s">
        <v>38</v>
      </c>
      <c r="G116">
        <v>0.55700000000000005</v>
      </c>
      <c r="H116">
        <v>0.71199999999999997</v>
      </c>
      <c r="I116">
        <f t="shared" si="15"/>
        <v>0.27827648114901238</v>
      </c>
      <c r="J116">
        <f t="shared" si="16"/>
        <v>2.4643224675885302E-5</v>
      </c>
      <c r="K116">
        <f t="shared" si="17"/>
        <v>24.643224675885303</v>
      </c>
      <c r="L116">
        <v>1252.5483746250002</v>
      </c>
      <c r="M116">
        <f t="shared" si="12"/>
        <v>1.2525483746250001E-3</v>
      </c>
      <c r="N116">
        <f t="shared" si="13"/>
        <v>3.0866831013298831E-8</v>
      </c>
      <c r="O116">
        <f t="shared" si="14"/>
        <v>0.11112059164787579</v>
      </c>
      <c r="P116">
        <v>23.6355</v>
      </c>
    </row>
    <row r="117" spans="1:16" x14ac:dyDescent="0.35">
      <c r="A117" t="s">
        <v>37</v>
      </c>
      <c r="B117" s="2">
        <v>44800</v>
      </c>
      <c r="C117" s="3">
        <v>0.39583333333333331</v>
      </c>
      <c r="D117" t="s">
        <v>39</v>
      </c>
      <c r="E117" t="s">
        <v>17</v>
      </c>
      <c r="F117" s="1" t="s">
        <v>38</v>
      </c>
      <c r="G117">
        <v>0.47799999999999998</v>
      </c>
      <c r="H117">
        <v>0.71199999999999997</v>
      </c>
      <c r="I117">
        <f t="shared" si="15"/>
        <v>0.4895397489539749</v>
      </c>
      <c r="J117">
        <f t="shared" si="16"/>
        <v>4.9394198321873994E-5</v>
      </c>
      <c r="K117">
        <f t="shared" si="17"/>
        <v>49.394198321873994</v>
      </c>
      <c r="L117">
        <v>1252.5483746250002</v>
      </c>
      <c r="M117">
        <f t="shared" si="12"/>
        <v>1.2525483746250001E-3</v>
      </c>
      <c r="N117">
        <f t="shared" si="13"/>
        <v>6.1868622823968176E-8</v>
      </c>
      <c r="O117">
        <f t="shared" si="14"/>
        <v>0.22272704216628544</v>
      </c>
      <c r="P117">
        <v>25.8127</v>
      </c>
    </row>
    <row r="118" spans="1:16" x14ac:dyDescent="0.35">
      <c r="A118" t="s">
        <v>37</v>
      </c>
      <c r="B118" s="2">
        <v>44800</v>
      </c>
      <c r="C118" s="3">
        <v>0.41666666666666669</v>
      </c>
      <c r="D118" t="s">
        <v>39</v>
      </c>
      <c r="E118" t="s">
        <v>17</v>
      </c>
      <c r="F118" s="1" t="s">
        <v>38</v>
      </c>
      <c r="G118">
        <v>0.42899999999999999</v>
      </c>
      <c r="H118">
        <v>0.71199999999999997</v>
      </c>
      <c r="I118">
        <f t="shared" si="15"/>
        <v>0.65967365967365965</v>
      </c>
      <c r="J118">
        <f t="shared" si="16"/>
        <v>7.1308473046030613E-5</v>
      </c>
      <c r="K118">
        <f t="shared" si="17"/>
        <v>71.308473046030613</v>
      </c>
      <c r="L118">
        <v>1252.5483746250002</v>
      </c>
      <c r="M118">
        <f t="shared" si="12"/>
        <v>1.2525483746250001E-3</v>
      </c>
      <c r="N118">
        <f t="shared" si="13"/>
        <v>8.931731201079628E-8</v>
      </c>
      <c r="O118">
        <f t="shared" si="14"/>
        <v>0.32154232323886661</v>
      </c>
      <c r="P118">
        <v>27.663900000000002</v>
      </c>
    </row>
    <row r="119" spans="1:16" x14ac:dyDescent="0.35">
      <c r="A119" t="s">
        <v>37</v>
      </c>
      <c r="B119" s="2">
        <v>44800</v>
      </c>
      <c r="C119" s="3">
        <v>0.4375</v>
      </c>
      <c r="D119" t="s">
        <v>39</v>
      </c>
      <c r="E119" t="s">
        <v>17</v>
      </c>
      <c r="F119" s="1" t="s">
        <v>38</v>
      </c>
      <c r="G119">
        <v>0.42299999999999999</v>
      </c>
      <c r="H119">
        <v>0.71199999999999997</v>
      </c>
      <c r="I119">
        <f t="shared" si="15"/>
        <v>0.68321513002364065</v>
      </c>
      <c r="J119">
        <f t="shared" si="16"/>
        <v>7.4453859189111947E-5</v>
      </c>
      <c r="K119">
        <f t="shared" si="17"/>
        <v>74.453859189111952</v>
      </c>
      <c r="L119">
        <v>1252.5483746250002</v>
      </c>
      <c r="M119">
        <f t="shared" si="12"/>
        <v>1.2525483746250001E-3</v>
      </c>
      <c r="N119">
        <f t="shared" si="13"/>
        <v>9.3257060311880792E-8</v>
      </c>
      <c r="O119">
        <f t="shared" si="14"/>
        <v>0.33572541712277088</v>
      </c>
      <c r="P119">
        <v>29.2453</v>
      </c>
    </row>
    <row r="120" spans="1:16" x14ac:dyDescent="0.35">
      <c r="A120" t="s">
        <v>37</v>
      </c>
      <c r="B120" s="2">
        <v>44800</v>
      </c>
      <c r="C120" s="3">
        <v>0.45833333333333331</v>
      </c>
      <c r="D120" t="s">
        <v>39</v>
      </c>
      <c r="E120" t="s">
        <v>17</v>
      </c>
      <c r="F120" s="1" t="s">
        <v>38</v>
      </c>
      <c r="G120">
        <v>0.433</v>
      </c>
      <c r="H120">
        <v>0.71199999999999997</v>
      </c>
      <c r="I120">
        <f t="shared" si="15"/>
        <v>0.6443418013856812</v>
      </c>
      <c r="J120">
        <f t="shared" si="16"/>
        <v>6.9273819745106064E-5</v>
      </c>
      <c r="K120">
        <f t="shared" si="17"/>
        <v>69.273819745106067</v>
      </c>
      <c r="L120">
        <v>1252.5483746250002</v>
      </c>
      <c r="M120">
        <f t="shared" si="12"/>
        <v>1.2525483746250001E-3</v>
      </c>
      <c r="N120">
        <f t="shared" si="13"/>
        <v>8.6768810325797843E-8</v>
      </c>
      <c r="O120">
        <f t="shared" si="14"/>
        <v>0.31236771717287221</v>
      </c>
      <c r="P120">
        <v>31.9986</v>
      </c>
    </row>
    <row r="121" spans="1:16" x14ac:dyDescent="0.35">
      <c r="A121" t="s">
        <v>37</v>
      </c>
      <c r="B121" s="2">
        <v>44800</v>
      </c>
      <c r="C121" s="3">
        <v>0.47916666666666669</v>
      </c>
      <c r="D121" t="s">
        <v>39</v>
      </c>
      <c r="E121" t="s">
        <v>17</v>
      </c>
      <c r="F121" s="1" t="s">
        <v>38</v>
      </c>
      <c r="G121">
        <v>0.44</v>
      </c>
      <c r="H121">
        <v>0.71199999999999997</v>
      </c>
      <c r="I121">
        <f t="shared" si="15"/>
        <v>0.61818181818181805</v>
      </c>
      <c r="J121">
        <f t="shared" si="16"/>
        <v>6.5828057149242567E-5</v>
      </c>
      <c r="K121">
        <f t="shared" si="17"/>
        <v>65.828057149242568</v>
      </c>
      <c r="L121">
        <v>1252.5483746250002</v>
      </c>
      <c r="M121">
        <f t="shared" si="12"/>
        <v>1.2525483746250001E-3</v>
      </c>
      <c r="N121">
        <f t="shared" si="13"/>
        <v>8.2452825987005398E-8</v>
      </c>
      <c r="O121">
        <f t="shared" si="14"/>
        <v>0.29683017355321945</v>
      </c>
      <c r="P121">
        <v>31.6327</v>
      </c>
    </row>
    <row r="122" spans="1:16" x14ac:dyDescent="0.35">
      <c r="A122" t="s">
        <v>37</v>
      </c>
      <c r="B122" s="2">
        <v>44800</v>
      </c>
      <c r="C122" s="3">
        <v>0.5</v>
      </c>
      <c r="D122" t="s">
        <v>39</v>
      </c>
      <c r="E122" t="s">
        <v>17</v>
      </c>
      <c r="F122" s="1" t="s">
        <v>38</v>
      </c>
      <c r="G122">
        <v>0.44400000000000001</v>
      </c>
      <c r="H122">
        <v>0.71199999999999997</v>
      </c>
      <c r="I122">
        <f t="shared" si="15"/>
        <v>0.60360360360360354</v>
      </c>
      <c r="J122">
        <f t="shared" si="16"/>
        <v>6.3922309363183348E-5</v>
      </c>
      <c r="K122">
        <f t="shared" si="17"/>
        <v>63.922309363183345</v>
      </c>
      <c r="L122">
        <v>1252.5483746250002</v>
      </c>
      <c r="M122">
        <f t="shared" si="12"/>
        <v>1.2525483746250001E-3</v>
      </c>
      <c r="N122">
        <f t="shared" si="13"/>
        <v>8.0065784695131731E-8</v>
      </c>
      <c r="O122">
        <f t="shared" si="14"/>
        <v>0.28823682490247426</v>
      </c>
      <c r="P122">
        <v>31.8827</v>
      </c>
    </row>
    <row r="123" spans="1:16" x14ac:dyDescent="0.35">
      <c r="A123" t="s">
        <v>37</v>
      </c>
      <c r="B123" s="2">
        <v>44800</v>
      </c>
      <c r="C123" s="3">
        <v>0.52083333333333337</v>
      </c>
      <c r="D123" t="s">
        <v>39</v>
      </c>
      <c r="E123" t="s">
        <v>17</v>
      </c>
      <c r="F123" s="1" t="s">
        <v>38</v>
      </c>
      <c r="G123">
        <v>0.44400000000000001</v>
      </c>
      <c r="H123">
        <v>0.71199999999999997</v>
      </c>
      <c r="I123">
        <f t="shared" si="15"/>
        <v>0.60360360360360354</v>
      </c>
      <c r="J123">
        <f t="shared" si="16"/>
        <v>6.3922309363183348E-5</v>
      </c>
      <c r="K123">
        <f t="shared" si="17"/>
        <v>63.922309363183345</v>
      </c>
      <c r="L123">
        <v>1252.5483746250002</v>
      </c>
      <c r="M123">
        <f t="shared" si="12"/>
        <v>1.2525483746250001E-3</v>
      </c>
      <c r="N123">
        <f t="shared" si="13"/>
        <v>8.0065784695131731E-8</v>
      </c>
      <c r="O123">
        <f t="shared" si="14"/>
        <v>0.28823682490247426</v>
      </c>
      <c r="P123">
        <v>32.619799999999998</v>
      </c>
    </row>
    <row r="124" spans="1:16" x14ac:dyDescent="0.35">
      <c r="A124" t="s">
        <v>37</v>
      </c>
      <c r="B124" s="2">
        <v>44800</v>
      </c>
      <c r="C124" s="3">
        <v>0.54166666666666663</v>
      </c>
      <c r="D124" t="s">
        <v>39</v>
      </c>
      <c r="E124" t="s">
        <v>17</v>
      </c>
      <c r="F124" s="1" t="s">
        <v>38</v>
      </c>
      <c r="G124">
        <v>0.45400000000000001</v>
      </c>
      <c r="H124">
        <v>0.71199999999999997</v>
      </c>
      <c r="I124">
        <f t="shared" si="15"/>
        <v>0.56828193832599105</v>
      </c>
      <c r="J124">
        <f t="shared" si="16"/>
        <v>5.9349226692667259E-5</v>
      </c>
      <c r="K124">
        <f t="shared" si="17"/>
        <v>59.349226692667258</v>
      </c>
      <c r="L124">
        <v>1252.5483746250002</v>
      </c>
      <c r="M124">
        <f t="shared" si="12"/>
        <v>1.2525483746250001E-3</v>
      </c>
      <c r="N124">
        <f t="shared" si="13"/>
        <v>7.4337777429151041E-8</v>
      </c>
      <c r="O124">
        <f t="shared" si="14"/>
        <v>0.26761599874494379</v>
      </c>
      <c r="P124">
        <v>29.2163</v>
      </c>
    </row>
    <row r="125" spans="1:16" x14ac:dyDescent="0.35">
      <c r="A125" t="s">
        <v>37</v>
      </c>
      <c r="B125" s="2">
        <v>44800</v>
      </c>
      <c r="C125" s="3">
        <v>0.5625</v>
      </c>
      <c r="D125" t="s">
        <v>39</v>
      </c>
      <c r="E125" t="s">
        <v>17</v>
      </c>
      <c r="F125" s="1" t="s">
        <v>38</v>
      </c>
      <c r="G125">
        <v>0.47799999999999998</v>
      </c>
      <c r="H125">
        <v>0.71199999999999997</v>
      </c>
      <c r="I125">
        <f t="shared" si="15"/>
        <v>0.4895397489539749</v>
      </c>
      <c r="J125">
        <f t="shared" si="16"/>
        <v>4.9394198321873994E-5</v>
      </c>
      <c r="K125">
        <f t="shared" si="17"/>
        <v>49.394198321873994</v>
      </c>
      <c r="L125">
        <v>1252.5483746250002</v>
      </c>
      <c r="M125">
        <f t="shared" si="12"/>
        <v>1.2525483746250001E-3</v>
      </c>
      <c r="N125">
        <f t="shared" si="13"/>
        <v>6.1868622823968176E-8</v>
      </c>
      <c r="O125">
        <f t="shared" si="14"/>
        <v>0.22272704216628544</v>
      </c>
      <c r="P125">
        <v>30.803799999999999</v>
      </c>
    </row>
    <row r="126" spans="1:16" x14ac:dyDescent="0.35">
      <c r="A126" t="s">
        <v>37</v>
      </c>
      <c r="B126" s="2">
        <v>44800</v>
      </c>
      <c r="C126" s="3">
        <v>0.58333333333333337</v>
      </c>
      <c r="D126" t="s">
        <v>39</v>
      </c>
      <c r="E126" t="s">
        <v>17</v>
      </c>
      <c r="F126" s="1" t="s">
        <v>38</v>
      </c>
      <c r="G126">
        <v>0.49299999999999999</v>
      </c>
      <c r="H126">
        <v>0.71199999999999997</v>
      </c>
      <c r="I126">
        <f t="shared" si="15"/>
        <v>0.4442190669371196</v>
      </c>
      <c r="J126">
        <f t="shared" si="16"/>
        <v>4.3826734122146072E-5</v>
      </c>
      <c r="K126">
        <f t="shared" si="17"/>
        <v>43.826734122146071</v>
      </c>
      <c r="L126">
        <v>1252.5483746250002</v>
      </c>
      <c r="M126">
        <f t="shared" si="12"/>
        <v>1.2525483746250001E-3</v>
      </c>
      <c r="N126">
        <f t="shared" si="13"/>
        <v>5.4895104589816096E-8</v>
      </c>
      <c r="O126">
        <f t="shared" si="14"/>
        <v>0.19762237652333794</v>
      </c>
      <c r="P126">
        <v>30.016100000000002</v>
      </c>
    </row>
    <row r="127" spans="1:16" x14ac:dyDescent="0.35">
      <c r="A127" t="s">
        <v>37</v>
      </c>
      <c r="B127" s="2">
        <v>44800</v>
      </c>
      <c r="C127" s="3">
        <v>0.60416666666666663</v>
      </c>
      <c r="D127" t="s">
        <v>39</v>
      </c>
      <c r="E127" t="s">
        <v>17</v>
      </c>
      <c r="F127" s="1" t="s">
        <v>38</v>
      </c>
      <c r="G127">
        <v>0.48199999999999998</v>
      </c>
      <c r="H127">
        <v>0.71199999999999997</v>
      </c>
      <c r="I127">
        <f t="shared" si="15"/>
        <v>0.47717842323651449</v>
      </c>
      <c r="J127">
        <f t="shared" si="16"/>
        <v>4.7863342444670987E-5</v>
      </c>
      <c r="K127">
        <f t="shared" si="17"/>
        <v>47.863342444670984</v>
      </c>
      <c r="L127">
        <v>1252.5483746250002</v>
      </c>
      <c r="M127">
        <f t="shared" si="12"/>
        <v>1.2525483746250001E-3</v>
      </c>
      <c r="N127">
        <f t="shared" si="13"/>
        <v>5.9951151783192428E-8</v>
      </c>
      <c r="O127">
        <f t="shared" si="14"/>
        <v>0.21582414641949274</v>
      </c>
      <c r="P127">
        <v>31.1188</v>
      </c>
    </row>
    <row r="128" spans="1:16" x14ac:dyDescent="0.35">
      <c r="A128" t="s">
        <v>37</v>
      </c>
      <c r="B128" s="2">
        <v>44800</v>
      </c>
      <c r="C128" s="3">
        <v>0.625</v>
      </c>
      <c r="D128" t="s">
        <v>39</v>
      </c>
      <c r="E128" t="s">
        <v>17</v>
      </c>
      <c r="F128" s="1" t="s">
        <v>38</v>
      </c>
      <c r="G128">
        <v>0.47</v>
      </c>
      <c r="H128">
        <v>0.71199999999999997</v>
      </c>
      <c r="I128">
        <f t="shared" si="15"/>
        <v>0.51489361702127656</v>
      </c>
      <c r="J128">
        <f t="shared" si="16"/>
        <v>5.2561919140093823E-5</v>
      </c>
      <c r="K128">
        <f t="shared" si="17"/>
        <v>52.561919140093821</v>
      </c>
      <c r="L128">
        <v>1252.5483746250002</v>
      </c>
      <c r="M128">
        <f t="shared" si="12"/>
        <v>1.2525483746250001E-3</v>
      </c>
      <c r="N128">
        <f t="shared" si="13"/>
        <v>6.5836346386095199E-8</v>
      </c>
      <c r="O128">
        <f t="shared" si="14"/>
        <v>0.23701084698994268</v>
      </c>
      <c r="P128">
        <v>33.7301</v>
      </c>
    </row>
    <row r="129" spans="1:16" x14ac:dyDescent="0.35">
      <c r="A129" t="s">
        <v>37</v>
      </c>
      <c r="B129" s="2">
        <v>44800</v>
      </c>
      <c r="C129" s="3">
        <v>0.64583333333333337</v>
      </c>
      <c r="D129" t="s">
        <v>39</v>
      </c>
      <c r="E129" t="s">
        <v>17</v>
      </c>
      <c r="F129" s="1" t="s">
        <v>38</v>
      </c>
      <c r="G129">
        <v>0.46899999999999997</v>
      </c>
      <c r="H129">
        <v>0.71199999999999997</v>
      </c>
      <c r="I129">
        <f t="shared" si="15"/>
        <v>0.51812366737739879</v>
      </c>
      <c r="J129">
        <f t="shared" si="16"/>
        <v>5.2968114637909949E-5</v>
      </c>
      <c r="K129">
        <f t="shared" si="17"/>
        <v>52.968114637909949</v>
      </c>
      <c r="L129">
        <v>1252.5483746250002</v>
      </c>
      <c r="M129">
        <f t="shared" si="12"/>
        <v>1.2525483746250001E-3</v>
      </c>
      <c r="N129">
        <f t="shared" si="13"/>
        <v>6.6345125896664783E-8</v>
      </c>
      <c r="O129">
        <f t="shared" si="14"/>
        <v>0.23884245322799322</v>
      </c>
      <c r="P129">
        <v>32.391100000000002</v>
      </c>
    </row>
    <row r="130" spans="1:16" x14ac:dyDescent="0.35">
      <c r="A130" t="s">
        <v>37</v>
      </c>
      <c r="B130" s="2">
        <v>44800</v>
      </c>
      <c r="C130" s="3">
        <v>0.66666666666666663</v>
      </c>
      <c r="D130" t="s">
        <v>39</v>
      </c>
      <c r="E130" t="s">
        <v>17</v>
      </c>
      <c r="F130" s="1" t="s">
        <v>38</v>
      </c>
      <c r="G130">
        <v>0.47599999999999998</v>
      </c>
      <c r="H130">
        <v>0.71199999999999997</v>
      </c>
      <c r="I130">
        <f t="shared" si="15"/>
        <v>0.49579831932773111</v>
      </c>
      <c r="J130">
        <f t="shared" si="16"/>
        <v>5.0172700625602138E-5</v>
      </c>
      <c r="K130">
        <f t="shared" si="17"/>
        <v>50.17270062560214</v>
      </c>
      <c r="L130">
        <v>1252.5483746250002</v>
      </c>
      <c r="M130">
        <f t="shared" si="12"/>
        <v>1.2525483746250001E-3</v>
      </c>
      <c r="N130">
        <f t="shared" si="13"/>
        <v>6.284373461914468E-8</v>
      </c>
      <c r="O130">
        <f t="shared" si="14"/>
        <v>0.22623744462892087</v>
      </c>
      <c r="P130">
        <v>28.613099999999999</v>
      </c>
    </row>
    <row r="131" spans="1:16" x14ac:dyDescent="0.35">
      <c r="A131" t="s">
        <v>37</v>
      </c>
      <c r="B131" s="2">
        <v>44800</v>
      </c>
      <c r="C131" s="3">
        <v>0.6875</v>
      </c>
      <c r="D131" t="s">
        <v>39</v>
      </c>
      <c r="E131" t="s">
        <v>17</v>
      </c>
      <c r="F131" s="1" t="s">
        <v>38</v>
      </c>
      <c r="G131">
        <v>0.51100000000000001</v>
      </c>
      <c r="H131">
        <v>0.71199999999999997</v>
      </c>
      <c r="I131">
        <f t="shared" si="15"/>
        <v>0.39334637964774943</v>
      </c>
      <c r="J131">
        <f t="shared" si="16"/>
        <v>3.7732465185749307E-5</v>
      </c>
      <c r="K131">
        <f t="shared" si="17"/>
        <v>37.732465185749305</v>
      </c>
      <c r="L131">
        <v>1252.5483746250002</v>
      </c>
      <c r="M131">
        <f t="shared" ref="M131:M194" si="18">L131/1000000</f>
        <v>1.2525483746250001E-3</v>
      </c>
      <c r="N131">
        <f t="shared" ref="N131:N194" si="19">J131*M131</f>
        <v>4.72617379390047E-8</v>
      </c>
      <c r="O131">
        <f t="shared" ref="O131:O194" si="20">N131*1000*3600</f>
        <v>0.17014225658041693</v>
      </c>
      <c r="P131">
        <v>29.746700000000001</v>
      </c>
    </row>
    <row r="132" spans="1:16" x14ac:dyDescent="0.35">
      <c r="A132" t="s">
        <v>37</v>
      </c>
      <c r="B132" s="2">
        <v>44800</v>
      </c>
      <c r="C132" s="3">
        <v>0.70833333333333337</v>
      </c>
      <c r="D132" t="s">
        <v>39</v>
      </c>
      <c r="E132" t="s">
        <v>17</v>
      </c>
      <c r="F132" s="1" t="s">
        <v>38</v>
      </c>
      <c r="G132">
        <v>0.53400000000000003</v>
      </c>
      <c r="H132">
        <v>0.71199999999999997</v>
      </c>
      <c r="I132">
        <f t="shared" si="15"/>
        <v>0.3333333333333332</v>
      </c>
      <c r="J132">
        <f t="shared" si="16"/>
        <v>3.0775895371352015E-5</v>
      </c>
      <c r="K132">
        <f t="shared" si="17"/>
        <v>30.775895371352014</v>
      </c>
      <c r="L132">
        <v>1252.5483746250002</v>
      </c>
      <c r="M132">
        <f t="shared" si="18"/>
        <v>1.2525483746250001E-3</v>
      </c>
      <c r="N132">
        <f t="shared" si="19"/>
        <v>3.8548297725016032E-8</v>
      </c>
      <c r="O132">
        <f t="shared" si="20"/>
        <v>0.13877387181005771</v>
      </c>
      <c r="P132">
        <v>26.706800000000001</v>
      </c>
    </row>
    <row r="133" spans="1:16" x14ac:dyDescent="0.35">
      <c r="A133" t="s">
        <v>37</v>
      </c>
      <c r="B133" s="2">
        <v>44800</v>
      </c>
      <c r="C133" s="3">
        <v>0.72916666666666663</v>
      </c>
      <c r="D133" t="s">
        <v>39</v>
      </c>
      <c r="E133" t="s">
        <v>17</v>
      </c>
      <c r="F133" s="1" t="s">
        <v>38</v>
      </c>
      <c r="G133">
        <v>0.56100000000000005</v>
      </c>
      <c r="H133">
        <v>0.71199999999999997</v>
      </c>
      <c r="I133">
        <f t="shared" si="15"/>
        <v>0.26916221033868076</v>
      </c>
      <c r="J133">
        <f t="shared" si="16"/>
        <v>2.3653439494439694E-5</v>
      </c>
      <c r="K133">
        <f t="shared" si="17"/>
        <v>23.653439494439695</v>
      </c>
      <c r="L133">
        <v>1252.5483746250002</v>
      </c>
      <c r="M133">
        <f t="shared" si="18"/>
        <v>1.2525483746250001E-3</v>
      </c>
      <c r="N133">
        <f t="shared" si="19"/>
        <v>2.9627077193051222E-8</v>
      </c>
      <c r="O133">
        <f t="shared" si="20"/>
        <v>0.10665747789498441</v>
      </c>
      <c r="P133">
        <v>24.7545</v>
      </c>
    </row>
    <row r="134" spans="1:16" x14ac:dyDescent="0.35">
      <c r="A134" t="s">
        <v>37</v>
      </c>
      <c r="B134" s="2">
        <v>44800</v>
      </c>
      <c r="C134" s="3">
        <v>0.75</v>
      </c>
      <c r="D134" t="s">
        <v>39</v>
      </c>
      <c r="E134" t="s">
        <v>17</v>
      </c>
      <c r="F134" s="1" t="s">
        <v>38</v>
      </c>
      <c r="G134">
        <v>0.59</v>
      </c>
      <c r="H134">
        <v>0.71199999999999997</v>
      </c>
      <c r="I134">
        <f t="shared" si="15"/>
        <v>0.20677966101694917</v>
      </c>
      <c r="J134">
        <f t="shared" si="16"/>
        <v>1.7097676143873657E-5</v>
      </c>
      <c r="K134">
        <f t="shared" si="17"/>
        <v>17.097676143873656</v>
      </c>
      <c r="L134">
        <v>1252.5483746250002</v>
      </c>
      <c r="M134">
        <f t="shared" si="18"/>
        <v>1.2525483746250001E-3</v>
      </c>
      <c r="N134">
        <f t="shared" si="19"/>
        <v>2.1415666463873587E-8</v>
      </c>
      <c r="O134">
        <f t="shared" si="20"/>
        <v>7.7096399269944924E-2</v>
      </c>
      <c r="P134">
        <v>21.6553</v>
      </c>
    </row>
    <row r="135" spans="1:16" x14ac:dyDescent="0.35">
      <c r="A135" t="s">
        <v>37</v>
      </c>
      <c r="B135" s="2">
        <v>44800</v>
      </c>
      <c r="C135" s="3">
        <v>0.77083333333333337</v>
      </c>
      <c r="D135" t="s">
        <v>39</v>
      </c>
      <c r="E135" t="s">
        <v>17</v>
      </c>
      <c r="F135" s="1" t="s">
        <v>38</v>
      </c>
      <c r="G135">
        <v>0.624</v>
      </c>
      <c r="H135">
        <v>0.71199999999999997</v>
      </c>
      <c r="I135">
        <f t="shared" si="15"/>
        <v>0.14102564102564097</v>
      </c>
      <c r="J135">
        <f t="shared" si="16"/>
        <v>1.0674140154379386E-5</v>
      </c>
      <c r="K135">
        <f t="shared" si="17"/>
        <v>10.674140154379385</v>
      </c>
      <c r="L135">
        <v>1252.5483746250002</v>
      </c>
      <c r="M135">
        <f t="shared" si="18"/>
        <v>1.2525483746250001E-3</v>
      </c>
      <c r="N135">
        <f t="shared" si="19"/>
        <v>1.3369876900887347E-8</v>
      </c>
      <c r="O135">
        <f t="shared" si="20"/>
        <v>4.8131556843194451E-2</v>
      </c>
      <c r="P135">
        <v>21.886700000000001</v>
      </c>
    </row>
    <row r="136" spans="1:16" x14ac:dyDescent="0.35">
      <c r="A136" t="s">
        <v>37</v>
      </c>
      <c r="B136" s="2">
        <v>44800</v>
      </c>
      <c r="C136" s="3">
        <v>0.79166666666666663</v>
      </c>
      <c r="D136" t="s">
        <v>39</v>
      </c>
      <c r="E136" t="s">
        <v>17</v>
      </c>
      <c r="F136" s="1" t="s">
        <v>38</v>
      </c>
      <c r="G136">
        <v>0.65400000000000003</v>
      </c>
      <c r="H136">
        <v>0.71199999999999997</v>
      </c>
      <c r="I136">
        <f t="shared" si="15"/>
        <v>8.8685015290519781E-2</v>
      </c>
      <c r="J136">
        <f t="shared" si="16"/>
        <v>6.0304623903564444E-6</v>
      </c>
      <c r="K136">
        <f t="shared" si="17"/>
        <v>6.030462390356444</v>
      </c>
      <c r="L136">
        <v>1252.5483746250002</v>
      </c>
      <c r="M136">
        <f t="shared" si="18"/>
        <v>1.2525483746250001E-3</v>
      </c>
      <c r="N136">
        <f t="shared" si="19"/>
        <v>7.5534458652781572E-9</v>
      </c>
      <c r="O136">
        <f t="shared" si="20"/>
        <v>2.7192405115001365E-2</v>
      </c>
      <c r="P136">
        <v>21.135999999999999</v>
      </c>
    </row>
    <row r="137" spans="1:16" x14ac:dyDescent="0.35">
      <c r="A137" t="s">
        <v>37</v>
      </c>
      <c r="B137" s="2">
        <v>44800</v>
      </c>
      <c r="C137" s="3">
        <v>0.8125</v>
      </c>
      <c r="D137" t="s">
        <v>39</v>
      </c>
      <c r="E137" t="s">
        <v>17</v>
      </c>
      <c r="F137" s="1" t="s">
        <v>38</v>
      </c>
      <c r="G137">
        <v>0.67500000000000004</v>
      </c>
      <c r="H137">
        <v>0.71199999999999997</v>
      </c>
      <c r="I137">
        <f t="shared" si="15"/>
        <v>5.4814814814814698E-2</v>
      </c>
      <c r="J137">
        <f t="shared" si="16"/>
        <v>3.3352649487430821E-6</v>
      </c>
      <c r="K137">
        <f t="shared" si="17"/>
        <v>3.3352649487430819</v>
      </c>
      <c r="L137">
        <v>1252.5483746250002</v>
      </c>
      <c r="M137">
        <f t="shared" si="18"/>
        <v>1.2525483746250001E-3</v>
      </c>
      <c r="N137">
        <f t="shared" si="19"/>
        <v>4.1775806904918821E-9</v>
      </c>
      <c r="O137">
        <f t="shared" si="20"/>
        <v>1.5039290485770775E-2</v>
      </c>
      <c r="P137">
        <v>22.610600000000002</v>
      </c>
    </row>
    <row r="138" spans="1:16" x14ac:dyDescent="0.35">
      <c r="A138" t="s">
        <v>37</v>
      </c>
      <c r="B138" s="2">
        <v>44800</v>
      </c>
      <c r="C138" s="3">
        <v>0.83333333333333337</v>
      </c>
      <c r="D138" t="s">
        <v>39</v>
      </c>
      <c r="E138" t="s">
        <v>17</v>
      </c>
      <c r="F138" s="1" t="s">
        <v>38</v>
      </c>
      <c r="G138">
        <v>0.69</v>
      </c>
      <c r="H138">
        <v>0.71199999999999997</v>
      </c>
      <c r="I138">
        <f t="shared" si="15"/>
        <v>3.1884057971014526E-2</v>
      </c>
      <c r="J138">
        <f t="shared" si="16"/>
        <v>1.7117725225701494E-6</v>
      </c>
      <c r="K138">
        <f t="shared" si="17"/>
        <v>1.7117725225701494</v>
      </c>
      <c r="L138">
        <v>1252.5483746250002</v>
      </c>
      <c r="M138">
        <f t="shared" si="18"/>
        <v>1.2525483746250001E-3</v>
      </c>
      <c r="N138">
        <f t="shared" si="19"/>
        <v>2.1440778908729769E-9</v>
      </c>
      <c r="O138">
        <f t="shared" si="20"/>
        <v>7.7186804071427166E-3</v>
      </c>
      <c r="P138">
        <v>22.5307</v>
      </c>
    </row>
    <row r="139" spans="1:16" x14ac:dyDescent="0.35">
      <c r="A139" t="s">
        <v>37</v>
      </c>
      <c r="B139" s="2">
        <v>44800</v>
      </c>
      <c r="C139" s="3">
        <v>0.85416666666666663</v>
      </c>
      <c r="D139" t="s">
        <v>39</v>
      </c>
      <c r="E139" t="s">
        <v>17</v>
      </c>
      <c r="F139" s="1" t="s">
        <v>38</v>
      </c>
      <c r="G139">
        <v>0.7</v>
      </c>
      <c r="H139">
        <v>0.71199999999999997</v>
      </c>
      <c r="I139">
        <f t="shared" si="15"/>
        <v>1.7142857142857158E-2</v>
      </c>
      <c r="J139">
        <f t="shared" si="16"/>
        <v>7.9744986345703485E-7</v>
      </c>
      <c r="K139">
        <f t="shared" si="17"/>
        <v>0.79744986345703484</v>
      </c>
      <c r="L139">
        <v>1252.5483746250002</v>
      </c>
      <c r="M139">
        <f t="shared" si="18"/>
        <v>1.2525483746250001E-3</v>
      </c>
      <c r="N139">
        <f t="shared" si="19"/>
        <v>9.9884453031803725E-10</v>
      </c>
      <c r="O139">
        <f t="shared" si="20"/>
        <v>3.5958403091449339E-3</v>
      </c>
      <c r="P139">
        <v>22.331499999999998</v>
      </c>
    </row>
    <row r="140" spans="1:16" x14ac:dyDescent="0.35">
      <c r="A140" t="s">
        <v>37</v>
      </c>
      <c r="B140" s="2">
        <v>44800</v>
      </c>
      <c r="C140" s="3">
        <v>0.875</v>
      </c>
      <c r="D140" t="s">
        <v>39</v>
      </c>
      <c r="E140" t="s">
        <v>17</v>
      </c>
      <c r="F140" s="1" t="s">
        <v>38</v>
      </c>
      <c r="G140">
        <v>0.70599999999999996</v>
      </c>
      <c r="H140">
        <v>0.71199999999999997</v>
      </c>
      <c r="I140">
        <f t="shared" si="15"/>
        <v>8.4985835694051069E-3</v>
      </c>
      <c r="J140">
        <f t="shared" si="16"/>
        <v>3.3618053471285987E-7</v>
      </c>
      <c r="K140">
        <f t="shared" si="17"/>
        <v>0.33618053471285986</v>
      </c>
      <c r="L140">
        <v>1252.5483746250002</v>
      </c>
      <c r="M140">
        <f t="shared" si="18"/>
        <v>1.2525483746250001E-3</v>
      </c>
      <c r="N140">
        <f t="shared" si="19"/>
        <v>4.2108238233515606E-10</v>
      </c>
      <c r="O140">
        <f t="shared" si="20"/>
        <v>1.5158965764065619E-3</v>
      </c>
      <c r="P140">
        <v>22.132000000000001</v>
      </c>
    </row>
    <row r="141" spans="1:16" x14ac:dyDescent="0.35">
      <c r="A141" t="s">
        <v>37</v>
      </c>
      <c r="B141" s="2">
        <v>44800</v>
      </c>
      <c r="C141" s="3">
        <v>0.89583333333333337</v>
      </c>
      <c r="D141" t="s">
        <v>39</v>
      </c>
      <c r="E141" t="s">
        <v>17</v>
      </c>
      <c r="F141" s="1" t="s">
        <v>38</v>
      </c>
      <c r="G141">
        <v>0.70899999999999996</v>
      </c>
      <c r="H141">
        <v>0.71199999999999997</v>
      </c>
      <c r="I141">
        <f t="shared" si="15"/>
        <v>4.2313117066290588E-3</v>
      </c>
      <c r="J141">
        <f t="shared" si="16"/>
        <v>1.4247468663541527E-7</v>
      </c>
      <c r="K141">
        <f t="shared" si="17"/>
        <v>0.14247468663541527</v>
      </c>
      <c r="L141">
        <v>1252.5483746250002</v>
      </c>
      <c r="M141">
        <f t="shared" si="18"/>
        <v>1.2525483746250001E-3</v>
      </c>
      <c r="N141">
        <f t="shared" si="19"/>
        <v>1.7845643717039561E-10</v>
      </c>
      <c r="O141">
        <f t="shared" si="20"/>
        <v>6.4244317381342429E-4</v>
      </c>
      <c r="P141">
        <v>21.936800000000002</v>
      </c>
    </row>
    <row r="142" spans="1:16" x14ac:dyDescent="0.35">
      <c r="A142" t="s">
        <v>37</v>
      </c>
      <c r="B142" s="2">
        <v>44800</v>
      </c>
      <c r="C142" s="3">
        <v>0.91666666666666663</v>
      </c>
      <c r="D142" t="s">
        <v>39</v>
      </c>
      <c r="E142" t="s">
        <v>17</v>
      </c>
      <c r="F142" s="1" t="s">
        <v>38</v>
      </c>
      <c r="G142">
        <v>0.71099999999999997</v>
      </c>
      <c r="H142">
        <v>0.71199999999999997</v>
      </c>
      <c r="I142">
        <f t="shared" si="15"/>
        <v>1.406469760900142E-3</v>
      </c>
      <c r="J142">
        <f t="shared" si="16"/>
        <v>3.6719392114743423E-8</v>
      </c>
      <c r="K142">
        <f t="shared" si="17"/>
        <v>3.671939211474342E-2</v>
      </c>
      <c r="L142">
        <v>1252.5483746250002</v>
      </c>
      <c r="M142">
        <f t="shared" si="18"/>
        <v>1.2525483746250001E-3</v>
      </c>
      <c r="N142">
        <f t="shared" si="19"/>
        <v>4.5992814910539917E-11</v>
      </c>
      <c r="O142">
        <f t="shared" si="20"/>
        <v>1.655741336779437E-4</v>
      </c>
      <c r="P142">
        <v>21.610299999999999</v>
      </c>
    </row>
    <row r="143" spans="1:16" x14ac:dyDescent="0.35">
      <c r="A143" t="s">
        <v>37</v>
      </c>
      <c r="B143" s="2">
        <v>44800</v>
      </c>
      <c r="C143" s="3">
        <v>0.9375</v>
      </c>
      <c r="D143" t="s">
        <v>39</v>
      </c>
      <c r="E143" t="s">
        <v>17</v>
      </c>
      <c r="F143" s="1" t="s">
        <v>38</v>
      </c>
      <c r="G143">
        <v>0.71099999999999997</v>
      </c>
      <c r="H143">
        <v>0.71199999999999997</v>
      </c>
      <c r="I143">
        <f t="shared" si="15"/>
        <v>1.406469760900142E-3</v>
      </c>
      <c r="J143">
        <f t="shared" si="16"/>
        <v>3.6719392114743423E-8</v>
      </c>
      <c r="K143">
        <f t="shared" si="17"/>
        <v>3.671939211474342E-2</v>
      </c>
      <c r="L143">
        <v>1252.5483746250002</v>
      </c>
      <c r="M143">
        <f t="shared" si="18"/>
        <v>1.2525483746250001E-3</v>
      </c>
      <c r="N143">
        <f t="shared" si="19"/>
        <v>4.5992814910539917E-11</v>
      </c>
      <c r="O143">
        <f t="shared" si="20"/>
        <v>1.655741336779437E-4</v>
      </c>
      <c r="P143">
        <v>21.201899999999998</v>
      </c>
    </row>
    <row r="144" spans="1:16" x14ac:dyDescent="0.35">
      <c r="A144" t="s">
        <v>37</v>
      </c>
      <c r="B144" s="2">
        <v>44800</v>
      </c>
      <c r="C144" s="3">
        <v>0.95833333333333337</v>
      </c>
      <c r="D144" t="s">
        <v>39</v>
      </c>
      <c r="E144" t="s">
        <v>17</v>
      </c>
      <c r="F144" s="1" t="s">
        <v>38</v>
      </c>
      <c r="G144">
        <v>0.71199999999999997</v>
      </c>
      <c r="H144">
        <v>0.71199999999999997</v>
      </c>
      <c r="I144">
        <f t="shared" si="15"/>
        <v>0</v>
      </c>
      <c r="J144">
        <f t="shared" si="16"/>
        <v>0</v>
      </c>
      <c r="K144">
        <f t="shared" si="17"/>
        <v>0</v>
      </c>
      <c r="L144">
        <v>1252.5483746250002</v>
      </c>
      <c r="M144">
        <f t="shared" si="18"/>
        <v>1.2525483746250001E-3</v>
      </c>
      <c r="N144">
        <f t="shared" si="19"/>
        <v>0</v>
      </c>
      <c r="O144">
        <f t="shared" si="20"/>
        <v>0</v>
      </c>
      <c r="P144">
        <v>20.816600000000001</v>
      </c>
    </row>
    <row r="145" spans="1:16" x14ac:dyDescent="0.35">
      <c r="A145" t="s">
        <v>37</v>
      </c>
      <c r="B145" s="2">
        <v>44800</v>
      </c>
      <c r="C145" s="3">
        <v>0.97916666666666663</v>
      </c>
      <c r="D145" t="s">
        <v>39</v>
      </c>
      <c r="E145" t="s">
        <v>17</v>
      </c>
      <c r="F145" s="1" t="s">
        <v>38</v>
      </c>
      <c r="G145">
        <v>0.71199999999999997</v>
      </c>
      <c r="H145">
        <v>0.71199999999999997</v>
      </c>
      <c r="I145">
        <f t="shared" si="15"/>
        <v>0</v>
      </c>
      <c r="J145">
        <f t="shared" si="16"/>
        <v>0</v>
      </c>
      <c r="K145">
        <f t="shared" si="17"/>
        <v>0</v>
      </c>
      <c r="L145">
        <v>1252.5483746250002</v>
      </c>
      <c r="M145">
        <f t="shared" si="18"/>
        <v>1.2525483746250001E-3</v>
      </c>
      <c r="N145">
        <f t="shared" si="19"/>
        <v>0</v>
      </c>
      <c r="O145">
        <f t="shared" si="20"/>
        <v>0</v>
      </c>
      <c r="P145">
        <v>20.130299999999998</v>
      </c>
    </row>
    <row r="146" spans="1:16" x14ac:dyDescent="0.35">
      <c r="A146" t="s">
        <v>37</v>
      </c>
      <c r="B146" s="2">
        <v>44800</v>
      </c>
      <c r="C146" s="3">
        <v>0</v>
      </c>
      <c r="D146" t="s">
        <v>45</v>
      </c>
      <c r="E146" t="s">
        <v>34</v>
      </c>
      <c r="F146" s="1" t="s">
        <v>38</v>
      </c>
      <c r="G146">
        <v>0.77400000000000002</v>
      </c>
      <c r="H146">
        <f>MAX(G146:G193)</f>
        <v>0.78100000000000003</v>
      </c>
      <c r="I146">
        <f t="shared" si="15"/>
        <v>9.0439276485788193E-3</v>
      </c>
      <c r="J146">
        <f t="shared" si="16"/>
        <v>3.6292971364400677E-7</v>
      </c>
      <c r="K146">
        <f t="shared" si="17"/>
        <v>0.36292971364400678</v>
      </c>
      <c r="L146">
        <v>1451.1274696249998</v>
      </c>
      <c r="M146">
        <f t="shared" si="18"/>
        <v>1.4511274696249997E-3</v>
      </c>
      <c r="N146">
        <f t="shared" si="19"/>
        <v>5.2665727701195324E-10</v>
      </c>
      <c r="O146">
        <f t="shared" si="20"/>
        <v>1.8959661972430316E-3</v>
      </c>
      <c r="P146">
        <v>20.112200000000001</v>
      </c>
    </row>
    <row r="147" spans="1:16" x14ac:dyDescent="0.35">
      <c r="A147" t="s">
        <v>37</v>
      </c>
      <c r="B147" s="2">
        <v>44800</v>
      </c>
      <c r="C147" s="3">
        <v>2.0833333333333332E-2</v>
      </c>
      <c r="D147" t="s">
        <v>45</v>
      </c>
      <c r="E147" t="s">
        <v>34</v>
      </c>
      <c r="F147" s="1" t="s">
        <v>38</v>
      </c>
      <c r="G147">
        <v>0.77500000000000002</v>
      </c>
      <c r="H147">
        <v>0.78100000000000003</v>
      </c>
      <c r="I147">
        <f t="shared" si="15"/>
        <v>7.7419354838709747E-3</v>
      </c>
      <c r="J147">
        <f t="shared" si="16"/>
        <v>2.9972347200156345E-7</v>
      </c>
      <c r="K147">
        <f t="shared" si="17"/>
        <v>0.29972347200156346</v>
      </c>
      <c r="L147">
        <v>1451.1274696249998</v>
      </c>
      <c r="M147">
        <f t="shared" si="18"/>
        <v>1.4511274696249997E-3</v>
      </c>
      <c r="N147">
        <f t="shared" si="19"/>
        <v>4.3493696351284819E-10</v>
      </c>
      <c r="O147">
        <f t="shared" si="20"/>
        <v>1.5657730686462533E-3</v>
      </c>
      <c r="P147">
        <v>19.898800000000001</v>
      </c>
    </row>
    <row r="148" spans="1:16" x14ac:dyDescent="0.35">
      <c r="A148" t="s">
        <v>37</v>
      </c>
      <c r="B148" s="2">
        <v>44800</v>
      </c>
      <c r="C148" s="3">
        <v>4.1666666666666664E-2</v>
      </c>
      <c r="D148" t="s">
        <v>45</v>
      </c>
      <c r="E148" t="s">
        <v>34</v>
      </c>
      <c r="F148" s="1" t="s">
        <v>38</v>
      </c>
      <c r="G148">
        <v>0.77700000000000002</v>
      </c>
      <c r="H148">
        <v>0.78100000000000003</v>
      </c>
      <c r="I148">
        <f t="shared" si="15"/>
        <v>5.1480051480051522E-3</v>
      </c>
      <c r="J148">
        <f t="shared" si="16"/>
        <v>1.8137379352024376E-7</v>
      </c>
      <c r="K148">
        <f t="shared" si="17"/>
        <v>0.18137379352024374</v>
      </c>
      <c r="L148">
        <v>1451.1274696249998</v>
      </c>
      <c r="M148">
        <f t="shared" si="18"/>
        <v>1.4511274696249997E-3</v>
      </c>
      <c r="N148">
        <f t="shared" si="19"/>
        <v>2.6319649404731849E-10</v>
      </c>
      <c r="O148">
        <f t="shared" si="20"/>
        <v>9.4750737857034661E-4</v>
      </c>
      <c r="P148">
        <v>19.249500000000001</v>
      </c>
    </row>
    <row r="149" spans="1:16" x14ac:dyDescent="0.35">
      <c r="A149" t="s">
        <v>37</v>
      </c>
      <c r="B149" s="2">
        <v>44800</v>
      </c>
      <c r="C149" s="3">
        <v>6.25E-2</v>
      </c>
      <c r="D149" t="s">
        <v>45</v>
      </c>
      <c r="E149" t="s">
        <v>34</v>
      </c>
      <c r="F149" s="1" t="s">
        <v>38</v>
      </c>
      <c r="G149">
        <v>0.77800000000000002</v>
      </c>
      <c r="H149">
        <v>0.78100000000000003</v>
      </c>
      <c r="I149">
        <f t="shared" si="15"/>
        <v>3.8560411311054019E-3</v>
      </c>
      <c r="J149">
        <f t="shared" si="16"/>
        <v>1.2708296592667036E-7</v>
      </c>
      <c r="K149">
        <f t="shared" si="17"/>
        <v>0.12708296592667034</v>
      </c>
      <c r="L149">
        <v>1451.1274696249998</v>
      </c>
      <c r="M149">
        <f t="shared" si="18"/>
        <v>1.4511274696249997E-3</v>
      </c>
      <c r="N149">
        <f t="shared" si="19"/>
        <v>1.844135827776092E-10</v>
      </c>
      <c r="O149">
        <f t="shared" si="20"/>
        <v>6.6388889799939312E-4</v>
      </c>
      <c r="P149">
        <v>17.116900000000001</v>
      </c>
    </row>
    <row r="150" spans="1:16" x14ac:dyDescent="0.35">
      <c r="A150" t="s">
        <v>37</v>
      </c>
      <c r="B150" s="2">
        <v>44800</v>
      </c>
      <c r="C150" s="3">
        <v>8.3333333333333329E-2</v>
      </c>
      <c r="D150" t="s">
        <v>45</v>
      </c>
      <c r="E150" t="s">
        <v>34</v>
      </c>
      <c r="F150" s="1" t="s">
        <v>38</v>
      </c>
      <c r="G150">
        <v>0.77700000000000002</v>
      </c>
      <c r="H150">
        <v>0.78100000000000003</v>
      </c>
      <c r="I150">
        <f t="shared" si="15"/>
        <v>5.1480051480051522E-3</v>
      </c>
      <c r="J150">
        <f t="shared" si="16"/>
        <v>1.8137379352024376E-7</v>
      </c>
      <c r="K150">
        <f t="shared" si="17"/>
        <v>0.18137379352024374</v>
      </c>
      <c r="L150">
        <v>1451.1274696249998</v>
      </c>
      <c r="M150">
        <f t="shared" si="18"/>
        <v>1.4511274696249997E-3</v>
      </c>
      <c r="N150">
        <f t="shared" si="19"/>
        <v>2.6319649404731849E-10</v>
      </c>
      <c r="O150">
        <f t="shared" si="20"/>
        <v>9.4750737857034661E-4</v>
      </c>
      <c r="P150">
        <v>16.752199999999998</v>
      </c>
    </row>
    <row r="151" spans="1:16" x14ac:dyDescent="0.35">
      <c r="A151" t="s">
        <v>37</v>
      </c>
      <c r="B151" s="2">
        <v>44800</v>
      </c>
      <c r="C151" s="3">
        <v>0.10416666666666667</v>
      </c>
      <c r="D151" t="s">
        <v>45</v>
      </c>
      <c r="E151" t="s">
        <v>34</v>
      </c>
      <c r="F151" s="1" t="s">
        <v>38</v>
      </c>
      <c r="G151">
        <v>0.77500000000000002</v>
      </c>
      <c r="H151">
        <v>0.78100000000000003</v>
      </c>
      <c r="I151">
        <f t="shared" si="15"/>
        <v>7.7419354838709747E-3</v>
      </c>
      <c r="J151">
        <f t="shared" si="16"/>
        <v>2.9972347200156345E-7</v>
      </c>
      <c r="K151">
        <f t="shared" si="17"/>
        <v>0.29972347200156346</v>
      </c>
      <c r="L151">
        <v>1451.1274696249998</v>
      </c>
      <c r="M151">
        <f t="shared" si="18"/>
        <v>1.4511274696249997E-3</v>
      </c>
      <c r="N151">
        <f t="shared" si="19"/>
        <v>4.3493696351284819E-10</v>
      </c>
      <c r="O151">
        <f t="shared" si="20"/>
        <v>1.5657730686462533E-3</v>
      </c>
      <c r="P151">
        <v>16.4085</v>
      </c>
    </row>
    <row r="152" spans="1:16" x14ac:dyDescent="0.35">
      <c r="A152" t="s">
        <v>37</v>
      </c>
      <c r="B152" s="2">
        <v>44800</v>
      </c>
      <c r="C152" s="3">
        <v>0.125</v>
      </c>
      <c r="D152" t="s">
        <v>45</v>
      </c>
      <c r="E152" t="s">
        <v>34</v>
      </c>
      <c r="F152" s="1" t="s">
        <v>38</v>
      </c>
      <c r="G152">
        <v>0.77400000000000002</v>
      </c>
      <c r="H152">
        <v>0.78100000000000003</v>
      </c>
      <c r="I152">
        <f t="shared" si="15"/>
        <v>9.0439276485788193E-3</v>
      </c>
      <c r="J152">
        <f t="shared" si="16"/>
        <v>3.6292971364400677E-7</v>
      </c>
      <c r="K152">
        <f t="shared" si="17"/>
        <v>0.36292971364400678</v>
      </c>
      <c r="L152">
        <v>1451.1274696249998</v>
      </c>
      <c r="M152">
        <f t="shared" si="18"/>
        <v>1.4511274696249997E-3</v>
      </c>
      <c r="N152">
        <f t="shared" si="19"/>
        <v>5.2665727701195324E-10</v>
      </c>
      <c r="O152">
        <f t="shared" si="20"/>
        <v>1.8959661972430316E-3</v>
      </c>
      <c r="P152">
        <v>17.264900000000001</v>
      </c>
    </row>
    <row r="153" spans="1:16" x14ac:dyDescent="0.35">
      <c r="A153" t="s">
        <v>37</v>
      </c>
      <c r="B153" s="2">
        <v>44800</v>
      </c>
      <c r="C153" s="3">
        <v>0.14583333333333334</v>
      </c>
      <c r="D153" t="s">
        <v>45</v>
      </c>
      <c r="E153" t="s">
        <v>34</v>
      </c>
      <c r="F153" s="1" t="s">
        <v>38</v>
      </c>
      <c r="G153">
        <v>0.77400000000000002</v>
      </c>
      <c r="H153">
        <v>0.78100000000000003</v>
      </c>
      <c r="I153">
        <f t="shared" si="15"/>
        <v>9.0439276485788193E-3</v>
      </c>
      <c r="J153">
        <f t="shared" si="16"/>
        <v>3.6292971364400677E-7</v>
      </c>
      <c r="K153">
        <f t="shared" si="17"/>
        <v>0.36292971364400678</v>
      </c>
      <c r="L153">
        <v>1451.1274696249998</v>
      </c>
      <c r="M153">
        <f t="shared" si="18"/>
        <v>1.4511274696249997E-3</v>
      </c>
      <c r="N153">
        <f t="shared" si="19"/>
        <v>5.2665727701195324E-10</v>
      </c>
      <c r="O153">
        <f t="shared" si="20"/>
        <v>1.8959661972430316E-3</v>
      </c>
      <c r="P153">
        <v>15.769</v>
      </c>
    </row>
    <row r="154" spans="1:16" x14ac:dyDescent="0.35">
      <c r="A154" t="s">
        <v>37</v>
      </c>
      <c r="B154" s="2">
        <v>44800</v>
      </c>
      <c r="C154" s="3">
        <v>0.16666666666666666</v>
      </c>
      <c r="D154" t="s">
        <v>45</v>
      </c>
      <c r="E154" t="s">
        <v>34</v>
      </c>
      <c r="F154" s="1" t="s">
        <v>38</v>
      </c>
      <c r="G154">
        <v>0.77400000000000002</v>
      </c>
      <c r="H154">
        <v>0.78100000000000003</v>
      </c>
      <c r="I154">
        <f t="shared" si="15"/>
        <v>9.0439276485788193E-3</v>
      </c>
      <c r="J154">
        <f t="shared" si="16"/>
        <v>3.6292971364400677E-7</v>
      </c>
      <c r="K154">
        <f t="shared" si="17"/>
        <v>0.36292971364400678</v>
      </c>
      <c r="L154">
        <v>1451.1274696249998</v>
      </c>
      <c r="M154">
        <f t="shared" si="18"/>
        <v>1.4511274696249997E-3</v>
      </c>
      <c r="N154">
        <f t="shared" si="19"/>
        <v>5.2665727701195324E-10</v>
      </c>
      <c r="O154">
        <f t="shared" si="20"/>
        <v>1.8959661972430316E-3</v>
      </c>
      <c r="P154">
        <v>16.060199999999998</v>
      </c>
    </row>
    <row r="155" spans="1:16" x14ac:dyDescent="0.35">
      <c r="A155" t="s">
        <v>37</v>
      </c>
      <c r="B155" s="2">
        <v>44800</v>
      </c>
      <c r="C155" s="3">
        <v>0.1875</v>
      </c>
      <c r="D155" t="s">
        <v>45</v>
      </c>
      <c r="E155" t="s">
        <v>34</v>
      </c>
      <c r="F155" s="1" t="s">
        <v>38</v>
      </c>
      <c r="G155">
        <v>0.77500000000000002</v>
      </c>
      <c r="H155">
        <v>0.78100000000000003</v>
      </c>
      <c r="I155">
        <f t="shared" si="15"/>
        <v>7.7419354838709747E-3</v>
      </c>
      <c r="J155">
        <f t="shared" si="16"/>
        <v>2.9972347200156345E-7</v>
      </c>
      <c r="K155">
        <f t="shared" si="17"/>
        <v>0.29972347200156346</v>
      </c>
      <c r="L155">
        <v>1451.1274696249998</v>
      </c>
      <c r="M155">
        <f t="shared" si="18"/>
        <v>1.4511274696249997E-3</v>
      </c>
      <c r="N155">
        <f t="shared" si="19"/>
        <v>4.3493696351284819E-10</v>
      </c>
      <c r="O155">
        <f t="shared" si="20"/>
        <v>1.5657730686462533E-3</v>
      </c>
      <c r="P155">
        <v>15.727600000000001</v>
      </c>
    </row>
    <row r="156" spans="1:16" x14ac:dyDescent="0.35">
      <c r="A156" t="s">
        <v>37</v>
      </c>
      <c r="B156" s="2">
        <v>44800</v>
      </c>
      <c r="C156" s="3">
        <v>0.20833333333333334</v>
      </c>
      <c r="D156" t="s">
        <v>45</v>
      </c>
      <c r="E156" t="s">
        <v>34</v>
      </c>
      <c r="F156" s="1" t="s">
        <v>38</v>
      </c>
      <c r="G156">
        <v>0.77600000000000002</v>
      </c>
      <c r="H156">
        <v>0.78100000000000003</v>
      </c>
      <c r="I156">
        <f t="shared" si="15"/>
        <v>6.4432989690721707E-3</v>
      </c>
      <c r="J156">
        <f t="shared" si="16"/>
        <v>2.3908881408537811E-7</v>
      </c>
      <c r="K156">
        <f t="shared" si="17"/>
        <v>0.2390888140853781</v>
      </c>
      <c r="L156">
        <v>1451.1274696249998</v>
      </c>
      <c r="M156">
        <f t="shared" si="18"/>
        <v>1.4511274696249997E-3</v>
      </c>
      <c r="N156">
        <f t="shared" si="19"/>
        <v>3.4694834579935673E-10</v>
      </c>
      <c r="O156">
        <f t="shared" si="20"/>
        <v>1.2490140448776844E-3</v>
      </c>
      <c r="P156">
        <v>15.0184</v>
      </c>
    </row>
    <row r="157" spans="1:16" x14ac:dyDescent="0.35">
      <c r="A157" t="s">
        <v>37</v>
      </c>
      <c r="B157" s="2">
        <v>44800</v>
      </c>
      <c r="C157" s="3">
        <v>0.22916666666666666</v>
      </c>
      <c r="D157" t="s">
        <v>45</v>
      </c>
      <c r="E157" t="s">
        <v>34</v>
      </c>
      <c r="F157" s="1" t="s">
        <v>38</v>
      </c>
      <c r="G157">
        <v>0.77600000000000002</v>
      </c>
      <c r="H157">
        <v>0.78100000000000003</v>
      </c>
      <c r="I157">
        <f t="shared" si="15"/>
        <v>6.4432989690721707E-3</v>
      </c>
      <c r="J157">
        <f t="shared" si="16"/>
        <v>2.3908881408537811E-7</v>
      </c>
      <c r="K157">
        <f t="shared" si="17"/>
        <v>0.2390888140853781</v>
      </c>
      <c r="L157">
        <v>1451.1274696249998</v>
      </c>
      <c r="M157">
        <f t="shared" si="18"/>
        <v>1.4511274696249997E-3</v>
      </c>
      <c r="N157">
        <f t="shared" si="19"/>
        <v>3.4694834579935673E-10</v>
      </c>
      <c r="O157">
        <f t="shared" si="20"/>
        <v>1.2490140448776844E-3</v>
      </c>
      <c r="P157">
        <v>14.711399999999999</v>
      </c>
    </row>
    <row r="158" spans="1:16" x14ac:dyDescent="0.35">
      <c r="A158" t="s">
        <v>37</v>
      </c>
      <c r="B158" s="2">
        <v>44800</v>
      </c>
      <c r="C158" s="3">
        <v>0.25</v>
      </c>
      <c r="D158" t="s">
        <v>45</v>
      </c>
      <c r="E158" t="s">
        <v>34</v>
      </c>
      <c r="F158" s="1" t="s">
        <v>38</v>
      </c>
      <c r="G158">
        <v>0.77600000000000002</v>
      </c>
      <c r="H158">
        <v>0.78100000000000003</v>
      </c>
      <c r="I158">
        <f t="shared" si="15"/>
        <v>6.4432989690721707E-3</v>
      </c>
      <c r="J158">
        <f t="shared" si="16"/>
        <v>2.3908881408537811E-7</v>
      </c>
      <c r="K158">
        <f t="shared" si="17"/>
        <v>0.2390888140853781</v>
      </c>
      <c r="L158">
        <v>1451.1274696249998</v>
      </c>
      <c r="M158">
        <f t="shared" si="18"/>
        <v>1.4511274696249997E-3</v>
      </c>
      <c r="N158">
        <f t="shared" si="19"/>
        <v>3.4694834579935673E-10</v>
      </c>
      <c r="O158">
        <f t="shared" si="20"/>
        <v>1.2490140448776844E-3</v>
      </c>
      <c r="P158">
        <v>15.889900000000001</v>
      </c>
    </row>
    <row r="159" spans="1:16" x14ac:dyDescent="0.35">
      <c r="A159" t="s">
        <v>37</v>
      </c>
      <c r="B159" s="2">
        <v>44800</v>
      </c>
      <c r="C159" s="3">
        <v>0.27083333333333331</v>
      </c>
      <c r="D159" t="s">
        <v>45</v>
      </c>
      <c r="E159" t="s">
        <v>34</v>
      </c>
      <c r="F159" s="1" t="s">
        <v>38</v>
      </c>
      <c r="G159">
        <v>0.77600000000000002</v>
      </c>
      <c r="H159">
        <v>0.78100000000000003</v>
      </c>
      <c r="I159">
        <f t="shared" si="15"/>
        <v>6.4432989690721707E-3</v>
      </c>
      <c r="J159">
        <f t="shared" si="16"/>
        <v>2.3908881408537811E-7</v>
      </c>
      <c r="K159">
        <f t="shared" si="17"/>
        <v>0.2390888140853781</v>
      </c>
      <c r="L159">
        <v>1451.1274696249998</v>
      </c>
      <c r="M159">
        <f t="shared" si="18"/>
        <v>1.4511274696249997E-3</v>
      </c>
      <c r="N159">
        <f t="shared" si="19"/>
        <v>3.4694834579935673E-10</v>
      </c>
      <c r="O159">
        <f t="shared" si="20"/>
        <v>1.2490140448776844E-3</v>
      </c>
      <c r="P159">
        <v>16.3066</v>
      </c>
    </row>
    <row r="160" spans="1:16" x14ac:dyDescent="0.35">
      <c r="A160" t="s">
        <v>37</v>
      </c>
      <c r="B160" s="2">
        <v>44800</v>
      </c>
      <c r="C160" s="3">
        <v>0.29166666666666669</v>
      </c>
      <c r="D160" t="s">
        <v>45</v>
      </c>
      <c r="E160" t="s">
        <v>34</v>
      </c>
      <c r="F160" s="1" t="s">
        <v>38</v>
      </c>
      <c r="G160">
        <v>0.77700000000000002</v>
      </c>
      <c r="H160">
        <v>0.78100000000000003</v>
      </c>
      <c r="I160">
        <f t="shared" si="15"/>
        <v>5.1480051480051522E-3</v>
      </c>
      <c r="J160">
        <f t="shared" si="16"/>
        <v>1.8137379352024376E-7</v>
      </c>
      <c r="K160">
        <f t="shared" si="17"/>
        <v>0.18137379352024374</v>
      </c>
      <c r="L160">
        <v>1451.1274696249998</v>
      </c>
      <c r="M160">
        <f t="shared" si="18"/>
        <v>1.4511274696249997E-3</v>
      </c>
      <c r="N160">
        <f t="shared" si="19"/>
        <v>2.6319649404731849E-10</v>
      </c>
      <c r="O160">
        <f t="shared" si="20"/>
        <v>9.4750737857034661E-4</v>
      </c>
      <c r="P160">
        <v>17.531300000000002</v>
      </c>
    </row>
    <row r="161" spans="1:16" x14ac:dyDescent="0.35">
      <c r="A161" t="s">
        <v>37</v>
      </c>
      <c r="B161" s="2">
        <v>44800</v>
      </c>
      <c r="C161" s="3">
        <v>0.3125</v>
      </c>
      <c r="D161" t="s">
        <v>45</v>
      </c>
      <c r="E161" t="s">
        <v>34</v>
      </c>
      <c r="F161" s="1" t="s">
        <v>38</v>
      </c>
      <c r="G161">
        <v>0.78</v>
      </c>
      <c r="H161">
        <v>0.78100000000000003</v>
      </c>
      <c r="I161">
        <f t="shared" si="15"/>
        <v>1.2820512820512831E-3</v>
      </c>
      <c r="J161">
        <f t="shared" si="16"/>
        <v>3.2762611009811896E-8</v>
      </c>
      <c r="K161">
        <f t="shared" si="17"/>
        <v>3.2762611009811898E-2</v>
      </c>
      <c r="L161">
        <v>1451.1274696249998</v>
      </c>
      <c r="M161">
        <f t="shared" si="18"/>
        <v>1.4511274696249997E-3</v>
      </c>
      <c r="N161">
        <f t="shared" si="19"/>
        <v>4.7542724812976494E-11</v>
      </c>
      <c r="O161">
        <f t="shared" si="20"/>
        <v>1.7115380932671538E-4</v>
      </c>
      <c r="P161">
        <v>18.497699999999998</v>
      </c>
    </row>
    <row r="162" spans="1:16" x14ac:dyDescent="0.35">
      <c r="A162" t="s">
        <v>37</v>
      </c>
      <c r="B162" s="2">
        <v>44800</v>
      </c>
      <c r="C162" s="3">
        <v>0.33333333333333331</v>
      </c>
      <c r="D162" t="s">
        <v>45</v>
      </c>
      <c r="E162" t="s">
        <v>34</v>
      </c>
      <c r="F162" s="1" t="s">
        <v>38</v>
      </c>
      <c r="G162">
        <v>0.78100000000000003</v>
      </c>
      <c r="H162">
        <v>0.78100000000000003</v>
      </c>
      <c r="I162">
        <f t="shared" si="15"/>
        <v>0</v>
      </c>
      <c r="J162">
        <f t="shared" si="16"/>
        <v>0</v>
      </c>
      <c r="K162">
        <f t="shared" si="17"/>
        <v>0</v>
      </c>
      <c r="L162">
        <v>1451.1274696249998</v>
      </c>
      <c r="M162">
        <f t="shared" si="18"/>
        <v>1.4511274696249997E-3</v>
      </c>
      <c r="N162">
        <f t="shared" si="19"/>
        <v>0</v>
      </c>
      <c r="O162">
        <f t="shared" si="20"/>
        <v>0</v>
      </c>
      <c r="P162">
        <v>20.640699999999999</v>
      </c>
    </row>
    <row r="163" spans="1:16" x14ac:dyDescent="0.35">
      <c r="A163" t="s">
        <v>37</v>
      </c>
      <c r="B163" s="2">
        <v>44800</v>
      </c>
      <c r="C163" s="3">
        <v>0.35416666666666669</v>
      </c>
      <c r="D163" t="s">
        <v>45</v>
      </c>
      <c r="E163" t="s">
        <v>34</v>
      </c>
      <c r="F163" s="1" t="s">
        <v>38</v>
      </c>
      <c r="G163">
        <v>0.77800000000000002</v>
      </c>
      <c r="H163">
        <v>0.78100000000000003</v>
      </c>
      <c r="I163">
        <f t="shared" si="15"/>
        <v>3.8560411311054019E-3</v>
      </c>
      <c r="J163">
        <f t="shared" si="16"/>
        <v>1.2708296592667036E-7</v>
      </c>
      <c r="K163">
        <f t="shared" si="17"/>
        <v>0.12708296592667034</v>
      </c>
      <c r="L163">
        <v>1451.1274696249998</v>
      </c>
      <c r="M163">
        <f t="shared" si="18"/>
        <v>1.4511274696249997E-3</v>
      </c>
      <c r="N163">
        <f t="shared" si="19"/>
        <v>1.844135827776092E-10</v>
      </c>
      <c r="O163">
        <f t="shared" si="20"/>
        <v>6.6388889799939312E-4</v>
      </c>
      <c r="P163">
        <v>21.7852</v>
      </c>
    </row>
    <row r="164" spans="1:16" x14ac:dyDescent="0.35">
      <c r="A164" t="s">
        <v>37</v>
      </c>
      <c r="B164" s="2">
        <v>44800</v>
      </c>
      <c r="C164" s="3">
        <v>0.375</v>
      </c>
      <c r="D164" t="s">
        <v>45</v>
      </c>
      <c r="E164" t="s">
        <v>34</v>
      </c>
      <c r="F164" s="1" t="s">
        <v>38</v>
      </c>
      <c r="G164">
        <v>0.75700000000000001</v>
      </c>
      <c r="H164">
        <v>0.78100000000000003</v>
      </c>
      <c r="I164">
        <f t="shared" si="15"/>
        <v>3.1704095112285363E-2</v>
      </c>
      <c r="J164">
        <f t="shared" si="16"/>
        <v>1.6998866855611948E-6</v>
      </c>
      <c r="K164">
        <f t="shared" si="17"/>
        <v>1.6998866855611947</v>
      </c>
      <c r="L164">
        <v>1451.1274696249998</v>
      </c>
      <c r="M164">
        <f t="shared" si="18"/>
        <v>1.4511274696249997E-3</v>
      </c>
      <c r="N164">
        <f t="shared" si="19"/>
        <v>2.4667522646676443E-9</v>
      </c>
      <c r="O164">
        <f t="shared" si="20"/>
        <v>8.8803081528035198E-3</v>
      </c>
      <c r="P164">
        <v>23.6355</v>
      </c>
    </row>
    <row r="165" spans="1:16" x14ac:dyDescent="0.35">
      <c r="A165" t="s">
        <v>37</v>
      </c>
      <c r="B165" s="2">
        <v>44800</v>
      </c>
      <c r="C165" s="3">
        <v>0.39583333333333331</v>
      </c>
      <c r="D165" t="s">
        <v>45</v>
      </c>
      <c r="E165" t="s">
        <v>34</v>
      </c>
      <c r="F165" s="1" t="s">
        <v>38</v>
      </c>
      <c r="G165">
        <v>0.72199999999999998</v>
      </c>
      <c r="H165">
        <v>0.78100000000000003</v>
      </c>
      <c r="I165">
        <f t="shared" si="15"/>
        <v>8.1717451523545787E-2</v>
      </c>
      <c r="J165">
        <f t="shared" si="16"/>
        <v>5.45263588611067E-6</v>
      </c>
      <c r="K165">
        <f t="shared" si="17"/>
        <v>5.4526358861106701</v>
      </c>
      <c r="L165">
        <v>1451.1274696249998</v>
      </c>
      <c r="M165">
        <f t="shared" si="18"/>
        <v>1.4511274696249997E-3</v>
      </c>
      <c r="N165">
        <f t="shared" si="19"/>
        <v>7.9124697161982436E-9</v>
      </c>
      <c r="O165">
        <f t="shared" si="20"/>
        <v>2.8484890978313679E-2</v>
      </c>
      <c r="P165">
        <v>25.8127</v>
      </c>
    </row>
    <row r="166" spans="1:16" x14ac:dyDescent="0.35">
      <c r="A166" t="s">
        <v>37</v>
      </c>
      <c r="B166" s="2">
        <v>44800</v>
      </c>
      <c r="C166" s="3">
        <v>0.41666666666666669</v>
      </c>
      <c r="D166" t="s">
        <v>45</v>
      </c>
      <c r="E166" t="s">
        <v>34</v>
      </c>
      <c r="F166" s="1" t="s">
        <v>38</v>
      </c>
      <c r="G166">
        <v>0.68899999999999995</v>
      </c>
      <c r="H166">
        <v>0.78100000000000003</v>
      </c>
      <c r="I166">
        <f t="shared" si="15"/>
        <v>0.13352685050798271</v>
      </c>
      <c r="J166">
        <f t="shared" si="16"/>
        <v>9.9798017644156016E-6</v>
      </c>
      <c r="K166">
        <f t="shared" si="17"/>
        <v>9.9798017644156012</v>
      </c>
      <c r="L166">
        <v>1451.1274696249998</v>
      </c>
      <c r="M166">
        <f t="shared" si="18"/>
        <v>1.4511274696249997E-3</v>
      </c>
      <c r="N166">
        <f t="shared" si="19"/>
        <v>1.448196448175552E-8</v>
      </c>
      <c r="O166">
        <f t="shared" si="20"/>
        <v>5.2135072134319872E-2</v>
      </c>
      <c r="P166">
        <v>27.663900000000002</v>
      </c>
    </row>
    <row r="167" spans="1:16" x14ac:dyDescent="0.35">
      <c r="A167" t="s">
        <v>37</v>
      </c>
      <c r="B167" s="2">
        <v>44800</v>
      </c>
      <c r="C167" s="3">
        <v>0.4375</v>
      </c>
      <c r="D167" t="s">
        <v>45</v>
      </c>
      <c r="E167" t="s">
        <v>34</v>
      </c>
      <c r="F167" s="1" t="s">
        <v>38</v>
      </c>
      <c r="G167">
        <v>0.64700000000000002</v>
      </c>
      <c r="H167">
        <v>0.78100000000000003</v>
      </c>
      <c r="I167">
        <f t="shared" si="15"/>
        <v>0.2071097372488408</v>
      </c>
      <c r="J167">
        <f t="shared" si="16"/>
        <v>1.7131279418690594E-5</v>
      </c>
      <c r="K167">
        <f t="shared" si="17"/>
        <v>17.131279418690593</v>
      </c>
      <c r="L167">
        <v>1451.1274696249998</v>
      </c>
      <c r="M167">
        <f t="shared" si="18"/>
        <v>1.4511274696249997E-3</v>
      </c>
      <c r="N167">
        <f t="shared" si="19"/>
        <v>2.4859670154283315E-8</v>
      </c>
      <c r="O167">
        <f t="shared" si="20"/>
        <v>8.9494812555419925E-2</v>
      </c>
      <c r="P167">
        <v>29.2453</v>
      </c>
    </row>
    <row r="168" spans="1:16" x14ac:dyDescent="0.35">
      <c r="A168" t="s">
        <v>37</v>
      </c>
      <c r="B168" s="2">
        <v>44800</v>
      </c>
      <c r="C168" s="3">
        <v>0.45833333333333331</v>
      </c>
      <c r="D168" t="s">
        <v>45</v>
      </c>
      <c r="E168" t="s">
        <v>34</v>
      </c>
      <c r="F168" s="1" t="s">
        <v>38</v>
      </c>
      <c r="G168">
        <v>0.61299999999999999</v>
      </c>
      <c r="H168">
        <v>0.78100000000000003</v>
      </c>
      <c r="I168">
        <f t="shared" si="15"/>
        <v>0.27406199021207184</v>
      </c>
      <c r="J168">
        <f t="shared" si="16"/>
        <v>2.4184596339865869E-5</v>
      </c>
      <c r="K168">
        <f t="shared" si="17"/>
        <v>24.18459633986587</v>
      </c>
      <c r="L168">
        <v>1451.1274696249998</v>
      </c>
      <c r="M168">
        <f t="shared" si="18"/>
        <v>1.4511274696249997E-3</v>
      </c>
      <c r="N168">
        <f t="shared" si="19"/>
        <v>3.5094932090571588E-8</v>
      </c>
      <c r="O168">
        <f t="shared" si="20"/>
        <v>0.12634175552605773</v>
      </c>
      <c r="P168">
        <v>31.9986</v>
      </c>
    </row>
    <row r="169" spans="1:16" x14ac:dyDescent="0.35">
      <c r="A169" t="s">
        <v>37</v>
      </c>
      <c r="B169" s="2">
        <v>44800</v>
      </c>
      <c r="C169" s="3">
        <v>0.47916666666666669</v>
      </c>
      <c r="D169" t="s">
        <v>45</v>
      </c>
      <c r="E169" t="s">
        <v>34</v>
      </c>
      <c r="F169" s="1" t="s">
        <v>38</v>
      </c>
      <c r="G169">
        <v>0.59399999999999997</v>
      </c>
      <c r="H169">
        <v>0.78100000000000003</v>
      </c>
      <c r="I169">
        <f t="shared" ref="I169:I232" si="21">(H169-G169)/G169</f>
        <v>0.31481481481481494</v>
      </c>
      <c r="J169">
        <f t="shared" ref="J169:J232" si="22">119*10^-6*(I169^1.231)</f>
        <v>2.8684868630753675E-5</v>
      </c>
      <c r="K169">
        <f t="shared" si="17"/>
        <v>28.684868630753677</v>
      </c>
      <c r="L169">
        <v>1451.1274696249998</v>
      </c>
      <c r="M169">
        <f t="shared" si="18"/>
        <v>1.4511274696249997E-3</v>
      </c>
      <c r="N169">
        <f t="shared" si="19"/>
        <v>4.1625400832671112E-8</v>
      </c>
      <c r="O169">
        <f t="shared" si="20"/>
        <v>0.14985144299761602</v>
      </c>
      <c r="P169">
        <v>31.6327</v>
      </c>
    </row>
    <row r="170" spans="1:16" x14ac:dyDescent="0.35">
      <c r="A170" t="s">
        <v>37</v>
      </c>
      <c r="B170" s="2">
        <v>44800</v>
      </c>
      <c r="C170" s="3">
        <v>0.5</v>
      </c>
      <c r="D170" t="s">
        <v>45</v>
      </c>
      <c r="E170" t="s">
        <v>34</v>
      </c>
      <c r="F170" s="1" t="s">
        <v>38</v>
      </c>
      <c r="G170">
        <v>0.59199999999999997</v>
      </c>
      <c r="H170">
        <v>0.78100000000000003</v>
      </c>
      <c r="I170">
        <f t="shared" si="21"/>
        <v>0.31925675675675685</v>
      </c>
      <c r="J170">
        <f t="shared" si="22"/>
        <v>2.9183906238257036E-5</v>
      </c>
      <c r="K170">
        <f t="shared" ref="K170:K233" si="23">J170*10^6</f>
        <v>29.183906238257034</v>
      </c>
      <c r="L170">
        <v>1451.1274696249998</v>
      </c>
      <c r="M170">
        <f t="shared" si="18"/>
        <v>1.4511274696249997E-3</v>
      </c>
      <c r="N170">
        <f t="shared" si="19"/>
        <v>4.2349568013295175E-8</v>
      </c>
      <c r="O170">
        <f t="shared" si="20"/>
        <v>0.15245844484786264</v>
      </c>
      <c r="P170">
        <v>31.8827</v>
      </c>
    </row>
    <row r="171" spans="1:16" x14ac:dyDescent="0.35">
      <c r="A171" t="s">
        <v>37</v>
      </c>
      <c r="B171" s="2">
        <v>44800</v>
      </c>
      <c r="C171" s="3">
        <v>0.52083333333333337</v>
      </c>
      <c r="D171" t="s">
        <v>45</v>
      </c>
      <c r="E171" t="s">
        <v>34</v>
      </c>
      <c r="F171" s="1" t="s">
        <v>38</v>
      </c>
      <c r="G171">
        <v>0.60499999999999998</v>
      </c>
      <c r="H171">
        <v>0.78100000000000003</v>
      </c>
      <c r="I171">
        <f t="shared" si="21"/>
        <v>0.29090909090909101</v>
      </c>
      <c r="J171">
        <f t="shared" si="22"/>
        <v>2.6027484065989095E-5</v>
      </c>
      <c r="K171">
        <f t="shared" si="23"/>
        <v>26.027484065989096</v>
      </c>
      <c r="L171">
        <v>1451.1274696249998</v>
      </c>
      <c r="M171">
        <f t="shared" si="18"/>
        <v>1.4511274696249997E-3</v>
      </c>
      <c r="N171">
        <f t="shared" si="19"/>
        <v>3.7769197093383753E-8</v>
      </c>
      <c r="O171">
        <f t="shared" si="20"/>
        <v>0.13596910953618152</v>
      </c>
      <c r="P171">
        <v>32.619799999999998</v>
      </c>
    </row>
    <row r="172" spans="1:16" x14ac:dyDescent="0.35">
      <c r="A172" t="s">
        <v>37</v>
      </c>
      <c r="B172" s="2">
        <v>44800</v>
      </c>
      <c r="C172" s="3">
        <v>0.54166666666666663</v>
      </c>
      <c r="D172" t="s">
        <v>45</v>
      </c>
      <c r="E172" t="s">
        <v>34</v>
      </c>
      <c r="F172" s="1" t="s">
        <v>38</v>
      </c>
      <c r="G172">
        <v>0.624</v>
      </c>
      <c r="H172">
        <v>0.78100000000000003</v>
      </c>
      <c r="I172">
        <f t="shared" si="21"/>
        <v>0.25160256410256415</v>
      </c>
      <c r="J172">
        <f t="shared" si="22"/>
        <v>2.1768434810381486E-5</v>
      </c>
      <c r="K172">
        <f t="shared" si="23"/>
        <v>21.768434810381486</v>
      </c>
      <c r="L172">
        <v>1451.1274696249998</v>
      </c>
      <c r="M172">
        <f t="shared" si="18"/>
        <v>1.4511274696249997E-3</v>
      </c>
      <c r="N172">
        <f t="shared" si="19"/>
        <v>3.1588773724085641E-8</v>
      </c>
      <c r="O172">
        <f t="shared" si="20"/>
        <v>0.1137195854067083</v>
      </c>
      <c r="P172">
        <v>29.2163</v>
      </c>
    </row>
    <row r="173" spans="1:16" x14ac:dyDescent="0.35">
      <c r="A173" t="s">
        <v>37</v>
      </c>
      <c r="B173" s="2">
        <v>44800</v>
      </c>
      <c r="C173" s="3">
        <v>0.5625</v>
      </c>
      <c r="D173" t="s">
        <v>45</v>
      </c>
      <c r="E173" t="s">
        <v>34</v>
      </c>
      <c r="F173" s="1" t="s">
        <v>38</v>
      </c>
      <c r="G173">
        <v>0.63800000000000001</v>
      </c>
      <c r="H173">
        <v>0.78100000000000003</v>
      </c>
      <c r="I173">
        <f t="shared" si="21"/>
        <v>0.22413793103448279</v>
      </c>
      <c r="J173">
        <f t="shared" si="22"/>
        <v>1.888127718923093E-5</v>
      </c>
      <c r="K173">
        <f t="shared" si="23"/>
        <v>18.881277189230929</v>
      </c>
      <c r="L173">
        <v>1451.1274696249998</v>
      </c>
      <c r="M173">
        <f t="shared" si="18"/>
        <v>1.4511274696249997E-3</v>
      </c>
      <c r="N173">
        <f t="shared" si="19"/>
        <v>2.7399139990896905E-8</v>
      </c>
      <c r="O173">
        <f t="shared" si="20"/>
        <v>9.8636903967228864E-2</v>
      </c>
      <c r="P173">
        <v>30.803799999999999</v>
      </c>
    </row>
    <row r="174" spans="1:16" x14ac:dyDescent="0.35">
      <c r="A174" t="s">
        <v>37</v>
      </c>
      <c r="B174" s="2">
        <v>44800</v>
      </c>
      <c r="C174" s="3">
        <v>0.58333333333333337</v>
      </c>
      <c r="D174" t="s">
        <v>45</v>
      </c>
      <c r="E174" t="s">
        <v>34</v>
      </c>
      <c r="F174" s="1" t="s">
        <v>38</v>
      </c>
      <c r="G174">
        <v>0.64900000000000002</v>
      </c>
      <c r="H174">
        <v>0.78100000000000003</v>
      </c>
      <c r="I174">
        <f t="shared" si="21"/>
        <v>0.20338983050847459</v>
      </c>
      <c r="J174">
        <f t="shared" si="22"/>
        <v>1.6753295506113171E-5</v>
      </c>
      <c r="K174">
        <f t="shared" si="23"/>
        <v>16.753295506113172</v>
      </c>
      <c r="L174">
        <v>1451.1274696249998</v>
      </c>
      <c r="M174">
        <f t="shared" si="18"/>
        <v>1.4511274696249997E-3</v>
      </c>
      <c r="N174">
        <f t="shared" si="19"/>
        <v>2.4311167315665885E-8</v>
      </c>
      <c r="O174">
        <f t="shared" si="20"/>
        <v>8.7520202336397179E-2</v>
      </c>
      <c r="P174">
        <v>30.016100000000002</v>
      </c>
    </row>
    <row r="175" spans="1:16" x14ac:dyDescent="0.35">
      <c r="A175" t="s">
        <v>37</v>
      </c>
      <c r="B175" s="2">
        <v>44800</v>
      </c>
      <c r="C175" s="3">
        <v>0.60416666666666663</v>
      </c>
      <c r="D175" t="s">
        <v>45</v>
      </c>
      <c r="E175" t="s">
        <v>34</v>
      </c>
      <c r="F175" s="1" t="s">
        <v>38</v>
      </c>
      <c r="G175">
        <v>0.65700000000000003</v>
      </c>
      <c r="H175">
        <v>0.78100000000000003</v>
      </c>
      <c r="I175">
        <f t="shared" si="21"/>
        <v>0.18873668188736681</v>
      </c>
      <c r="J175">
        <f t="shared" si="22"/>
        <v>1.5280096109644202E-5</v>
      </c>
      <c r="K175">
        <f t="shared" si="23"/>
        <v>15.280096109644202</v>
      </c>
      <c r="L175">
        <v>1451.1274696249998</v>
      </c>
      <c r="M175">
        <f t="shared" si="18"/>
        <v>1.4511274696249997E-3</v>
      </c>
      <c r="N175">
        <f t="shared" si="19"/>
        <v>2.2173367203214792E-8</v>
      </c>
      <c r="O175">
        <f t="shared" si="20"/>
        <v>7.9824121931573247E-2</v>
      </c>
      <c r="P175">
        <v>31.1188</v>
      </c>
    </row>
    <row r="176" spans="1:16" x14ac:dyDescent="0.35">
      <c r="A176" t="s">
        <v>37</v>
      </c>
      <c r="B176" s="2">
        <v>44800</v>
      </c>
      <c r="C176" s="3">
        <v>0.625</v>
      </c>
      <c r="D176" t="s">
        <v>45</v>
      </c>
      <c r="E176" t="s">
        <v>34</v>
      </c>
      <c r="F176" s="1" t="s">
        <v>38</v>
      </c>
      <c r="G176">
        <v>0.66300000000000003</v>
      </c>
      <c r="H176">
        <v>0.78100000000000003</v>
      </c>
      <c r="I176">
        <f t="shared" si="21"/>
        <v>0.17797888386123678</v>
      </c>
      <c r="J176">
        <f t="shared" si="22"/>
        <v>1.4215120938991001E-5</v>
      </c>
      <c r="K176">
        <f t="shared" si="23"/>
        <v>14.215120938991001</v>
      </c>
      <c r="L176">
        <v>1451.1274696249998</v>
      </c>
      <c r="M176">
        <f t="shared" si="18"/>
        <v>1.4511274696249997E-3</v>
      </c>
      <c r="N176">
        <f t="shared" si="19"/>
        <v>2.062795247861136E-8</v>
      </c>
      <c r="O176">
        <f t="shared" si="20"/>
        <v>7.4260628923000893E-2</v>
      </c>
      <c r="P176">
        <v>33.7301</v>
      </c>
    </row>
    <row r="177" spans="1:16" x14ac:dyDescent="0.35">
      <c r="A177" t="s">
        <v>37</v>
      </c>
      <c r="B177" s="2">
        <v>44800</v>
      </c>
      <c r="C177" s="3">
        <v>0.64583333333333337</v>
      </c>
      <c r="D177" t="s">
        <v>45</v>
      </c>
      <c r="E177" t="s">
        <v>34</v>
      </c>
      <c r="F177" s="1" t="s">
        <v>38</v>
      </c>
      <c r="G177">
        <v>0.66400000000000003</v>
      </c>
      <c r="H177">
        <v>0.78100000000000003</v>
      </c>
      <c r="I177">
        <f t="shared" si="21"/>
        <v>0.1762048192771084</v>
      </c>
      <c r="J177">
        <f t="shared" si="22"/>
        <v>1.4040896935360356E-5</v>
      </c>
      <c r="K177">
        <f t="shared" si="23"/>
        <v>14.040896935360356</v>
      </c>
      <c r="L177">
        <v>1451.1274696249998</v>
      </c>
      <c r="M177">
        <f t="shared" si="18"/>
        <v>1.4511274696249997E-3</v>
      </c>
      <c r="N177">
        <f t="shared" si="19"/>
        <v>2.0375131241074885E-8</v>
      </c>
      <c r="O177">
        <f t="shared" si="20"/>
        <v>7.335047246786959E-2</v>
      </c>
      <c r="P177">
        <v>32.391100000000002</v>
      </c>
    </row>
    <row r="178" spans="1:16" x14ac:dyDescent="0.35">
      <c r="A178" t="s">
        <v>37</v>
      </c>
      <c r="B178" s="2">
        <v>44800</v>
      </c>
      <c r="C178" s="3">
        <v>0.66666666666666663</v>
      </c>
      <c r="D178" t="s">
        <v>45</v>
      </c>
      <c r="E178" t="s">
        <v>34</v>
      </c>
      <c r="F178" s="1" t="s">
        <v>38</v>
      </c>
      <c r="G178">
        <v>0.66500000000000004</v>
      </c>
      <c r="H178">
        <v>0.78100000000000003</v>
      </c>
      <c r="I178">
        <f t="shared" si="21"/>
        <v>0.17443609022556389</v>
      </c>
      <c r="J178">
        <f t="shared" si="22"/>
        <v>1.386759982373938E-5</v>
      </c>
      <c r="K178">
        <f t="shared" si="23"/>
        <v>13.867599823739379</v>
      </c>
      <c r="L178">
        <v>1451.1274696249998</v>
      </c>
      <c r="M178">
        <f t="shared" si="18"/>
        <v>1.4511274696249997E-3</v>
      </c>
      <c r="N178">
        <f t="shared" si="19"/>
        <v>2.0123655041995018E-8</v>
      </c>
      <c r="O178">
        <f t="shared" si="20"/>
        <v>7.2445158151182062E-2</v>
      </c>
      <c r="P178">
        <v>28.613099999999999</v>
      </c>
    </row>
    <row r="179" spans="1:16" x14ac:dyDescent="0.35">
      <c r="A179" t="s">
        <v>37</v>
      </c>
      <c r="B179" s="2">
        <v>44800</v>
      </c>
      <c r="C179" s="3">
        <v>0.6875</v>
      </c>
      <c r="D179" t="s">
        <v>45</v>
      </c>
      <c r="E179" t="s">
        <v>34</v>
      </c>
      <c r="F179" s="1" t="s">
        <v>38</v>
      </c>
      <c r="G179">
        <v>0.67200000000000004</v>
      </c>
      <c r="H179">
        <v>0.78100000000000003</v>
      </c>
      <c r="I179">
        <f t="shared" si="21"/>
        <v>0.16220238095238093</v>
      </c>
      <c r="J179">
        <f t="shared" si="22"/>
        <v>1.2680238005104917E-5</v>
      </c>
      <c r="K179">
        <f t="shared" si="23"/>
        <v>12.680238005104917</v>
      </c>
      <c r="L179">
        <v>1451.1274696249998</v>
      </c>
      <c r="M179">
        <f t="shared" si="18"/>
        <v>1.4511274696249997E-3</v>
      </c>
      <c r="N179">
        <f t="shared" si="19"/>
        <v>1.8400641690590652E-8</v>
      </c>
      <c r="O179">
        <f t="shared" si="20"/>
        <v>6.6242310086126341E-2</v>
      </c>
      <c r="P179">
        <v>29.746700000000001</v>
      </c>
    </row>
    <row r="180" spans="1:16" x14ac:dyDescent="0.35">
      <c r="A180" t="s">
        <v>37</v>
      </c>
      <c r="B180" s="2">
        <v>44800</v>
      </c>
      <c r="C180" s="3">
        <v>0.70833333333333337</v>
      </c>
      <c r="D180" t="s">
        <v>45</v>
      </c>
      <c r="E180" t="s">
        <v>34</v>
      </c>
      <c r="F180" s="1" t="s">
        <v>38</v>
      </c>
      <c r="G180">
        <v>0.67700000000000005</v>
      </c>
      <c r="H180">
        <v>0.78100000000000003</v>
      </c>
      <c r="I180">
        <f t="shared" si="21"/>
        <v>0.15361890694239289</v>
      </c>
      <c r="J180">
        <f t="shared" si="22"/>
        <v>1.1859335377462517E-5</v>
      </c>
      <c r="K180">
        <f t="shared" si="23"/>
        <v>11.859335377462518</v>
      </c>
      <c r="L180">
        <v>1451.1274696249998</v>
      </c>
      <c r="M180">
        <f t="shared" si="18"/>
        <v>1.4511274696249997E-3</v>
      </c>
      <c r="N180">
        <f t="shared" si="19"/>
        <v>1.7209407337731421E-8</v>
      </c>
      <c r="O180">
        <f t="shared" si="20"/>
        <v>6.1953866415833114E-2</v>
      </c>
      <c r="P180">
        <v>26.706800000000001</v>
      </c>
    </row>
    <row r="181" spans="1:16" x14ac:dyDescent="0.35">
      <c r="A181" t="s">
        <v>37</v>
      </c>
      <c r="B181" s="2">
        <v>44800</v>
      </c>
      <c r="C181" s="3">
        <v>0.72916666666666663</v>
      </c>
      <c r="D181" t="s">
        <v>45</v>
      </c>
      <c r="E181" t="s">
        <v>34</v>
      </c>
      <c r="F181" s="1" t="s">
        <v>38</v>
      </c>
      <c r="G181">
        <v>0.69099999999999995</v>
      </c>
      <c r="H181">
        <v>0.78100000000000003</v>
      </c>
      <c r="I181">
        <f t="shared" si="21"/>
        <v>0.13024602026049217</v>
      </c>
      <c r="J181">
        <f t="shared" si="22"/>
        <v>9.6788111070902837E-6</v>
      </c>
      <c r="K181">
        <f t="shared" si="23"/>
        <v>9.6788111070902829</v>
      </c>
      <c r="L181">
        <v>1451.1274696249998</v>
      </c>
      <c r="M181">
        <f t="shared" si="18"/>
        <v>1.4511274696249997E-3</v>
      </c>
      <c r="N181">
        <f t="shared" si="19"/>
        <v>1.4045188670810265E-8</v>
      </c>
      <c r="O181">
        <f t="shared" si="20"/>
        <v>5.0562679214916952E-2</v>
      </c>
      <c r="P181">
        <v>24.7545</v>
      </c>
    </row>
    <row r="182" spans="1:16" x14ac:dyDescent="0.35">
      <c r="A182" t="s">
        <v>37</v>
      </c>
      <c r="B182" s="2">
        <v>44800</v>
      </c>
      <c r="C182" s="3">
        <v>0.75</v>
      </c>
      <c r="D182" t="s">
        <v>45</v>
      </c>
      <c r="E182" t="s">
        <v>34</v>
      </c>
      <c r="F182" s="1" t="s">
        <v>38</v>
      </c>
      <c r="G182">
        <v>0.70499999999999996</v>
      </c>
      <c r="H182">
        <v>0.78100000000000003</v>
      </c>
      <c r="I182">
        <f t="shared" si="21"/>
        <v>0.10780141843971641</v>
      </c>
      <c r="J182">
        <f t="shared" si="22"/>
        <v>7.668451770143925E-6</v>
      </c>
      <c r="K182">
        <f t="shared" si="23"/>
        <v>7.6684517701439248</v>
      </c>
      <c r="L182">
        <v>1451.1274696249998</v>
      </c>
      <c r="M182">
        <f t="shared" si="18"/>
        <v>1.4511274696249997E-3</v>
      </c>
      <c r="N182">
        <f t="shared" si="19"/>
        <v>1.1127901013150303E-8</v>
      </c>
      <c r="O182">
        <f t="shared" si="20"/>
        <v>4.0060443647341092E-2</v>
      </c>
      <c r="P182">
        <v>21.6553</v>
      </c>
    </row>
    <row r="183" spans="1:16" x14ac:dyDescent="0.35">
      <c r="A183" t="s">
        <v>37</v>
      </c>
      <c r="B183" s="2">
        <v>44800</v>
      </c>
      <c r="C183" s="3">
        <v>0.77083333333333337</v>
      </c>
      <c r="D183" t="s">
        <v>45</v>
      </c>
      <c r="E183" t="s">
        <v>34</v>
      </c>
      <c r="F183" s="1" t="s">
        <v>38</v>
      </c>
      <c r="G183">
        <v>0.72</v>
      </c>
      <c r="H183">
        <v>0.78100000000000003</v>
      </c>
      <c r="I183">
        <f t="shared" si="21"/>
        <v>8.4722222222222296E-2</v>
      </c>
      <c r="J183">
        <f t="shared" si="22"/>
        <v>5.7004833980749768E-6</v>
      </c>
      <c r="K183">
        <f t="shared" si="23"/>
        <v>5.7004833980749767</v>
      </c>
      <c r="L183">
        <v>1451.1274696249998</v>
      </c>
      <c r="M183">
        <f t="shared" si="18"/>
        <v>1.4511274696249997E-3</v>
      </c>
      <c r="N183">
        <f t="shared" si="19"/>
        <v>8.2721280490878612E-9</v>
      </c>
      <c r="O183">
        <f t="shared" si="20"/>
        <v>2.9779660976716301E-2</v>
      </c>
      <c r="P183">
        <v>21.886700000000001</v>
      </c>
    </row>
    <row r="184" spans="1:16" x14ac:dyDescent="0.35">
      <c r="A184" t="s">
        <v>37</v>
      </c>
      <c r="B184" s="2">
        <v>44800</v>
      </c>
      <c r="C184" s="3">
        <v>0.79166666666666663</v>
      </c>
      <c r="D184" t="s">
        <v>45</v>
      </c>
      <c r="E184" t="s">
        <v>34</v>
      </c>
      <c r="F184" s="1" t="s">
        <v>38</v>
      </c>
      <c r="G184">
        <v>0.73299999999999998</v>
      </c>
      <c r="H184">
        <v>0.78100000000000003</v>
      </c>
      <c r="I184">
        <f t="shared" si="21"/>
        <v>6.5484311050477556E-2</v>
      </c>
      <c r="J184">
        <f t="shared" si="22"/>
        <v>4.1515658590745009E-6</v>
      </c>
      <c r="K184">
        <f t="shared" si="23"/>
        <v>4.151565859074501</v>
      </c>
      <c r="L184">
        <v>1451.1274696249998</v>
      </c>
      <c r="M184">
        <f t="shared" si="18"/>
        <v>1.4511274696249997E-3</v>
      </c>
      <c r="N184">
        <f t="shared" si="19"/>
        <v>6.0244512600603185E-9</v>
      </c>
      <c r="O184">
        <f t="shared" si="20"/>
        <v>2.1688024536217147E-2</v>
      </c>
      <c r="P184">
        <v>21.135999999999999</v>
      </c>
    </row>
    <row r="185" spans="1:16" x14ac:dyDescent="0.35">
      <c r="A185" t="s">
        <v>37</v>
      </c>
      <c r="B185" s="2">
        <v>44800</v>
      </c>
      <c r="C185" s="3">
        <v>0.8125</v>
      </c>
      <c r="D185" t="s">
        <v>45</v>
      </c>
      <c r="E185" t="s">
        <v>34</v>
      </c>
      <c r="F185" s="1" t="s">
        <v>38</v>
      </c>
      <c r="G185">
        <v>0.745</v>
      </c>
      <c r="H185">
        <v>0.78100000000000003</v>
      </c>
      <c r="I185">
        <f t="shared" si="21"/>
        <v>4.8322147651006751E-2</v>
      </c>
      <c r="J185">
        <f t="shared" si="22"/>
        <v>2.8558209031380295E-6</v>
      </c>
      <c r="K185">
        <f t="shared" si="23"/>
        <v>2.8558209031380293</v>
      </c>
      <c r="L185">
        <v>1451.1274696249998</v>
      </c>
      <c r="M185">
        <f t="shared" si="18"/>
        <v>1.4511274696249997E-3</v>
      </c>
      <c r="N185">
        <f t="shared" si="19"/>
        <v>4.1441601608728701E-9</v>
      </c>
      <c r="O185">
        <f t="shared" si="20"/>
        <v>1.4918976579142334E-2</v>
      </c>
      <c r="P185">
        <v>22.610600000000002</v>
      </c>
    </row>
    <row r="186" spans="1:16" x14ac:dyDescent="0.35">
      <c r="A186" t="s">
        <v>37</v>
      </c>
      <c r="B186" s="2">
        <v>44800</v>
      </c>
      <c r="C186" s="3">
        <v>0.83333333333333337</v>
      </c>
      <c r="D186" t="s">
        <v>45</v>
      </c>
      <c r="E186" t="s">
        <v>34</v>
      </c>
      <c r="F186" s="1" t="s">
        <v>38</v>
      </c>
      <c r="G186">
        <v>0.754</v>
      </c>
      <c r="H186">
        <v>0.78100000000000003</v>
      </c>
      <c r="I186">
        <f t="shared" si="21"/>
        <v>3.5809018567639288E-2</v>
      </c>
      <c r="J186">
        <f t="shared" si="22"/>
        <v>1.9747477528990386E-6</v>
      </c>
      <c r="K186">
        <f t="shared" si="23"/>
        <v>1.9747477528990385</v>
      </c>
      <c r="L186">
        <v>1451.1274696249998</v>
      </c>
      <c r="M186">
        <f t="shared" si="18"/>
        <v>1.4511274696249997E-3</v>
      </c>
      <c r="N186">
        <f t="shared" si="19"/>
        <v>2.8656107098120361E-9</v>
      </c>
      <c r="O186">
        <f t="shared" si="20"/>
        <v>1.0316198555323329E-2</v>
      </c>
      <c r="P186">
        <v>22.5307</v>
      </c>
    </row>
    <row r="187" spans="1:16" x14ac:dyDescent="0.35">
      <c r="A187" t="s">
        <v>37</v>
      </c>
      <c r="B187" s="2">
        <v>44800</v>
      </c>
      <c r="C187" s="3">
        <v>0.85416666666666663</v>
      </c>
      <c r="D187" t="s">
        <v>45</v>
      </c>
      <c r="E187" t="s">
        <v>34</v>
      </c>
      <c r="F187" s="1" t="s">
        <v>38</v>
      </c>
      <c r="G187">
        <v>0.76100000000000001</v>
      </c>
      <c r="H187">
        <v>0.78100000000000003</v>
      </c>
      <c r="I187">
        <f t="shared" si="21"/>
        <v>2.6281208935611061E-2</v>
      </c>
      <c r="J187">
        <f t="shared" si="22"/>
        <v>1.3493678969651298E-6</v>
      </c>
      <c r="K187">
        <f t="shared" si="23"/>
        <v>1.3493678969651299</v>
      </c>
      <c r="L187">
        <v>1451.1274696249998</v>
      </c>
      <c r="M187">
        <f t="shared" si="18"/>
        <v>1.4511274696249997E-3</v>
      </c>
      <c r="N187">
        <f t="shared" si="19"/>
        <v>1.9581048219162161E-9</v>
      </c>
      <c r="O187">
        <f t="shared" si="20"/>
        <v>7.0491773588983774E-3</v>
      </c>
      <c r="P187">
        <v>22.331499999999998</v>
      </c>
    </row>
    <row r="188" spans="1:16" x14ac:dyDescent="0.35">
      <c r="A188" t="s">
        <v>37</v>
      </c>
      <c r="B188" s="2">
        <v>44800</v>
      </c>
      <c r="C188" s="3">
        <v>0.875</v>
      </c>
      <c r="D188" t="s">
        <v>45</v>
      </c>
      <c r="E188" t="s">
        <v>34</v>
      </c>
      <c r="F188" s="1" t="s">
        <v>38</v>
      </c>
      <c r="G188">
        <v>0.76700000000000002</v>
      </c>
      <c r="H188">
        <v>0.78100000000000003</v>
      </c>
      <c r="I188">
        <f t="shared" si="21"/>
        <v>1.8252933507170811E-2</v>
      </c>
      <c r="J188">
        <f t="shared" si="22"/>
        <v>8.6148452449671485E-7</v>
      </c>
      <c r="K188">
        <f t="shared" si="23"/>
        <v>0.86148452449671487</v>
      </c>
      <c r="L188">
        <v>1451.1274696249998</v>
      </c>
      <c r="M188">
        <f t="shared" si="18"/>
        <v>1.4511274696249997E-3</v>
      </c>
      <c r="N188">
        <f t="shared" si="19"/>
        <v>1.2501238581540138E-9</v>
      </c>
      <c r="O188">
        <f t="shared" si="20"/>
        <v>4.5004458893544491E-3</v>
      </c>
      <c r="P188">
        <v>22.132000000000001</v>
      </c>
    </row>
    <row r="189" spans="1:16" x14ac:dyDescent="0.35">
      <c r="A189" t="s">
        <v>37</v>
      </c>
      <c r="B189" s="2">
        <v>44800</v>
      </c>
      <c r="C189" s="3">
        <v>0.89583333333333337</v>
      </c>
      <c r="D189" t="s">
        <v>45</v>
      </c>
      <c r="E189" t="s">
        <v>34</v>
      </c>
      <c r="F189" s="1" t="s">
        <v>38</v>
      </c>
      <c r="G189">
        <v>0.77100000000000002</v>
      </c>
      <c r="H189">
        <v>0.78100000000000003</v>
      </c>
      <c r="I189">
        <f t="shared" si="21"/>
        <v>1.297016861219197E-2</v>
      </c>
      <c r="J189">
        <f t="shared" si="22"/>
        <v>5.6569588814742762E-7</v>
      </c>
      <c r="K189">
        <f t="shared" si="23"/>
        <v>0.56569588814742766</v>
      </c>
      <c r="L189">
        <v>1451.1274696249998</v>
      </c>
      <c r="M189">
        <f t="shared" si="18"/>
        <v>1.4511274696249997E-3</v>
      </c>
      <c r="N189">
        <f t="shared" si="19"/>
        <v>8.208968427446435E-10</v>
      </c>
      <c r="O189">
        <f t="shared" si="20"/>
        <v>2.9552286338807169E-3</v>
      </c>
      <c r="P189">
        <v>21.936800000000002</v>
      </c>
    </row>
    <row r="190" spans="1:16" x14ac:dyDescent="0.35">
      <c r="A190" t="s">
        <v>37</v>
      </c>
      <c r="B190" s="2">
        <v>44800</v>
      </c>
      <c r="C190" s="3">
        <v>0.91666666666666663</v>
      </c>
      <c r="D190" t="s">
        <v>45</v>
      </c>
      <c r="E190" t="s">
        <v>34</v>
      </c>
      <c r="F190" s="1" t="s">
        <v>38</v>
      </c>
      <c r="G190">
        <v>0.77400000000000002</v>
      </c>
      <c r="H190">
        <v>0.78100000000000003</v>
      </c>
      <c r="I190">
        <f t="shared" si="21"/>
        <v>9.0439276485788193E-3</v>
      </c>
      <c r="J190">
        <f t="shared" si="22"/>
        <v>3.6292971364400677E-7</v>
      </c>
      <c r="K190">
        <f t="shared" si="23"/>
        <v>0.36292971364400678</v>
      </c>
      <c r="L190">
        <v>1451.1274696249998</v>
      </c>
      <c r="M190">
        <f t="shared" si="18"/>
        <v>1.4511274696249997E-3</v>
      </c>
      <c r="N190">
        <f t="shared" si="19"/>
        <v>5.2665727701195324E-10</v>
      </c>
      <c r="O190">
        <f t="shared" si="20"/>
        <v>1.8959661972430316E-3</v>
      </c>
      <c r="P190">
        <v>21.610299999999999</v>
      </c>
    </row>
    <row r="191" spans="1:16" x14ac:dyDescent="0.35">
      <c r="A191" t="s">
        <v>37</v>
      </c>
      <c r="B191" s="2">
        <v>44800</v>
      </c>
      <c r="C191" s="3">
        <v>0.9375</v>
      </c>
      <c r="D191" t="s">
        <v>45</v>
      </c>
      <c r="E191" t="s">
        <v>34</v>
      </c>
      <c r="F191" s="1" t="s">
        <v>38</v>
      </c>
      <c r="G191">
        <v>0.77600000000000002</v>
      </c>
      <c r="H191">
        <v>0.78100000000000003</v>
      </c>
      <c r="I191">
        <f t="shared" si="21"/>
        <v>6.4432989690721707E-3</v>
      </c>
      <c r="J191">
        <f t="shared" si="22"/>
        <v>2.3908881408537811E-7</v>
      </c>
      <c r="K191">
        <f t="shared" si="23"/>
        <v>0.2390888140853781</v>
      </c>
      <c r="L191">
        <v>1451.1274696249998</v>
      </c>
      <c r="M191">
        <f t="shared" si="18"/>
        <v>1.4511274696249997E-3</v>
      </c>
      <c r="N191">
        <f t="shared" si="19"/>
        <v>3.4694834579935673E-10</v>
      </c>
      <c r="O191">
        <f t="shared" si="20"/>
        <v>1.2490140448776844E-3</v>
      </c>
      <c r="P191">
        <v>21.201899999999998</v>
      </c>
    </row>
    <row r="192" spans="1:16" x14ac:dyDescent="0.35">
      <c r="A192" t="s">
        <v>37</v>
      </c>
      <c r="B192" s="2">
        <v>44800</v>
      </c>
      <c r="C192" s="3">
        <v>0.95833333333333337</v>
      </c>
      <c r="D192" t="s">
        <v>45</v>
      </c>
      <c r="E192" t="s">
        <v>34</v>
      </c>
      <c r="F192" s="1" t="s">
        <v>38</v>
      </c>
      <c r="G192">
        <v>0.77700000000000002</v>
      </c>
      <c r="H192">
        <v>0.78100000000000003</v>
      </c>
      <c r="I192">
        <f t="shared" si="21"/>
        <v>5.1480051480051522E-3</v>
      </c>
      <c r="J192">
        <f t="shared" si="22"/>
        <v>1.8137379352024376E-7</v>
      </c>
      <c r="K192">
        <f t="shared" si="23"/>
        <v>0.18137379352024374</v>
      </c>
      <c r="L192">
        <v>1451.1274696249998</v>
      </c>
      <c r="M192">
        <f t="shared" si="18"/>
        <v>1.4511274696249997E-3</v>
      </c>
      <c r="N192">
        <f t="shared" si="19"/>
        <v>2.6319649404731849E-10</v>
      </c>
      <c r="O192">
        <f t="shared" si="20"/>
        <v>9.4750737857034661E-4</v>
      </c>
      <c r="P192">
        <v>20.816600000000001</v>
      </c>
    </row>
    <row r="193" spans="1:16" x14ac:dyDescent="0.35">
      <c r="A193" t="s">
        <v>37</v>
      </c>
      <c r="B193" s="2">
        <v>44800</v>
      </c>
      <c r="C193" s="3">
        <v>0.97916666666666663</v>
      </c>
      <c r="D193" t="s">
        <v>45</v>
      </c>
      <c r="E193" t="s">
        <v>34</v>
      </c>
      <c r="F193" s="1" t="s">
        <v>38</v>
      </c>
      <c r="G193">
        <v>0.77800000000000002</v>
      </c>
      <c r="H193">
        <v>0.78100000000000003</v>
      </c>
      <c r="I193">
        <f t="shared" si="21"/>
        <v>3.8560411311054019E-3</v>
      </c>
      <c r="J193">
        <f t="shared" si="22"/>
        <v>1.2708296592667036E-7</v>
      </c>
      <c r="K193">
        <f t="shared" si="23"/>
        <v>0.12708296592667034</v>
      </c>
      <c r="L193">
        <v>1451.1274696249998</v>
      </c>
      <c r="M193">
        <f t="shared" si="18"/>
        <v>1.4511274696249997E-3</v>
      </c>
      <c r="N193">
        <f t="shared" si="19"/>
        <v>1.844135827776092E-10</v>
      </c>
      <c r="O193">
        <f t="shared" si="20"/>
        <v>6.6388889799939312E-4</v>
      </c>
      <c r="P193">
        <v>20.130299999999998</v>
      </c>
    </row>
    <row r="194" spans="1:16" x14ac:dyDescent="0.35">
      <c r="A194" t="s">
        <v>37</v>
      </c>
      <c r="B194" s="2">
        <v>44800</v>
      </c>
      <c r="C194" s="3">
        <v>0</v>
      </c>
      <c r="D194" t="s">
        <v>42</v>
      </c>
      <c r="E194" t="s">
        <v>7</v>
      </c>
      <c r="F194" s="1" t="s">
        <v>38</v>
      </c>
      <c r="G194">
        <v>0.754</v>
      </c>
      <c r="H194">
        <f>MAX(G194:G241)</f>
        <v>0.76900000000000002</v>
      </c>
      <c r="I194">
        <f t="shared" si="21"/>
        <v>1.9893899204244048E-2</v>
      </c>
      <c r="J194">
        <f t="shared" si="22"/>
        <v>9.5779193222040255E-7</v>
      </c>
      <c r="K194">
        <f t="shared" si="23"/>
        <v>0.9577919322204026</v>
      </c>
      <c r="L194">
        <v>3971.6893664999998</v>
      </c>
      <c r="M194">
        <f t="shared" si="18"/>
        <v>3.9716893665000001E-3</v>
      </c>
      <c r="N194">
        <f t="shared" si="19"/>
        <v>3.8040520325192613E-9</v>
      </c>
      <c r="O194">
        <f t="shared" si="20"/>
        <v>1.3694587317069341E-2</v>
      </c>
      <c r="P194">
        <v>20.112200000000001</v>
      </c>
    </row>
    <row r="195" spans="1:16" x14ac:dyDescent="0.35">
      <c r="A195" t="s">
        <v>37</v>
      </c>
      <c r="B195" s="2">
        <v>44800</v>
      </c>
      <c r="C195" s="3">
        <v>2.0833333333333332E-2</v>
      </c>
      <c r="D195" t="s">
        <v>42</v>
      </c>
      <c r="E195" t="s">
        <v>7</v>
      </c>
      <c r="F195" s="1" t="s">
        <v>38</v>
      </c>
      <c r="G195">
        <v>0.75600000000000001</v>
      </c>
      <c r="H195">
        <v>0.76900000000000002</v>
      </c>
      <c r="I195">
        <f t="shared" si="21"/>
        <v>1.7195767195767212E-2</v>
      </c>
      <c r="J195">
        <f t="shared" si="22"/>
        <v>8.0048075990556555E-7</v>
      </c>
      <c r="K195">
        <f t="shared" si="23"/>
        <v>0.80048075990556555</v>
      </c>
      <c r="L195">
        <v>3971.6893664999998</v>
      </c>
      <c r="M195">
        <f t="shared" ref="M195:M258" si="24">L195/1000000</f>
        <v>3.9716893665000001E-3</v>
      </c>
      <c r="N195">
        <f t="shared" ref="N195:N258" si="25">J195*M195</f>
        <v>3.1792609222047742E-9</v>
      </c>
      <c r="O195">
        <f t="shared" ref="O195:O258" si="26">N195*1000*3600</f>
        <v>1.1445339319937187E-2</v>
      </c>
      <c r="P195">
        <v>19.898800000000001</v>
      </c>
    </row>
    <row r="196" spans="1:16" x14ac:dyDescent="0.35">
      <c r="A196" t="s">
        <v>37</v>
      </c>
      <c r="B196" s="2">
        <v>44800</v>
      </c>
      <c r="C196" s="3">
        <v>4.1666666666666664E-2</v>
      </c>
      <c r="D196" t="s">
        <v>42</v>
      </c>
      <c r="E196" t="s">
        <v>7</v>
      </c>
      <c r="F196" s="1" t="s">
        <v>38</v>
      </c>
      <c r="G196">
        <v>0.75800000000000001</v>
      </c>
      <c r="H196">
        <v>0.76900000000000002</v>
      </c>
      <c r="I196">
        <f t="shared" si="21"/>
        <v>1.4511873350923495E-2</v>
      </c>
      <c r="J196">
        <f t="shared" si="22"/>
        <v>6.4957389721582406E-7</v>
      </c>
      <c r="K196">
        <f t="shared" si="23"/>
        <v>0.64957389721582404</v>
      </c>
      <c r="L196">
        <v>3971.6893664999998</v>
      </c>
      <c r="M196">
        <f t="shared" si="24"/>
        <v>3.9716893665000001E-3</v>
      </c>
      <c r="N196">
        <f t="shared" si="25"/>
        <v>2.5799057403280525E-9</v>
      </c>
      <c r="O196">
        <f t="shared" si="26"/>
        <v>9.2876606651809898E-3</v>
      </c>
      <c r="P196">
        <v>19.249500000000001</v>
      </c>
    </row>
    <row r="197" spans="1:16" x14ac:dyDescent="0.35">
      <c r="A197" t="s">
        <v>37</v>
      </c>
      <c r="B197" s="2">
        <v>44800</v>
      </c>
      <c r="C197" s="3">
        <v>6.25E-2</v>
      </c>
      <c r="D197" t="s">
        <v>42</v>
      </c>
      <c r="E197" t="s">
        <v>7</v>
      </c>
      <c r="F197" s="1" t="s">
        <v>38</v>
      </c>
      <c r="G197">
        <v>0.76100000000000001</v>
      </c>
      <c r="H197">
        <v>0.76900000000000002</v>
      </c>
      <c r="I197">
        <f t="shared" si="21"/>
        <v>1.0512483574244424E-2</v>
      </c>
      <c r="J197">
        <f t="shared" si="22"/>
        <v>4.3678349885644503E-7</v>
      </c>
      <c r="K197">
        <f t="shared" si="23"/>
        <v>0.43678349885644502</v>
      </c>
      <c r="L197">
        <v>3971.6893664999998</v>
      </c>
      <c r="M197">
        <f t="shared" si="24"/>
        <v>3.9716893665000001E-3</v>
      </c>
      <c r="N197">
        <f t="shared" si="25"/>
        <v>1.7347683778708078E-9</v>
      </c>
      <c r="O197">
        <f t="shared" si="26"/>
        <v>6.2451661603349076E-3</v>
      </c>
      <c r="P197">
        <v>17.116900000000001</v>
      </c>
    </row>
    <row r="198" spans="1:16" x14ac:dyDescent="0.35">
      <c r="A198" t="s">
        <v>37</v>
      </c>
      <c r="B198" s="2">
        <v>44800</v>
      </c>
      <c r="C198" s="3">
        <v>8.3333333333333329E-2</v>
      </c>
      <c r="D198" t="s">
        <v>42</v>
      </c>
      <c r="E198" t="s">
        <v>7</v>
      </c>
      <c r="F198" s="1" t="s">
        <v>38</v>
      </c>
      <c r="G198">
        <v>0.76300000000000001</v>
      </c>
      <c r="H198">
        <v>0.76900000000000002</v>
      </c>
      <c r="I198">
        <f t="shared" si="21"/>
        <v>7.8636959370904386E-3</v>
      </c>
      <c r="J198">
        <f t="shared" si="22"/>
        <v>3.0553674273628636E-7</v>
      </c>
      <c r="K198">
        <f t="shared" si="23"/>
        <v>0.30553674273628634</v>
      </c>
      <c r="L198">
        <v>3971.6893664999998</v>
      </c>
      <c r="M198">
        <f t="shared" si="24"/>
        <v>3.9716893665000001E-3</v>
      </c>
      <c r="N198">
        <f t="shared" si="25"/>
        <v>1.2134970322007548E-9</v>
      </c>
      <c r="O198">
        <f t="shared" si="26"/>
        <v>4.3685893159227177E-3</v>
      </c>
      <c r="P198">
        <v>16.752199999999998</v>
      </c>
    </row>
    <row r="199" spans="1:16" x14ac:dyDescent="0.35">
      <c r="A199" t="s">
        <v>37</v>
      </c>
      <c r="B199" s="2">
        <v>44800</v>
      </c>
      <c r="C199" s="3">
        <v>0.10416666666666667</v>
      </c>
      <c r="D199" t="s">
        <v>42</v>
      </c>
      <c r="E199" t="s">
        <v>7</v>
      </c>
      <c r="F199" s="1" t="s">
        <v>38</v>
      </c>
      <c r="G199">
        <v>0.76400000000000001</v>
      </c>
      <c r="H199">
        <v>0.76900000000000002</v>
      </c>
      <c r="I199">
        <f t="shared" si="21"/>
        <v>6.5445026178010532E-3</v>
      </c>
      <c r="J199">
        <f t="shared" si="22"/>
        <v>2.4371996794004098E-7</v>
      </c>
      <c r="K199">
        <f t="shared" si="23"/>
        <v>0.24371996794004097</v>
      </c>
      <c r="L199">
        <v>3971.6893664999998</v>
      </c>
      <c r="M199">
        <f t="shared" si="24"/>
        <v>3.9716893665000001E-3</v>
      </c>
      <c r="N199">
        <f t="shared" si="25"/>
        <v>9.6798000507118171E-10</v>
      </c>
      <c r="O199">
        <f t="shared" si="26"/>
        <v>3.4847280182562545E-3</v>
      </c>
      <c r="P199">
        <v>16.4085</v>
      </c>
    </row>
    <row r="200" spans="1:16" x14ac:dyDescent="0.35">
      <c r="A200" t="s">
        <v>37</v>
      </c>
      <c r="B200" s="2">
        <v>44800</v>
      </c>
      <c r="C200" s="3">
        <v>0.125</v>
      </c>
      <c r="D200" t="s">
        <v>42</v>
      </c>
      <c r="E200" t="s">
        <v>7</v>
      </c>
      <c r="F200" s="1" t="s">
        <v>38</v>
      </c>
      <c r="G200">
        <v>0.76400000000000001</v>
      </c>
      <c r="H200">
        <v>0.76900000000000002</v>
      </c>
      <c r="I200">
        <f t="shared" si="21"/>
        <v>6.5445026178010532E-3</v>
      </c>
      <c r="J200">
        <f t="shared" si="22"/>
        <v>2.4371996794004098E-7</v>
      </c>
      <c r="K200">
        <f t="shared" si="23"/>
        <v>0.24371996794004097</v>
      </c>
      <c r="L200">
        <v>3971.6893664999998</v>
      </c>
      <c r="M200">
        <f t="shared" si="24"/>
        <v>3.9716893665000001E-3</v>
      </c>
      <c r="N200">
        <f t="shared" si="25"/>
        <v>9.6798000507118171E-10</v>
      </c>
      <c r="O200">
        <f t="shared" si="26"/>
        <v>3.4847280182562545E-3</v>
      </c>
      <c r="P200">
        <v>17.264900000000001</v>
      </c>
    </row>
    <row r="201" spans="1:16" x14ac:dyDescent="0.35">
      <c r="A201" t="s">
        <v>37</v>
      </c>
      <c r="B201" s="2">
        <v>44800</v>
      </c>
      <c r="C201" s="3">
        <v>0.14583333333333334</v>
      </c>
      <c r="D201" t="s">
        <v>42</v>
      </c>
      <c r="E201" t="s">
        <v>7</v>
      </c>
      <c r="F201" s="1" t="s">
        <v>38</v>
      </c>
      <c r="G201">
        <v>0.76400000000000001</v>
      </c>
      <c r="H201">
        <v>0.76900000000000002</v>
      </c>
      <c r="I201">
        <f t="shared" si="21"/>
        <v>6.5445026178010532E-3</v>
      </c>
      <c r="J201">
        <f t="shared" si="22"/>
        <v>2.4371996794004098E-7</v>
      </c>
      <c r="K201">
        <f t="shared" si="23"/>
        <v>0.24371996794004097</v>
      </c>
      <c r="L201">
        <v>3971.6893664999998</v>
      </c>
      <c r="M201">
        <f t="shared" si="24"/>
        <v>3.9716893665000001E-3</v>
      </c>
      <c r="N201">
        <f t="shared" si="25"/>
        <v>9.6798000507118171E-10</v>
      </c>
      <c r="O201">
        <f t="shared" si="26"/>
        <v>3.4847280182562545E-3</v>
      </c>
      <c r="P201">
        <v>15.769</v>
      </c>
    </row>
    <row r="202" spans="1:16" x14ac:dyDescent="0.35">
      <c r="A202" t="s">
        <v>37</v>
      </c>
      <c r="B202" s="2">
        <v>44800</v>
      </c>
      <c r="C202" s="3">
        <v>0.16666666666666666</v>
      </c>
      <c r="D202" t="s">
        <v>42</v>
      </c>
      <c r="E202" t="s">
        <v>7</v>
      </c>
      <c r="F202" s="1" t="s">
        <v>38</v>
      </c>
      <c r="G202">
        <v>0.76500000000000001</v>
      </c>
      <c r="H202">
        <v>0.76900000000000002</v>
      </c>
      <c r="I202">
        <f t="shared" si="21"/>
        <v>5.2287581699346454E-3</v>
      </c>
      <c r="J202">
        <f t="shared" si="22"/>
        <v>1.8488240590081452E-7</v>
      </c>
      <c r="K202">
        <f t="shared" si="23"/>
        <v>0.18488240590081453</v>
      </c>
      <c r="L202">
        <v>3971.6893664999998</v>
      </c>
      <c r="M202">
        <f t="shared" si="24"/>
        <v>3.9716893665000001E-3</v>
      </c>
      <c r="N202">
        <f t="shared" si="25"/>
        <v>7.3429548556920189E-10</v>
      </c>
      <c r="O202">
        <f t="shared" si="26"/>
        <v>2.6434637480491265E-3</v>
      </c>
      <c r="P202">
        <v>16.060199999999998</v>
      </c>
    </row>
    <row r="203" spans="1:16" x14ac:dyDescent="0.35">
      <c r="A203" t="s">
        <v>37</v>
      </c>
      <c r="B203" s="2">
        <v>44800</v>
      </c>
      <c r="C203" s="3">
        <v>0.1875</v>
      </c>
      <c r="D203" t="s">
        <v>42</v>
      </c>
      <c r="E203" t="s">
        <v>7</v>
      </c>
      <c r="F203" s="1" t="s">
        <v>38</v>
      </c>
      <c r="G203">
        <v>0.76600000000000001</v>
      </c>
      <c r="H203">
        <v>0.76900000000000002</v>
      </c>
      <c r="I203">
        <f t="shared" si="21"/>
        <v>3.916449086161883E-3</v>
      </c>
      <c r="J203">
        <f t="shared" si="22"/>
        <v>1.2953812618360004E-7</v>
      </c>
      <c r="K203">
        <f t="shared" si="23"/>
        <v>0.12953812618360006</v>
      </c>
      <c r="L203">
        <v>3971.6893664999998</v>
      </c>
      <c r="M203">
        <f t="shared" si="24"/>
        <v>3.9716893665000001E-3</v>
      </c>
      <c r="N203">
        <f t="shared" si="25"/>
        <v>5.1448519831973951E-10</v>
      </c>
      <c r="O203">
        <f t="shared" si="26"/>
        <v>1.8521467139510622E-3</v>
      </c>
      <c r="P203">
        <v>15.727600000000001</v>
      </c>
    </row>
    <row r="204" spans="1:16" x14ac:dyDescent="0.35">
      <c r="A204" t="s">
        <v>37</v>
      </c>
      <c r="B204" s="2">
        <v>44800</v>
      </c>
      <c r="C204" s="3">
        <v>0.20833333333333334</v>
      </c>
      <c r="D204" t="s">
        <v>42</v>
      </c>
      <c r="E204" t="s">
        <v>7</v>
      </c>
      <c r="F204" s="1" t="s">
        <v>38</v>
      </c>
      <c r="G204">
        <v>0.76700000000000002</v>
      </c>
      <c r="H204">
        <v>0.76900000000000002</v>
      </c>
      <c r="I204">
        <f t="shared" si="21"/>
        <v>2.60756192959583E-3</v>
      </c>
      <c r="J204">
        <f t="shared" si="22"/>
        <v>7.8511232119676599E-8</v>
      </c>
      <c r="K204">
        <f t="shared" si="23"/>
        <v>7.8511232119676602E-2</v>
      </c>
      <c r="L204">
        <v>3971.6893664999998</v>
      </c>
      <c r="M204">
        <f t="shared" si="24"/>
        <v>3.9716893665000001E-3</v>
      </c>
      <c r="N204">
        <f t="shared" si="25"/>
        <v>3.1182222576053281E-10</v>
      </c>
      <c r="O204">
        <f t="shared" si="26"/>
        <v>1.122560012737918E-3</v>
      </c>
      <c r="P204">
        <v>15.0184</v>
      </c>
    </row>
    <row r="205" spans="1:16" x14ac:dyDescent="0.35">
      <c r="A205" t="s">
        <v>37</v>
      </c>
      <c r="B205" s="2">
        <v>44800</v>
      </c>
      <c r="C205" s="3">
        <v>0.22916666666666666</v>
      </c>
      <c r="D205" t="s">
        <v>42</v>
      </c>
      <c r="E205" t="s">
        <v>7</v>
      </c>
      <c r="F205" s="1" t="s">
        <v>38</v>
      </c>
      <c r="G205">
        <v>0.76900000000000002</v>
      </c>
      <c r="H205">
        <v>0.76900000000000002</v>
      </c>
      <c r="I205">
        <f t="shared" si="21"/>
        <v>0</v>
      </c>
      <c r="J205">
        <f t="shared" si="22"/>
        <v>0</v>
      </c>
      <c r="K205">
        <f t="shared" si="23"/>
        <v>0</v>
      </c>
      <c r="L205">
        <v>3971.6893664999998</v>
      </c>
      <c r="M205">
        <f t="shared" si="24"/>
        <v>3.9716893665000001E-3</v>
      </c>
      <c r="N205">
        <f t="shared" si="25"/>
        <v>0</v>
      </c>
      <c r="O205">
        <f t="shared" si="26"/>
        <v>0</v>
      </c>
      <c r="P205">
        <v>14.711399999999999</v>
      </c>
    </row>
    <row r="206" spans="1:16" x14ac:dyDescent="0.35">
      <c r="A206" t="s">
        <v>37</v>
      </c>
      <c r="B206" s="2">
        <v>44800</v>
      </c>
      <c r="C206" s="3">
        <v>0.25</v>
      </c>
      <c r="D206" t="s">
        <v>42</v>
      </c>
      <c r="E206" t="s">
        <v>7</v>
      </c>
      <c r="F206" s="1" t="s">
        <v>38</v>
      </c>
      <c r="G206">
        <v>0.76800000000000002</v>
      </c>
      <c r="H206">
        <v>0.76900000000000002</v>
      </c>
      <c r="I206">
        <f t="shared" si="21"/>
        <v>1.3020833333333346E-3</v>
      </c>
      <c r="J206">
        <f t="shared" si="22"/>
        <v>3.3393912089145645E-8</v>
      </c>
      <c r="K206">
        <f t="shared" si="23"/>
        <v>3.3393912089145647E-2</v>
      </c>
      <c r="L206">
        <v>3971.6893664999998</v>
      </c>
      <c r="M206">
        <f t="shared" si="24"/>
        <v>3.9716893665000001E-3</v>
      </c>
      <c r="N206">
        <f t="shared" si="25"/>
        <v>1.3263024555029557E-10</v>
      </c>
      <c r="O206">
        <f t="shared" si="26"/>
        <v>4.7746888398106406E-4</v>
      </c>
      <c r="P206">
        <v>15.889900000000001</v>
      </c>
    </row>
    <row r="207" spans="1:16" x14ac:dyDescent="0.35">
      <c r="A207" t="s">
        <v>37</v>
      </c>
      <c r="B207" s="2">
        <v>44800</v>
      </c>
      <c r="C207" s="3">
        <v>0.27083333333333331</v>
      </c>
      <c r="D207" t="s">
        <v>42</v>
      </c>
      <c r="E207" t="s">
        <v>7</v>
      </c>
      <c r="F207" s="1" t="s">
        <v>38</v>
      </c>
      <c r="G207">
        <v>0.76800000000000002</v>
      </c>
      <c r="H207">
        <v>0.76900000000000002</v>
      </c>
      <c r="I207">
        <f t="shared" si="21"/>
        <v>1.3020833333333346E-3</v>
      </c>
      <c r="J207">
        <f t="shared" si="22"/>
        <v>3.3393912089145645E-8</v>
      </c>
      <c r="K207">
        <f t="shared" si="23"/>
        <v>3.3393912089145647E-2</v>
      </c>
      <c r="L207">
        <v>3971.6893664999998</v>
      </c>
      <c r="M207">
        <f t="shared" si="24"/>
        <v>3.9716893665000001E-3</v>
      </c>
      <c r="N207">
        <f t="shared" si="25"/>
        <v>1.3263024555029557E-10</v>
      </c>
      <c r="O207">
        <f t="shared" si="26"/>
        <v>4.7746888398106406E-4</v>
      </c>
      <c r="P207">
        <v>16.3066</v>
      </c>
    </row>
    <row r="208" spans="1:16" x14ac:dyDescent="0.35">
      <c r="A208" t="s">
        <v>37</v>
      </c>
      <c r="B208" s="2">
        <v>44800</v>
      </c>
      <c r="C208" s="3">
        <v>0.29166666666666669</v>
      </c>
      <c r="D208" t="s">
        <v>42</v>
      </c>
      <c r="E208" t="s">
        <v>7</v>
      </c>
      <c r="F208" s="1" t="s">
        <v>38</v>
      </c>
      <c r="G208">
        <v>0.76800000000000002</v>
      </c>
      <c r="H208">
        <v>0.76900000000000002</v>
      </c>
      <c r="I208">
        <f t="shared" si="21"/>
        <v>1.3020833333333346E-3</v>
      </c>
      <c r="J208">
        <f t="shared" si="22"/>
        <v>3.3393912089145645E-8</v>
      </c>
      <c r="K208">
        <f t="shared" si="23"/>
        <v>3.3393912089145647E-2</v>
      </c>
      <c r="L208">
        <v>3971.6893664999998</v>
      </c>
      <c r="M208">
        <f t="shared" si="24"/>
        <v>3.9716893665000001E-3</v>
      </c>
      <c r="N208">
        <f t="shared" si="25"/>
        <v>1.3263024555029557E-10</v>
      </c>
      <c r="O208">
        <f t="shared" si="26"/>
        <v>4.7746888398106406E-4</v>
      </c>
      <c r="P208">
        <v>17.531300000000002</v>
      </c>
    </row>
    <row r="209" spans="1:16" x14ac:dyDescent="0.35">
      <c r="A209" t="s">
        <v>37</v>
      </c>
      <c r="B209" s="2">
        <v>44800</v>
      </c>
      <c r="C209" s="3">
        <v>0.3125</v>
      </c>
      <c r="D209" t="s">
        <v>42</v>
      </c>
      <c r="E209" t="s">
        <v>7</v>
      </c>
      <c r="F209" s="1" t="s">
        <v>38</v>
      </c>
      <c r="G209">
        <v>0.76400000000000001</v>
      </c>
      <c r="H209">
        <v>0.76900000000000002</v>
      </c>
      <c r="I209">
        <f t="shared" si="21"/>
        <v>6.5445026178010532E-3</v>
      </c>
      <c r="J209">
        <f t="shared" si="22"/>
        <v>2.4371996794004098E-7</v>
      </c>
      <c r="K209">
        <f t="shared" si="23"/>
        <v>0.24371996794004097</v>
      </c>
      <c r="L209">
        <v>3971.6893664999998</v>
      </c>
      <c r="M209">
        <f t="shared" si="24"/>
        <v>3.9716893665000001E-3</v>
      </c>
      <c r="N209">
        <f t="shared" si="25"/>
        <v>9.6798000507118171E-10</v>
      </c>
      <c r="O209">
        <f t="shared" si="26"/>
        <v>3.4847280182562545E-3</v>
      </c>
      <c r="P209">
        <v>18.497699999999998</v>
      </c>
    </row>
    <row r="210" spans="1:16" x14ac:dyDescent="0.35">
      <c r="A210" t="s">
        <v>37</v>
      </c>
      <c r="B210" s="2">
        <v>44800</v>
      </c>
      <c r="C210" s="3">
        <v>0.33333333333333331</v>
      </c>
      <c r="D210" t="s">
        <v>42</v>
      </c>
      <c r="E210" t="s">
        <v>7</v>
      </c>
      <c r="F210" s="1" t="s">
        <v>38</v>
      </c>
      <c r="G210">
        <v>0.751</v>
      </c>
      <c r="H210">
        <v>0.76900000000000002</v>
      </c>
      <c r="I210">
        <f t="shared" si="21"/>
        <v>2.3968042609853552E-2</v>
      </c>
      <c r="J210">
        <f t="shared" si="22"/>
        <v>1.2046881897445647E-6</v>
      </c>
      <c r="K210">
        <f t="shared" si="23"/>
        <v>1.2046881897445647</v>
      </c>
      <c r="L210">
        <v>3971.6893664999998</v>
      </c>
      <c r="M210">
        <f t="shared" si="24"/>
        <v>3.9716893665000001E-3</v>
      </c>
      <c r="N210">
        <f t="shared" si="25"/>
        <v>4.7846472731566222E-9</v>
      </c>
      <c r="O210">
        <f t="shared" si="26"/>
        <v>1.7224730183363839E-2</v>
      </c>
      <c r="P210">
        <v>20.640699999999999</v>
      </c>
    </row>
    <row r="211" spans="1:16" x14ac:dyDescent="0.35">
      <c r="A211" t="s">
        <v>37</v>
      </c>
      <c r="B211" s="2">
        <v>44800</v>
      </c>
      <c r="C211" s="3">
        <v>0.35416666666666669</v>
      </c>
      <c r="D211" t="s">
        <v>42</v>
      </c>
      <c r="E211" t="s">
        <v>7</v>
      </c>
      <c r="F211" s="1" t="s">
        <v>38</v>
      </c>
      <c r="G211">
        <v>0.71599999999999997</v>
      </c>
      <c r="H211">
        <v>0.76900000000000002</v>
      </c>
      <c r="I211">
        <f t="shared" si="21"/>
        <v>7.4022346368715158E-2</v>
      </c>
      <c r="J211">
        <f t="shared" si="22"/>
        <v>4.8276149820165515E-6</v>
      </c>
      <c r="K211">
        <f t="shared" si="23"/>
        <v>4.8276149820165513</v>
      </c>
      <c r="L211">
        <v>3971.6893664999998</v>
      </c>
      <c r="M211">
        <f t="shared" si="24"/>
        <v>3.9716893665000001E-3</v>
      </c>
      <c r="N211">
        <f t="shared" si="25"/>
        <v>1.9173787089631228E-8</v>
      </c>
      <c r="O211">
        <f t="shared" si="26"/>
        <v>6.9025633522672422E-2</v>
      </c>
      <c r="P211">
        <v>21.7852</v>
      </c>
    </row>
    <row r="212" spans="1:16" x14ac:dyDescent="0.35">
      <c r="A212" t="s">
        <v>37</v>
      </c>
      <c r="B212" s="2">
        <v>44800</v>
      </c>
      <c r="C212" s="3">
        <v>0.375</v>
      </c>
      <c r="D212" t="s">
        <v>42</v>
      </c>
      <c r="E212" t="s">
        <v>7</v>
      </c>
      <c r="F212" s="1" t="s">
        <v>38</v>
      </c>
      <c r="G212">
        <v>0.66800000000000004</v>
      </c>
      <c r="H212">
        <v>0.76900000000000002</v>
      </c>
      <c r="I212">
        <f t="shared" si="21"/>
        <v>0.15119760479041913</v>
      </c>
      <c r="J212">
        <f t="shared" si="22"/>
        <v>1.1629652747211621E-5</v>
      </c>
      <c r="K212">
        <f t="shared" si="23"/>
        <v>11.629652747211621</v>
      </c>
      <c r="L212">
        <v>3971.6893664999998</v>
      </c>
      <c r="M212">
        <f t="shared" si="24"/>
        <v>3.9716893665000001E-3</v>
      </c>
      <c r="N212">
        <f t="shared" si="25"/>
        <v>4.6189368152187908E-8</v>
      </c>
      <c r="O212">
        <f t="shared" si="26"/>
        <v>0.16628172534787647</v>
      </c>
      <c r="P212">
        <v>23.6355</v>
      </c>
    </row>
    <row r="213" spans="1:16" x14ac:dyDescent="0.35">
      <c r="A213" t="s">
        <v>37</v>
      </c>
      <c r="B213" s="2">
        <v>44800</v>
      </c>
      <c r="C213" s="3">
        <v>0.39583333333333331</v>
      </c>
      <c r="D213" t="s">
        <v>42</v>
      </c>
      <c r="E213" t="s">
        <v>7</v>
      </c>
      <c r="F213" s="1" t="s">
        <v>38</v>
      </c>
      <c r="G213">
        <v>0.628</v>
      </c>
      <c r="H213">
        <v>0.76900000000000002</v>
      </c>
      <c r="I213">
        <f t="shared" si="21"/>
        <v>0.22452229299363061</v>
      </c>
      <c r="J213">
        <f t="shared" si="22"/>
        <v>1.8921142984552032E-5</v>
      </c>
      <c r="K213">
        <f t="shared" si="23"/>
        <v>18.921142984552031</v>
      </c>
      <c r="L213">
        <v>3971.6893664999998</v>
      </c>
      <c r="M213">
        <f t="shared" si="24"/>
        <v>3.9716893665000001E-3</v>
      </c>
      <c r="N213">
        <f t="shared" si="25"/>
        <v>7.5148902393771385E-8</v>
      </c>
      <c r="O213">
        <f t="shared" si="26"/>
        <v>0.27053604861757696</v>
      </c>
      <c r="P213">
        <v>25.8127</v>
      </c>
    </row>
    <row r="214" spans="1:16" x14ac:dyDescent="0.35">
      <c r="A214" t="s">
        <v>37</v>
      </c>
      <c r="B214" s="2">
        <v>44800</v>
      </c>
      <c r="C214" s="3">
        <v>0.41666666666666669</v>
      </c>
      <c r="D214" t="s">
        <v>42</v>
      </c>
      <c r="E214" t="s">
        <v>7</v>
      </c>
      <c r="F214" s="1" t="s">
        <v>38</v>
      </c>
      <c r="G214">
        <v>0.60699999999999998</v>
      </c>
      <c r="H214">
        <v>0.76900000000000002</v>
      </c>
      <c r="I214">
        <f t="shared" si="21"/>
        <v>0.26688632619439873</v>
      </c>
      <c r="J214">
        <f t="shared" si="22"/>
        <v>2.3407480247763718E-5</v>
      </c>
      <c r="K214">
        <f t="shared" si="23"/>
        <v>23.407480247763718</v>
      </c>
      <c r="L214">
        <v>3971.6893664999998</v>
      </c>
      <c r="M214">
        <f t="shared" si="24"/>
        <v>3.9716893665000001E-3</v>
      </c>
      <c r="N214">
        <f t="shared" si="25"/>
        <v>9.2967240396601947E-8</v>
      </c>
      <c r="O214">
        <f t="shared" si="26"/>
        <v>0.33468206542776702</v>
      </c>
      <c r="P214">
        <v>27.663900000000002</v>
      </c>
    </row>
    <row r="215" spans="1:16" x14ac:dyDescent="0.35">
      <c r="A215" t="s">
        <v>37</v>
      </c>
      <c r="B215" s="2">
        <v>44800</v>
      </c>
      <c r="C215" s="3">
        <v>0.4375</v>
      </c>
      <c r="D215" t="s">
        <v>42</v>
      </c>
      <c r="E215" t="s">
        <v>7</v>
      </c>
      <c r="F215" s="1" t="s">
        <v>38</v>
      </c>
      <c r="G215">
        <v>0.58599999999999997</v>
      </c>
      <c r="H215">
        <v>0.76900000000000002</v>
      </c>
      <c r="I215">
        <f t="shared" si="21"/>
        <v>0.31228668941979532</v>
      </c>
      <c r="J215">
        <f t="shared" si="22"/>
        <v>2.840156605106561E-5</v>
      </c>
      <c r="K215">
        <f t="shared" si="23"/>
        <v>28.401566051065611</v>
      </c>
      <c r="L215">
        <v>3971.6893664999998</v>
      </c>
      <c r="M215">
        <f t="shared" si="24"/>
        <v>3.9716893665000001E-3</v>
      </c>
      <c r="N215">
        <f t="shared" si="25"/>
        <v>1.1280219787696468E-7</v>
      </c>
      <c r="O215">
        <f t="shared" si="26"/>
        <v>0.40608791235707281</v>
      </c>
      <c r="P215">
        <v>29.2453</v>
      </c>
    </row>
    <row r="216" spans="1:16" x14ac:dyDescent="0.35">
      <c r="A216" t="s">
        <v>37</v>
      </c>
      <c r="B216" s="2">
        <v>44800</v>
      </c>
      <c r="C216" s="3">
        <v>0.45833333333333331</v>
      </c>
      <c r="D216" t="s">
        <v>42</v>
      </c>
      <c r="E216" t="s">
        <v>7</v>
      </c>
      <c r="F216" s="1" t="s">
        <v>38</v>
      </c>
      <c r="G216">
        <v>0.56200000000000006</v>
      </c>
      <c r="H216">
        <v>0.76900000000000002</v>
      </c>
      <c r="I216">
        <f t="shared" si="21"/>
        <v>0.36832740213523119</v>
      </c>
      <c r="J216">
        <f t="shared" si="22"/>
        <v>3.4800144894334567E-5</v>
      </c>
      <c r="K216">
        <f t="shared" si="23"/>
        <v>34.800144894334565</v>
      </c>
      <c r="L216">
        <v>3971.6893664999998</v>
      </c>
      <c r="M216">
        <f t="shared" si="24"/>
        <v>3.9716893665000001E-3</v>
      </c>
      <c r="N216">
        <f t="shared" si="25"/>
        <v>1.3821536542948787E-7</v>
      </c>
      <c r="O216">
        <f t="shared" si="26"/>
        <v>0.49757531554615636</v>
      </c>
      <c r="P216">
        <v>31.9986</v>
      </c>
    </row>
    <row r="217" spans="1:16" x14ac:dyDescent="0.35">
      <c r="A217" t="s">
        <v>37</v>
      </c>
      <c r="B217" s="2">
        <v>44800</v>
      </c>
      <c r="C217" s="3">
        <v>0.47916666666666669</v>
      </c>
      <c r="D217" t="s">
        <v>42</v>
      </c>
      <c r="E217" t="s">
        <v>7</v>
      </c>
      <c r="F217" s="1" t="s">
        <v>38</v>
      </c>
      <c r="G217">
        <v>0.55400000000000005</v>
      </c>
      <c r="H217">
        <v>0.76900000000000002</v>
      </c>
      <c r="I217">
        <f t="shared" si="21"/>
        <v>0.38808664259927789</v>
      </c>
      <c r="J217">
        <f t="shared" si="22"/>
        <v>3.7112326917386154E-5</v>
      </c>
      <c r="K217">
        <f t="shared" si="23"/>
        <v>37.112326917386156</v>
      </c>
      <c r="L217">
        <v>3971.6893664999998</v>
      </c>
      <c r="M217">
        <f t="shared" si="24"/>
        <v>3.9716893665000001E-3</v>
      </c>
      <c r="N217">
        <f t="shared" si="25"/>
        <v>1.473986341838543E-7</v>
      </c>
      <c r="O217">
        <f t="shared" si="26"/>
        <v>0.53063508306187546</v>
      </c>
      <c r="P217">
        <v>31.6327</v>
      </c>
    </row>
    <row r="218" spans="1:16" x14ac:dyDescent="0.35">
      <c r="A218" t="s">
        <v>37</v>
      </c>
      <c r="B218" s="2">
        <v>44800</v>
      </c>
      <c r="C218" s="3">
        <v>0.5</v>
      </c>
      <c r="D218" t="s">
        <v>42</v>
      </c>
      <c r="E218" t="s">
        <v>7</v>
      </c>
      <c r="F218" s="1" t="s">
        <v>38</v>
      </c>
      <c r="G218">
        <v>0.55800000000000005</v>
      </c>
      <c r="H218">
        <v>0.76900000000000002</v>
      </c>
      <c r="I218">
        <f t="shared" si="21"/>
        <v>0.37813620071684578</v>
      </c>
      <c r="J218">
        <f t="shared" si="22"/>
        <v>3.594446012069846E-5</v>
      </c>
      <c r="K218">
        <f t="shared" si="23"/>
        <v>35.944460120698459</v>
      </c>
      <c r="L218">
        <v>3971.6893664999998</v>
      </c>
      <c r="M218">
        <f t="shared" si="24"/>
        <v>3.9716893665000001E-3</v>
      </c>
      <c r="N218">
        <f t="shared" si="25"/>
        <v>1.4276023004596139E-7</v>
      </c>
      <c r="O218">
        <f t="shared" si="26"/>
        <v>0.51393682816546105</v>
      </c>
      <c r="P218">
        <v>31.8827</v>
      </c>
    </row>
    <row r="219" spans="1:16" x14ac:dyDescent="0.35">
      <c r="A219" t="s">
        <v>37</v>
      </c>
      <c r="B219" s="2">
        <v>44800</v>
      </c>
      <c r="C219" s="3">
        <v>0.52083333333333337</v>
      </c>
      <c r="D219" t="s">
        <v>42</v>
      </c>
      <c r="E219" t="s">
        <v>7</v>
      </c>
      <c r="F219" s="1" t="s">
        <v>38</v>
      </c>
      <c r="G219">
        <v>0.56200000000000006</v>
      </c>
      <c r="H219">
        <v>0.76900000000000002</v>
      </c>
      <c r="I219">
        <f t="shared" si="21"/>
        <v>0.36832740213523119</v>
      </c>
      <c r="J219">
        <f t="shared" si="22"/>
        <v>3.4800144894334567E-5</v>
      </c>
      <c r="K219">
        <f t="shared" si="23"/>
        <v>34.800144894334565</v>
      </c>
      <c r="L219">
        <v>3971.6893664999998</v>
      </c>
      <c r="M219">
        <f t="shared" si="24"/>
        <v>3.9716893665000001E-3</v>
      </c>
      <c r="N219">
        <f t="shared" si="25"/>
        <v>1.3821536542948787E-7</v>
      </c>
      <c r="O219">
        <f t="shared" si="26"/>
        <v>0.49757531554615636</v>
      </c>
      <c r="P219">
        <v>32.619799999999998</v>
      </c>
    </row>
    <row r="220" spans="1:16" x14ac:dyDescent="0.35">
      <c r="A220" t="s">
        <v>37</v>
      </c>
      <c r="B220" s="2">
        <v>44800</v>
      </c>
      <c r="C220" s="3">
        <v>0.54166666666666663</v>
      </c>
      <c r="D220" t="s">
        <v>42</v>
      </c>
      <c r="E220" t="s">
        <v>7</v>
      </c>
      <c r="F220" s="1" t="s">
        <v>38</v>
      </c>
      <c r="G220">
        <v>0.56999999999999995</v>
      </c>
      <c r="H220">
        <v>0.76900000000000002</v>
      </c>
      <c r="I220">
        <f t="shared" si="21"/>
        <v>0.349122807017544</v>
      </c>
      <c r="J220">
        <f t="shared" si="22"/>
        <v>3.2580155374178045E-5</v>
      </c>
      <c r="K220">
        <f t="shared" si="23"/>
        <v>32.580155374178048</v>
      </c>
      <c r="L220">
        <v>3971.6893664999998</v>
      </c>
      <c r="M220">
        <f t="shared" si="24"/>
        <v>3.9716893665000001E-3</v>
      </c>
      <c r="N220">
        <f t="shared" si="25"/>
        <v>1.2939825665854078E-7</v>
      </c>
      <c r="O220">
        <f t="shared" si="26"/>
        <v>0.46583372397074679</v>
      </c>
      <c r="P220">
        <v>29.2163</v>
      </c>
    </row>
    <row r="221" spans="1:16" x14ac:dyDescent="0.35">
      <c r="A221" t="s">
        <v>37</v>
      </c>
      <c r="B221" s="2">
        <v>44800</v>
      </c>
      <c r="C221" s="3">
        <v>0.5625</v>
      </c>
      <c r="D221" t="s">
        <v>42</v>
      </c>
      <c r="E221" t="s">
        <v>7</v>
      </c>
      <c r="F221" s="1" t="s">
        <v>38</v>
      </c>
      <c r="G221">
        <v>0.57899999999999996</v>
      </c>
      <c r="H221">
        <v>0.76900000000000002</v>
      </c>
      <c r="I221">
        <f t="shared" si="21"/>
        <v>0.3281519861830744</v>
      </c>
      <c r="J221">
        <f t="shared" si="22"/>
        <v>3.0188068877807554E-5</v>
      </c>
      <c r="K221">
        <f t="shared" si="23"/>
        <v>30.188068877807552</v>
      </c>
      <c r="L221">
        <v>3971.6893664999998</v>
      </c>
      <c r="M221">
        <f t="shared" si="24"/>
        <v>3.9716893665000001E-3</v>
      </c>
      <c r="N221">
        <f t="shared" si="25"/>
        <v>1.1989763215715785E-7</v>
      </c>
      <c r="O221">
        <f t="shared" si="26"/>
        <v>0.43163147576576827</v>
      </c>
      <c r="P221">
        <v>30.803799999999999</v>
      </c>
    </row>
    <row r="222" spans="1:16" x14ac:dyDescent="0.35">
      <c r="A222" t="s">
        <v>37</v>
      </c>
      <c r="B222" s="2">
        <v>44800</v>
      </c>
      <c r="C222" s="3">
        <v>0.58333333333333337</v>
      </c>
      <c r="D222" t="s">
        <v>42</v>
      </c>
      <c r="E222" t="s">
        <v>7</v>
      </c>
      <c r="F222" s="1" t="s">
        <v>38</v>
      </c>
      <c r="G222">
        <v>0.58899999999999997</v>
      </c>
      <c r="H222">
        <v>0.76900000000000002</v>
      </c>
      <c r="I222">
        <f t="shared" si="21"/>
        <v>0.30560271646859094</v>
      </c>
      <c r="J222">
        <f t="shared" si="22"/>
        <v>2.7655116179884498E-5</v>
      </c>
      <c r="K222">
        <f t="shared" si="23"/>
        <v>27.655116179884498</v>
      </c>
      <c r="L222">
        <v>3971.6893664999998</v>
      </c>
      <c r="M222">
        <f t="shared" si="24"/>
        <v>3.9716893665000001E-3</v>
      </c>
      <c r="N222">
        <f t="shared" si="25"/>
        <v>1.0983753086096936E-7</v>
      </c>
      <c r="O222">
        <f t="shared" si="26"/>
        <v>0.39541511109948968</v>
      </c>
      <c r="P222">
        <v>30.016100000000002</v>
      </c>
    </row>
    <row r="223" spans="1:16" x14ac:dyDescent="0.35">
      <c r="A223" t="s">
        <v>37</v>
      </c>
      <c r="B223" s="2">
        <v>44800</v>
      </c>
      <c r="C223" s="3">
        <v>0.60416666666666663</v>
      </c>
      <c r="D223" t="s">
        <v>42</v>
      </c>
      <c r="E223" t="s">
        <v>7</v>
      </c>
      <c r="F223" s="1" t="s">
        <v>38</v>
      </c>
      <c r="G223">
        <v>0.59299999999999997</v>
      </c>
      <c r="H223">
        <v>0.76900000000000002</v>
      </c>
      <c r="I223">
        <f t="shared" si="21"/>
        <v>0.29679595278246212</v>
      </c>
      <c r="J223">
        <f t="shared" si="22"/>
        <v>2.6677352535956762E-5</v>
      </c>
      <c r="K223">
        <f t="shared" si="23"/>
        <v>26.677352535956761</v>
      </c>
      <c r="L223">
        <v>3971.6893664999998</v>
      </c>
      <c r="M223">
        <f t="shared" si="24"/>
        <v>3.9716893665000001E-3</v>
      </c>
      <c r="N223">
        <f t="shared" si="25"/>
        <v>1.0595415739343128E-7</v>
      </c>
      <c r="O223">
        <f t="shared" si="26"/>
        <v>0.38143496661635262</v>
      </c>
      <c r="P223">
        <v>31.1188</v>
      </c>
    </row>
    <row r="224" spans="1:16" x14ac:dyDescent="0.35">
      <c r="A224" t="s">
        <v>37</v>
      </c>
      <c r="B224" s="2">
        <v>44800</v>
      </c>
      <c r="C224" s="3">
        <v>0.625</v>
      </c>
      <c r="D224" t="s">
        <v>42</v>
      </c>
      <c r="E224" t="s">
        <v>7</v>
      </c>
      <c r="F224" s="1" t="s">
        <v>38</v>
      </c>
      <c r="G224">
        <v>0.60399999999999998</v>
      </c>
      <c r="H224">
        <v>0.76900000000000002</v>
      </c>
      <c r="I224">
        <f t="shared" si="21"/>
        <v>0.27317880794701993</v>
      </c>
      <c r="J224">
        <f t="shared" si="22"/>
        <v>2.4088692362805868E-5</v>
      </c>
      <c r="K224">
        <f t="shared" si="23"/>
        <v>24.088692362805869</v>
      </c>
      <c r="L224">
        <v>3971.6893664999998</v>
      </c>
      <c r="M224">
        <f t="shared" si="24"/>
        <v>3.9716893665000001E-3</v>
      </c>
      <c r="N224">
        <f t="shared" si="25"/>
        <v>9.5672803310245827E-8</v>
      </c>
      <c r="O224">
        <f t="shared" si="26"/>
        <v>0.344422091916885</v>
      </c>
      <c r="P224">
        <v>33.7301</v>
      </c>
    </row>
    <row r="225" spans="1:16" x14ac:dyDescent="0.35">
      <c r="A225" t="s">
        <v>37</v>
      </c>
      <c r="B225" s="2">
        <v>44800</v>
      </c>
      <c r="C225" s="3">
        <v>0.64583333333333337</v>
      </c>
      <c r="D225" t="s">
        <v>42</v>
      </c>
      <c r="E225" t="s">
        <v>7</v>
      </c>
      <c r="F225" s="1" t="s">
        <v>38</v>
      </c>
      <c r="G225">
        <v>0.61399999999999999</v>
      </c>
      <c r="H225">
        <v>0.76900000000000002</v>
      </c>
      <c r="I225">
        <f t="shared" si="21"/>
        <v>0.25244299674267107</v>
      </c>
      <c r="J225">
        <f t="shared" si="22"/>
        <v>2.1857979633501219E-5</v>
      </c>
      <c r="K225">
        <f t="shared" si="23"/>
        <v>21.85797963350122</v>
      </c>
      <c r="L225">
        <v>3971.6893664999998</v>
      </c>
      <c r="M225">
        <f t="shared" si="24"/>
        <v>3.9716893665000001E-3</v>
      </c>
      <c r="N225">
        <f t="shared" si="25"/>
        <v>8.6813105283550362E-8</v>
      </c>
      <c r="O225">
        <f t="shared" si="26"/>
        <v>0.31252717902078131</v>
      </c>
      <c r="P225">
        <v>32.391100000000002</v>
      </c>
    </row>
    <row r="226" spans="1:16" x14ac:dyDescent="0.35">
      <c r="A226" t="s">
        <v>37</v>
      </c>
      <c r="B226" s="2">
        <v>44800</v>
      </c>
      <c r="C226" s="3">
        <v>0.66666666666666663</v>
      </c>
      <c r="D226" t="s">
        <v>42</v>
      </c>
      <c r="E226" t="s">
        <v>7</v>
      </c>
      <c r="F226" s="1" t="s">
        <v>38</v>
      </c>
      <c r="G226">
        <v>0.62</v>
      </c>
      <c r="H226">
        <v>0.76900000000000002</v>
      </c>
      <c r="I226">
        <f t="shared" si="21"/>
        <v>0.24032258064516132</v>
      </c>
      <c r="J226">
        <f t="shared" si="22"/>
        <v>2.0573353483634515E-5</v>
      </c>
      <c r="K226">
        <f t="shared" si="23"/>
        <v>20.573353483634516</v>
      </c>
      <c r="L226">
        <v>3971.6893664999998</v>
      </c>
      <c r="M226">
        <f t="shared" si="24"/>
        <v>3.9716893665000001E-3</v>
      </c>
      <c r="N226">
        <f t="shared" si="25"/>
        <v>8.1710969264196938E-8</v>
      </c>
      <c r="O226">
        <f t="shared" si="26"/>
        <v>0.29415948935110897</v>
      </c>
      <c r="P226">
        <v>28.613099999999999</v>
      </c>
    </row>
    <row r="227" spans="1:16" x14ac:dyDescent="0.35">
      <c r="A227" t="s">
        <v>37</v>
      </c>
      <c r="B227" s="2">
        <v>44800</v>
      </c>
      <c r="C227" s="3">
        <v>0.6875</v>
      </c>
      <c r="D227" t="s">
        <v>42</v>
      </c>
      <c r="E227" t="s">
        <v>7</v>
      </c>
      <c r="F227" s="1" t="s">
        <v>38</v>
      </c>
      <c r="G227">
        <v>0.63300000000000001</v>
      </c>
      <c r="H227">
        <v>0.76900000000000002</v>
      </c>
      <c r="I227">
        <f t="shared" si="21"/>
        <v>0.21484992101105846</v>
      </c>
      <c r="J227">
        <f t="shared" si="22"/>
        <v>1.7922780687334971E-5</v>
      </c>
      <c r="K227">
        <f t="shared" si="23"/>
        <v>17.922780687334971</v>
      </c>
      <c r="L227">
        <v>3971.6893664999998</v>
      </c>
      <c r="M227">
        <f t="shared" si="24"/>
        <v>3.9716893665000001E-3</v>
      </c>
      <c r="N227">
        <f t="shared" si="25"/>
        <v>7.1183717473999865E-8</v>
      </c>
      <c r="O227">
        <f t="shared" si="26"/>
        <v>0.25626138290639949</v>
      </c>
      <c r="P227">
        <v>29.746700000000001</v>
      </c>
    </row>
    <row r="228" spans="1:16" x14ac:dyDescent="0.35">
      <c r="A228" t="s">
        <v>37</v>
      </c>
      <c r="B228" s="2">
        <v>44800</v>
      </c>
      <c r="C228" s="3">
        <v>0.70833333333333337</v>
      </c>
      <c r="D228" t="s">
        <v>42</v>
      </c>
      <c r="E228" t="s">
        <v>7</v>
      </c>
      <c r="F228" s="1" t="s">
        <v>38</v>
      </c>
      <c r="G228">
        <v>0.64</v>
      </c>
      <c r="H228">
        <v>0.76900000000000002</v>
      </c>
      <c r="I228">
        <f t="shared" si="21"/>
        <v>0.20156250000000001</v>
      </c>
      <c r="J228">
        <f t="shared" si="22"/>
        <v>1.6568200700931573E-5</v>
      </c>
      <c r="K228">
        <f t="shared" si="23"/>
        <v>16.568200700931573</v>
      </c>
      <c r="L228">
        <v>3971.6893664999998</v>
      </c>
      <c r="M228">
        <f t="shared" si="24"/>
        <v>3.9716893665000001E-3</v>
      </c>
      <c r="N228">
        <f t="shared" si="25"/>
        <v>6.5803746545927773E-8</v>
      </c>
      <c r="O228">
        <f t="shared" si="26"/>
        <v>0.23689348756533998</v>
      </c>
      <c r="P228">
        <v>26.706800000000001</v>
      </c>
    </row>
    <row r="229" spans="1:16" x14ac:dyDescent="0.35">
      <c r="A229" t="s">
        <v>37</v>
      </c>
      <c r="B229" s="2">
        <v>44800</v>
      </c>
      <c r="C229" s="3">
        <v>0.72916666666666663</v>
      </c>
      <c r="D229" t="s">
        <v>42</v>
      </c>
      <c r="E229" t="s">
        <v>7</v>
      </c>
      <c r="F229" s="1" t="s">
        <v>38</v>
      </c>
      <c r="G229">
        <v>0.65100000000000002</v>
      </c>
      <c r="H229">
        <v>0.76900000000000002</v>
      </c>
      <c r="I229">
        <f t="shared" si="21"/>
        <v>0.1812596006144393</v>
      </c>
      <c r="J229">
        <f t="shared" si="22"/>
        <v>1.4538363239485437E-5</v>
      </c>
      <c r="K229">
        <f t="shared" si="23"/>
        <v>14.538363239485436</v>
      </c>
      <c r="L229">
        <v>3971.6893664999998</v>
      </c>
      <c r="M229">
        <f t="shared" si="24"/>
        <v>3.9716893665000001E-3</v>
      </c>
      <c r="N229">
        <f t="shared" si="25"/>
        <v>5.7741862684578802E-8</v>
      </c>
      <c r="O229">
        <f t="shared" si="26"/>
        <v>0.20787070566448371</v>
      </c>
      <c r="P229">
        <v>24.7545</v>
      </c>
    </row>
    <row r="230" spans="1:16" x14ac:dyDescent="0.35">
      <c r="A230" t="s">
        <v>37</v>
      </c>
      <c r="B230" s="2">
        <v>44800</v>
      </c>
      <c r="C230" s="3">
        <v>0.75</v>
      </c>
      <c r="D230" t="s">
        <v>42</v>
      </c>
      <c r="E230" t="s">
        <v>7</v>
      </c>
      <c r="F230" s="1" t="s">
        <v>38</v>
      </c>
      <c r="G230">
        <v>0.67100000000000004</v>
      </c>
      <c r="H230">
        <v>0.76900000000000002</v>
      </c>
      <c r="I230">
        <f t="shared" si="21"/>
        <v>0.14605067064083452</v>
      </c>
      <c r="J230">
        <f t="shared" si="22"/>
        <v>1.1144249798516787E-5</v>
      </c>
      <c r="K230">
        <f t="shared" si="23"/>
        <v>11.144249798516787</v>
      </c>
      <c r="L230">
        <v>3971.6893664999998</v>
      </c>
      <c r="M230">
        <f t="shared" si="24"/>
        <v>3.9716893665000001E-3</v>
      </c>
      <c r="N230">
        <f t="shared" si="25"/>
        <v>4.4261498422388889E-8</v>
      </c>
      <c r="O230">
        <f t="shared" si="26"/>
        <v>0.15934139432059999</v>
      </c>
      <c r="P230">
        <v>21.6553</v>
      </c>
    </row>
    <row r="231" spans="1:16" x14ac:dyDescent="0.35">
      <c r="A231" t="s">
        <v>37</v>
      </c>
      <c r="B231" s="2">
        <v>44800</v>
      </c>
      <c r="C231" s="3">
        <v>0.77083333333333337</v>
      </c>
      <c r="D231" t="s">
        <v>42</v>
      </c>
      <c r="E231" t="s">
        <v>7</v>
      </c>
      <c r="F231" s="1" t="s">
        <v>38</v>
      </c>
      <c r="G231">
        <v>0.69199999999999995</v>
      </c>
      <c r="H231">
        <v>0.76900000000000002</v>
      </c>
      <c r="I231">
        <f t="shared" si="21"/>
        <v>0.11127167630057815</v>
      </c>
      <c r="J231">
        <f t="shared" si="22"/>
        <v>7.9734530588852517E-6</v>
      </c>
      <c r="K231">
        <f t="shared" si="23"/>
        <v>7.9734530588852515</v>
      </c>
      <c r="L231">
        <v>3971.6893664999998</v>
      </c>
      <c r="M231">
        <f t="shared" si="24"/>
        <v>3.9716893665000001E-3</v>
      </c>
      <c r="N231">
        <f t="shared" si="25"/>
        <v>3.1668078728261452E-8</v>
      </c>
      <c r="O231">
        <f t="shared" si="26"/>
        <v>0.11400508342174123</v>
      </c>
      <c r="P231">
        <v>21.886700000000001</v>
      </c>
    </row>
    <row r="232" spans="1:16" x14ac:dyDescent="0.35">
      <c r="A232" t="s">
        <v>37</v>
      </c>
      <c r="B232" s="2">
        <v>44800</v>
      </c>
      <c r="C232" s="3">
        <v>0.79166666666666663</v>
      </c>
      <c r="D232" t="s">
        <v>42</v>
      </c>
      <c r="E232" t="s">
        <v>7</v>
      </c>
      <c r="F232" s="1" t="s">
        <v>38</v>
      </c>
      <c r="G232">
        <v>0.70799999999999996</v>
      </c>
      <c r="H232">
        <v>0.76900000000000002</v>
      </c>
      <c r="I232">
        <f t="shared" si="21"/>
        <v>8.6158192090395561E-2</v>
      </c>
      <c r="J232">
        <f t="shared" si="22"/>
        <v>5.8196524331608796E-6</v>
      </c>
      <c r="K232">
        <f t="shared" si="23"/>
        <v>5.8196524331608792</v>
      </c>
      <c r="L232">
        <v>3971.6893664999998</v>
      </c>
      <c r="M232">
        <f t="shared" si="24"/>
        <v>3.9716893665000001E-3</v>
      </c>
      <c r="N232">
        <f t="shared" si="25"/>
        <v>2.3113851685510918E-8</v>
      </c>
      <c r="O232">
        <f t="shared" si="26"/>
        <v>8.3209866067839311E-2</v>
      </c>
      <c r="P232">
        <v>21.135999999999999</v>
      </c>
    </row>
    <row r="233" spans="1:16" x14ac:dyDescent="0.35">
      <c r="A233" t="s">
        <v>37</v>
      </c>
      <c r="B233" s="2">
        <v>44800</v>
      </c>
      <c r="C233" s="3">
        <v>0.8125</v>
      </c>
      <c r="D233" t="s">
        <v>42</v>
      </c>
      <c r="E233" t="s">
        <v>7</v>
      </c>
      <c r="F233" s="1" t="s">
        <v>38</v>
      </c>
      <c r="G233">
        <v>0.72</v>
      </c>
      <c r="H233">
        <v>0.76900000000000002</v>
      </c>
      <c r="I233">
        <f t="shared" ref="I233:I296" si="27">(H233-G233)/G233</f>
        <v>6.8055555555555619E-2</v>
      </c>
      <c r="J233">
        <f t="shared" ref="J233:J296" si="28">119*10^-6*(I233^1.231)</f>
        <v>4.3531339679484075E-6</v>
      </c>
      <c r="K233">
        <f t="shared" si="23"/>
        <v>4.3531339679484073</v>
      </c>
      <c r="L233">
        <v>3971.6893664999998</v>
      </c>
      <c r="M233">
        <f t="shared" si="24"/>
        <v>3.9716893665000001E-3</v>
      </c>
      <c r="N233">
        <f t="shared" si="25"/>
        <v>1.7289295891450642E-8</v>
      </c>
      <c r="O233">
        <f t="shared" si="26"/>
        <v>6.2241465209222302E-2</v>
      </c>
      <c r="P233">
        <v>22.610600000000002</v>
      </c>
    </row>
    <row r="234" spans="1:16" x14ac:dyDescent="0.35">
      <c r="A234" t="s">
        <v>37</v>
      </c>
      <c r="B234" s="2">
        <v>44800</v>
      </c>
      <c r="C234" s="3">
        <v>0.83333333333333337</v>
      </c>
      <c r="D234" t="s">
        <v>42</v>
      </c>
      <c r="E234" t="s">
        <v>7</v>
      </c>
      <c r="F234" s="1" t="s">
        <v>38</v>
      </c>
      <c r="G234">
        <v>0.72899999999999998</v>
      </c>
      <c r="H234">
        <v>0.76900000000000002</v>
      </c>
      <c r="I234">
        <f t="shared" si="27"/>
        <v>5.4869684499314182E-2</v>
      </c>
      <c r="J234">
        <f t="shared" si="28"/>
        <v>3.3393752447535859E-6</v>
      </c>
      <c r="K234">
        <f t="shared" ref="K234:K297" si="29">J234*10^6</f>
        <v>3.3393752447535858</v>
      </c>
      <c r="L234">
        <v>3971.6893664999998</v>
      </c>
      <c r="M234">
        <f t="shared" si="24"/>
        <v>3.9716893665000001E-3</v>
      </c>
      <c r="N234">
        <f t="shared" si="25"/>
        <v>1.3262961150341152E-8</v>
      </c>
      <c r="O234">
        <f t="shared" si="26"/>
        <v>4.7746660141228144E-2</v>
      </c>
      <c r="P234">
        <v>22.5307</v>
      </c>
    </row>
    <row r="235" spans="1:16" x14ac:dyDescent="0.35">
      <c r="A235" t="s">
        <v>37</v>
      </c>
      <c r="B235" s="2">
        <v>44800</v>
      </c>
      <c r="C235" s="3">
        <v>0.85416666666666663</v>
      </c>
      <c r="D235" t="s">
        <v>42</v>
      </c>
      <c r="E235" t="s">
        <v>7</v>
      </c>
      <c r="F235" s="1" t="s">
        <v>38</v>
      </c>
      <c r="G235">
        <v>0.73799999999999999</v>
      </c>
      <c r="H235">
        <v>0.76900000000000002</v>
      </c>
      <c r="I235">
        <f t="shared" si="27"/>
        <v>4.2005420054200583E-2</v>
      </c>
      <c r="J235">
        <f t="shared" si="28"/>
        <v>2.4034540584924141E-6</v>
      </c>
      <c r="K235">
        <f t="shared" si="29"/>
        <v>2.403454058492414</v>
      </c>
      <c r="L235">
        <v>3971.6893664999998</v>
      </c>
      <c r="M235">
        <f t="shared" si="24"/>
        <v>3.9716893665000001E-3</v>
      </c>
      <c r="N235">
        <f t="shared" si="25"/>
        <v>9.5457729269855899E-9</v>
      </c>
      <c r="O235">
        <f t="shared" si="26"/>
        <v>3.4364782537148121E-2</v>
      </c>
      <c r="P235">
        <v>22.331499999999998</v>
      </c>
    </row>
    <row r="236" spans="1:16" x14ac:dyDescent="0.35">
      <c r="A236" t="s">
        <v>37</v>
      </c>
      <c r="B236" s="2">
        <v>44800</v>
      </c>
      <c r="C236" s="3">
        <v>0.875</v>
      </c>
      <c r="D236" t="s">
        <v>42</v>
      </c>
      <c r="E236" t="s">
        <v>7</v>
      </c>
      <c r="F236" s="1" t="s">
        <v>38</v>
      </c>
      <c r="G236">
        <v>0.745</v>
      </c>
      <c r="H236">
        <v>0.76900000000000002</v>
      </c>
      <c r="I236">
        <f t="shared" si="27"/>
        <v>3.2214765100671172E-2</v>
      </c>
      <c r="J236">
        <f t="shared" si="28"/>
        <v>1.7336548072514355E-6</v>
      </c>
      <c r="K236">
        <f t="shared" si="29"/>
        <v>1.7336548072514355</v>
      </c>
      <c r="L236">
        <v>3971.6893664999998</v>
      </c>
      <c r="M236">
        <f t="shared" si="24"/>
        <v>3.9716893665000001E-3</v>
      </c>
      <c r="N236">
        <f t="shared" si="25"/>
        <v>6.8855383631421336E-9</v>
      </c>
      <c r="O236">
        <f t="shared" si="26"/>
        <v>2.4787938107311683E-2</v>
      </c>
      <c r="P236">
        <v>22.132000000000001</v>
      </c>
    </row>
    <row r="237" spans="1:16" x14ac:dyDescent="0.35">
      <c r="A237" t="s">
        <v>37</v>
      </c>
      <c r="B237" s="2">
        <v>44800</v>
      </c>
      <c r="C237" s="3">
        <v>0.89583333333333337</v>
      </c>
      <c r="D237" t="s">
        <v>42</v>
      </c>
      <c r="E237" t="s">
        <v>7</v>
      </c>
      <c r="F237" s="1" t="s">
        <v>38</v>
      </c>
      <c r="G237">
        <v>0.751</v>
      </c>
      <c r="H237">
        <v>0.76900000000000002</v>
      </c>
      <c r="I237">
        <f t="shared" si="27"/>
        <v>2.3968042609853552E-2</v>
      </c>
      <c r="J237">
        <f t="shared" si="28"/>
        <v>1.2046881897445647E-6</v>
      </c>
      <c r="K237">
        <f t="shared" si="29"/>
        <v>1.2046881897445647</v>
      </c>
      <c r="L237">
        <v>3971.6893664999998</v>
      </c>
      <c r="M237">
        <f t="shared" si="24"/>
        <v>3.9716893665000001E-3</v>
      </c>
      <c r="N237">
        <f t="shared" si="25"/>
        <v>4.7846472731566222E-9</v>
      </c>
      <c r="O237">
        <f t="shared" si="26"/>
        <v>1.7224730183363839E-2</v>
      </c>
      <c r="P237">
        <v>21.936800000000002</v>
      </c>
    </row>
    <row r="238" spans="1:16" x14ac:dyDescent="0.35">
      <c r="A238" t="s">
        <v>37</v>
      </c>
      <c r="B238" s="2">
        <v>44800</v>
      </c>
      <c r="C238" s="3">
        <v>0.91666666666666663</v>
      </c>
      <c r="D238" t="s">
        <v>42</v>
      </c>
      <c r="E238" t="s">
        <v>7</v>
      </c>
      <c r="F238" s="1" t="s">
        <v>38</v>
      </c>
      <c r="G238">
        <v>0.755</v>
      </c>
      <c r="H238">
        <v>0.76900000000000002</v>
      </c>
      <c r="I238">
        <f t="shared" si="27"/>
        <v>1.854304635761591E-2</v>
      </c>
      <c r="J238">
        <f t="shared" si="28"/>
        <v>8.7837077152359118E-7</v>
      </c>
      <c r="K238">
        <f t="shared" si="29"/>
        <v>0.87837077152359122</v>
      </c>
      <c r="L238">
        <v>3971.6893664999998</v>
      </c>
      <c r="M238">
        <f t="shared" si="24"/>
        <v>3.9716893665000001E-3</v>
      </c>
      <c r="N238">
        <f t="shared" si="25"/>
        <v>3.4886158531046481E-9</v>
      </c>
      <c r="O238">
        <f t="shared" si="26"/>
        <v>1.2559017071176733E-2</v>
      </c>
      <c r="P238">
        <v>21.610299999999999</v>
      </c>
    </row>
    <row r="239" spans="1:16" x14ac:dyDescent="0.35">
      <c r="A239" t="s">
        <v>37</v>
      </c>
      <c r="B239" s="2">
        <v>44800</v>
      </c>
      <c r="C239" s="3">
        <v>0.9375</v>
      </c>
      <c r="D239" t="s">
        <v>42</v>
      </c>
      <c r="E239" t="s">
        <v>7</v>
      </c>
      <c r="F239" s="1" t="s">
        <v>38</v>
      </c>
      <c r="G239">
        <v>0.75800000000000001</v>
      </c>
      <c r="H239">
        <v>0.76900000000000002</v>
      </c>
      <c r="I239">
        <f t="shared" si="27"/>
        <v>1.4511873350923495E-2</v>
      </c>
      <c r="J239">
        <f t="shared" si="28"/>
        <v>6.4957389721582406E-7</v>
      </c>
      <c r="K239">
        <f t="shared" si="29"/>
        <v>0.64957389721582404</v>
      </c>
      <c r="L239">
        <v>3971.6893664999998</v>
      </c>
      <c r="M239">
        <f t="shared" si="24"/>
        <v>3.9716893665000001E-3</v>
      </c>
      <c r="N239">
        <f t="shared" si="25"/>
        <v>2.5799057403280525E-9</v>
      </c>
      <c r="O239">
        <f t="shared" si="26"/>
        <v>9.2876606651809898E-3</v>
      </c>
      <c r="P239">
        <v>21.201899999999998</v>
      </c>
    </row>
    <row r="240" spans="1:16" x14ac:dyDescent="0.35">
      <c r="A240" t="s">
        <v>37</v>
      </c>
      <c r="B240" s="2">
        <v>44800</v>
      </c>
      <c r="C240" s="3">
        <v>0.95833333333333337</v>
      </c>
      <c r="D240" t="s">
        <v>42</v>
      </c>
      <c r="E240" t="s">
        <v>7</v>
      </c>
      <c r="F240" s="1" t="s">
        <v>38</v>
      </c>
      <c r="G240">
        <v>0.76100000000000001</v>
      </c>
      <c r="H240">
        <v>0.76900000000000002</v>
      </c>
      <c r="I240">
        <f t="shared" si="27"/>
        <v>1.0512483574244424E-2</v>
      </c>
      <c r="J240">
        <f t="shared" si="28"/>
        <v>4.3678349885644503E-7</v>
      </c>
      <c r="K240">
        <f t="shared" si="29"/>
        <v>0.43678349885644502</v>
      </c>
      <c r="L240">
        <v>3971.6893664999998</v>
      </c>
      <c r="M240">
        <f t="shared" si="24"/>
        <v>3.9716893665000001E-3</v>
      </c>
      <c r="N240">
        <f t="shared" si="25"/>
        <v>1.7347683778708078E-9</v>
      </c>
      <c r="O240">
        <f t="shared" si="26"/>
        <v>6.2451661603349076E-3</v>
      </c>
      <c r="P240">
        <v>20.816600000000001</v>
      </c>
    </row>
    <row r="241" spans="1:16" x14ac:dyDescent="0.35">
      <c r="A241" t="s">
        <v>37</v>
      </c>
      <c r="B241" s="2">
        <v>44800</v>
      </c>
      <c r="C241" s="3">
        <v>0.97916666666666663</v>
      </c>
      <c r="D241" t="s">
        <v>42</v>
      </c>
      <c r="E241" t="s">
        <v>7</v>
      </c>
      <c r="F241" s="1" t="s">
        <v>38</v>
      </c>
      <c r="G241">
        <v>0.76300000000000001</v>
      </c>
      <c r="H241">
        <v>0.76900000000000002</v>
      </c>
      <c r="I241">
        <f t="shared" si="27"/>
        <v>7.8636959370904386E-3</v>
      </c>
      <c r="J241">
        <f t="shared" si="28"/>
        <v>3.0553674273628636E-7</v>
      </c>
      <c r="K241">
        <f t="shared" si="29"/>
        <v>0.30553674273628634</v>
      </c>
      <c r="L241">
        <v>3971.6893664999998</v>
      </c>
      <c r="M241">
        <f t="shared" si="24"/>
        <v>3.9716893665000001E-3</v>
      </c>
      <c r="N241">
        <f t="shared" si="25"/>
        <v>1.2134970322007548E-9</v>
      </c>
      <c r="O241">
        <f t="shared" si="26"/>
        <v>4.3685893159227177E-3</v>
      </c>
      <c r="P241">
        <v>20.130299999999998</v>
      </c>
    </row>
    <row r="242" spans="1:16" x14ac:dyDescent="0.35">
      <c r="A242" t="s">
        <v>37</v>
      </c>
      <c r="B242" s="2">
        <v>44800</v>
      </c>
      <c r="C242" s="3">
        <v>0</v>
      </c>
      <c r="D242" t="s">
        <v>41</v>
      </c>
      <c r="E242" t="s">
        <v>15</v>
      </c>
      <c r="F242" s="1" t="s">
        <v>38</v>
      </c>
      <c r="G242">
        <v>0.65800000000000003</v>
      </c>
      <c r="H242">
        <f>MAX(G242:G289)</f>
        <v>0.67300000000000004</v>
      </c>
      <c r="I242">
        <f t="shared" si="27"/>
        <v>2.2796352583586647E-2</v>
      </c>
      <c r="J242">
        <f t="shared" si="28"/>
        <v>1.132606960425241E-6</v>
      </c>
      <c r="K242">
        <f t="shared" si="29"/>
        <v>1.1326069604252411</v>
      </c>
      <c r="L242">
        <v>1277.1260966250002</v>
      </c>
      <c r="M242">
        <f t="shared" si="24"/>
        <v>1.2771260966250003E-3</v>
      </c>
      <c r="N242">
        <f t="shared" si="25"/>
        <v>1.4464819063781942E-9</v>
      </c>
      <c r="O242">
        <f t="shared" si="26"/>
        <v>5.2073348629614992E-3</v>
      </c>
      <c r="P242">
        <v>20.112200000000001</v>
      </c>
    </row>
    <row r="243" spans="1:16" x14ac:dyDescent="0.35">
      <c r="A243" t="s">
        <v>37</v>
      </c>
      <c r="B243" s="2">
        <v>44800</v>
      </c>
      <c r="C243" s="3">
        <v>2.0833333333333332E-2</v>
      </c>
      <c r="D243" t="s">
        <v>41</v>
      </c>
      <c r="E243" t="s">
        <v>15</v>
      </c>
      <c r="F243" s="1" t="s">
        <v>38</v>
      </c>
      <c r="G243">
        <v>0.65900000000000003</v>
      </c>
      <c r="H243">
        <v>0.67300000000000004</v>
      </c>
      <c r="I243">
        <f t="shared" si="27"/>
        <v>2.124430955993932E-2</v>
      </c>
      <c r="J243">
        <f t="shared" si="28"/>
        <v>1.0384429158068637E-6</v>
      </c>
      <c r="K243">
        <f t="shared" si="29"/>
        <v>1.0384429158068638</v>
      </c>
      <c r="L243">
        <v>1277.1260966250002</v>
      </c>
      <c r="M243">
        <f t="shared" si="24"/>
        <v>1.2771260966250003E-3</v>
      </c>
      <c r="N243">
        <f t="shared" si="25"/>
        <v>1.3262225476323036E-9</v>
      </c>
      <c r="O243">
        <f t="shared" si="26"/>
        <v>4.7744011714762925E-3</v>
      </c>
      <c r="P243">
        <v>19.898800000000001</v>
      </c>
    </row>
    <row r="244" spans="1:16" x14ac:dyDescent="0.35">
      <c r="A244" t="s">
        <v>37</v>
      </c>
      <c r="B244" s="2">
        <v>44800</v>
      </c>
      <c r="C244" s="3">
        <v>4.1666666666666664E-2</v>
      </c>
      <c r="D244" t="s">
        <v>41</v>
      </c>
      <c r="E244" t="s">
        <v>15</v>
      </c>
      <c r="F244" s="1" t="s">
        <v>38</v>
      </c>
      <c r="G244">
        <v>0.66300000000000003</v>
      </c>
      <c r="H244">
        <v>0.67300000000000004</v>
      </c>
      <c r="I244">
        <f t="shared" si="27"/>
        <v>1.508295625942686E-2</v>
      </c>
      <c r="J244">
        <f t="shared" si="28"/>
        <v>6.811830109898548E-7</v>
      </c>
      <c r="K244">
        <f t="shared" si="29"/>
        <v>0.68118301098985479</v>
      </c>
      <c r="L244">
        <v>1277.1260966250002</v>
      </c>
      <c r="M244">
        <f t="shared" si="24"/>
        <v>1.2771260966250003E-3</v>
      </c>
      <c r="N244">
        <f t="shared" si="25"/>
        <v>8.6995659991273794E-10</v>
      </c>
      <c r="O244">
        <f t="shared" si="26"/>
        <v>3.1318437596858568E-3</v>
      </c>
      <c r="P244">
        <v>19.249500000000001</v>
      </c>
    </row>
    <row r="245" spans="1:16" x14ac:dyDescent="0.35">
      <c r="A245" t="s">
        <v>37</v>
      </c>
      <c r="B245" s="2">
        <v>44800</v>
      </c>
      <c r="C245" s="3">
        <v>6.25E-2</v>
      </c>
      <c r="D245" t="s">
        <v>41</v>
      </c>
      <c r="E245" t="s">
        <v>15</v>
      </c>
      <c r="F245" s="1" t="s">
        <v>38</v>
      </c>
      <c r="G245">
        <v>0.66700000000000004</v>
      </c>
      <c r="H245">
        <v>0.67300000000000004</v>
      </c>
      <c r="I245">
        <f t="shared" si="27"/>
        <v>8.9955022488755702E-3</v>
      </c>
      <c r="J245">
        <f t="shared" si="28"/>
        <v>3.60538999364938E-7</v>
      </c>
      <c r="K245">
        <f t="shared" si="29"/>
        <v>0.360538999364938</v>
      </c>
      <c r="L245">
        <v>1277.1260966250002</v>
      </c>
      <c r="M245">
        <f t="shared" si="24"/>
        <v>1.2771260966250003E-3</v>
      </c>
      <c r="N245">
        <f t="shared" si="25"/>
        <v>4.6045376494002674E-10</v>
      </c>
      <c r="O245">
        <f t="shared" si="26"/>
        <v>1.6576335537840964E-3</v>
      </c>
      <c r="P245">
        <v>17.116900000000001</v>
      </c>
    </row>
    <row r="246" spans="1:16" x14ac:dyDescent="0.35">
      <c r="A246" t="s">
        <v>37</v>
      </c>
      <c r="B246" s="2">
        <v>44800</v>
      </c>
      <c r="C246" s="3">
        <v>8.3333333333333329E-2</v>
      </c>
      <c r="D246" t="s">
        <v>41</v>
      </c>
      <c r="E246" t="s">
        <v>15</v>
      </c>
      <c r="F246" s="1" t="s">
        <v>38</v>
      </c>
      <c r="G246">
        <v>0.67100000000000004</v>
      </c>
      <c r="H246">
        <v>0.67300000000000004</v>
      </c>
      <c r="I246">
        <f t="shared" si="27"/>
        <v>2.9806259314456062E-3</v>
      </c>
      <c r="J246">
        <f t="shared" si="28"/>
        <v>9.2559172597399345E-8</v>
      </c>
      <c r="K246">
        <f t="shared" si="29"/>
        <v>9.2559172597399347E-2</v>
      </c>
      <c r="L246">
        <v>1277.1260966250002</v>
      </c>
      <c r="M246">
        <f t="shared" si="24"/>
        <v>1.2771260966250003E-3</v>
      </c>
      <c r="N246">
        <f t="shared" si="25"/>
        <v>1.182097348061563E-10</v>
      </c>
      <c r="O246">
        <f t="shared" si="26"/>
        <v>4.2555504530216267E-4</v>
      </c>
      <c r="P246">
        <v>16.752199999999998</v>
      </c>
    </row>
    <row r="247" spans="1:16" x14ac:dyDescent="0.35">
      <c r="A247" t="s">
        <v>37</v>
      </c>
      <c r="B247" s="2">
        <v>44800</v>
      </c>
      <c r="C247" s="3">
        <v>0.10416666666666667</v>
      </c>
      <c r="D247" t="s">
        <v>41</v>
      </c>
      <c r="E247" t="s">
        <v>15</v>
      </c>
      <c r="F247" s="1" t="s">
        <v>38</v>
      </c>
      <c r="G247">
        <v>0.67</v>
      </c>
      <c r="H247">
        <v>0.67300000000000004</v>
      </c>
      <c r="I247">
        <f t="shared" si="27"/>
        <v>4.4776119402985112E-3</v>
      </c>
      <c r="J247">
        <f t="shared" si="28"/>
        <v>1.5275138047618402E-7</v>
      </c>
      <c r="K247">
        <f t="shared" si="29"/>
        <v>0.15275138047618403</v>
      </c>
      <c r="L247">
        <v>1277.1260966250002</v>
      </c>
      <c r="M247">
        <f t="shared" si="24"/>
        <v>1.2771260966250003E-3</v>
      </c>
      <c r="N247">
        <f t="shared" si="25"/>
        <v>1.9508277430162919E-10</v>
      </c>
      <c r="O247">
        <f t="shared" si="26"/>
        <v>7.0229798748586505E-4</v>
      </c>
      <c r="P247">
        <v>16.4085</v>
      </c>
    </row>
    <row r="248" spans="1:16" x14ac:dyDescent="0.35">
      <c r="A248" t="s">
        <v>37</v>
      </c>
      <c r="B248" s="2">
        <v>44800</v>
      </c>
      <c r="C248" s="3">
        <v>0.125</v>
      </c>
      <c r="D248" t="s">
        <v>41</v>
      </c>
      <c r="E248" t="s">
        <v>15</v>
      </c>
      <c r="F248" s="1" t="s">
        <v>38</v>
      </c>
      <c r="G248">
        <v>0.67</v>
      </c>
      <c r="H248">
        <v>0.67300000000000004</v>
      </c>
      <c r="I248">
        <f t="shared" si="27"/>
        <v>4.4776119402985112E-3</v>
      </c>
      <c r="J248">
        <f t="shared" si="28"/>
        <v>1.5275138047618402E-7</v>
      </c>
      <c r="K248">
        <f t="shared" si="29"/>
        <v>0.15275138047618403</v>
      </c>
      <c r="L248">
        <v>1277.1260966250002</v>
      </c>
      <c r="M248">
        <f t="shared" si="24"/>
        <v>1.2771260966250003E-3</v>
      </c>
      <c r="N248">
        <f t="shared" si="25"/>
        <v>1.9508277430162919E-10</v>
      </c>
      <c r="O248">
        <f t="shared" si="26"/>
        <v>7.0229798748586505E-4</v>
      </c>
      <c r="P248">
        <v>17.264900000000001</v>
      </c>
    </row>
    <row r="249" spans="1:16" x14ac:dyDescent="0.35">
      <c r="A249" t="s">
        <v>37</v>
      </c>
      <c r="B249" s="2">
        <v>44800</v>
      </c>
      <c r="C249" s="3">
        <v>0.14583333333333334</v>
      </c>
      <c r="D249" t="s">
        <v>41</v>
      </c>
      <c r="E249" t="s">
        <v>15</v>
      </c>
      <c r="F249" s="1" t="s">
        <v>38</v>
      </c>
      <c r="G249">
        <v>0.66800000000000004</v>
      </c>
      <c r="H249">
        <v>0.67300000000000004</v>
      </c>
      <c r="I249">
        <f t="shared" si="27"/>
        <v>7.4850299401197666E-3</v>
      </c>
      <c r="J249">
        <f t="shared" si="28"/>
        <v>2.87527382930181E-7</v>
      </c>
      <c r="K249">
        <f t="shared" si="29"/>
        <v>0.28752738293018099</v>
      </c>
      <c r="L249">
        <v>1277.1260966250002</v>
      </c>
      <c r="M249">
        <f t="shared" si="24"/>
        <v>1.2771260966250003E-3</v>
      </c>
      <c r="N249">
        <f t="shared" si="25"/>
        <v>3.6720872423442379E-10</v>
      </c>
      <c r="O249">
        <f t="shared" si="26"/>
        <v>1.3219514072439257E-3</v>
      </c>
      <c r="P249">
        <v>15.769</v>
      </c>
    </row>
    <row r="250" spans="1:16" x14ac:dyDescent="0.35">
      <c r="A250" t="s">
        <v>37</v>
      </c>
      <c r="B250" s="2">
        <v>44800</v>
      </c>
      <c r="C250" s="3">
        <v>0.16666666666666666</v>
      </c>
      <c r="D250" t="s">
        <v>41</v>
      </c>
      <c r="E250" t="s">
        <v>15</v>
      </c>
      <c r="F250" s="1" t="s">
        <v>38</v>
      </c>
      <c r="G250">
        <v>0.66700000000000004</v>
      </c>
      <c r="H250">
        <v>0.67300000000000004</v>
      </c>
      <c r="I250">
        <f t="shared" si="27"/>
        <v>8.9955022488755702E-3</v>
      </c>
      <c r="J250">
        <f t="shared" si="28"/>
        <v>3.60538999364938E-7</v>
      </c>
      <c r="K250">
        <f t="shared" si="29"/>
        <v>0.360538999364938</v>
      </c>
      <c r="L250">
        <v>1277.1260966250002</v>
      </c>
      <c r="M250">
        <f t="shared" si="24"/>
        <v>1.2771260966250003E-3</v>
      </c>
      <c r="N250">
        <f t="shared" si="25"/>
        <v>4.6045376494002674E-10</v>
      </c>
      <c r="O250">
        <f t="shared" si="26"/>
        <v>1.6576335537840964E-3</v>
      </c>
      <c r="P250">
        <v>16.060199999999998</v>
      </c>
    </row>
    <row r="251" spans="1:16" x14ac:dyDescent="0.35">
      <c r="A251" t="s">
        <v>37</v>
      </c>
      <c r="B251" s="2">
        <v>44800</v>
      </c>
      <c r="C251" s="3">
        <v>0.1875</v>
      </c>
      <c r="D251" t="s">
        <v>41</v>
      </c>
      <c r="E251" t="s">
        <v>15</v>
      </c>
      <c r="F251" s="1" t="s">
        <v>38</v>
      </c>
      <c r="G251">
        <v>0.66800000000000004</v>
      </c>
      <c r="H251">
        <v>0.67300000000000004</v>
      </c>
      <c r="I251">
        <f t="shared" si="27"/>
        <v>7.4850299401197666E-3</v>
      </c>
      <c r="J251">
        <f t="shared" si="28"/>
        <v>2.87527382930181E-7</v>
      </c>
      <c r="K251">
        <f t="shared" si="29"/>
        <v>0.28752738293018099</v>
      </c>
      <c r="L251">
        <v>1277.1260966250002</v>
      </c>
      <c r="M251">
        <f t="shared" si="24"/>
        <v>1.2771260966250003E-3</v>
      </c>
      <c r="N251">
        <f t="shared" si="25"/>
        <v>3.6720872423442379E-10</v>
      </c>
      <c r="O251">
        <f t="shared" si="26"/>
        <v>1.3219514072439257E-3</v>
      </c>
      <c r="P251">
        <v>15.727600000000001</v>
      </c>
    </row>
    <row r="252" spans="1:16" x14ac:dyDescent="0.35">
      <c r="A252" t="s">
        <v>37</v>
      </c>
      <c r="B252" s="2">
        <v>44800</v>
      </c>
      <c r="C252" s="3">
        <v>0.20833333333333334</v>
      </c>
      <c r="D252" t="s">
        <v>41</v>
      </c>
      <c r="E252" t="s">
        <v>15</v>
      </c>
      <c r="F252" s="1" t="s">
        <v>38</v>
      </c>
      <c r="G252">
        <v>0.67200000000000004</v>
      </c>
      <c r="H252">
        <v>0.67300000000000004</v>
      </c>
      <c r="I252">
        <f t="shared" si="27"/>
        <v>1.4880952380952393E-3</v>
      </c>
      <c r="J252">
        <f t="shared" si="28"/>
        <v>3.936002687208949E-8</v>
      </c>
      <c r="K252">
        <f t="shared" si="29"/>
        <v>3.936002687208949E-2</v>
      </c>
      <c r="L252">
        <v>1277.1260966250002</v>
      </c>
      <c r="M252">
        <f t="shared" si="24"/>
        <v>1.2771260966250003E-3</v>
      </c>
      <c r="N252">
        <f t="shared" si="25"/>
        <v>5.0267717482206772E-11</v>
      </c>
      <c r="O252">
        <f t="shared" si="26"/>
        <v>1.809637829359444E-4</v>
      </c>
      <c r="P252">
        <v>15.0184</v>
      </c>
    </row>
    <row r="253" spans="1:16" x14ac:dyDescent="0.35">
      <c r="A253" t="s">
        <v>37</v>
      </c>
      <c r="B253" s="2">
        <v>44800</v>
      </c>
      <c r="C253" s="3">
        <v>0.22916666666666666</v>
      </c>
      <c r="D253" t="s">
        <v>41</v>
      </c>
      <c r="E253" t="s">
        <v>15</v>
      </c>
      <c r="F253" s="1" t="s">
        <v>38</v>
      </c>
      <c r="G253">
        <v>0.67200000000000004</v>
      </c>
      <c r="H253">
        <v>0.67300000000000004</v>
      </c>
      <c r="I253">
        <f t="shared" si="27"/>
        <v>1.4880952380952393E-3</v>
      </c>
      <c r="J253">
        <f t="shared" si="28"/>
        <v>3.936002687208949E-8</v>
      </c>
      <c r="K253">
        <f t="shared" si="29"/>
        <v>3.936002687208949E-2</v>
      </c>
      <c r="L253">
        <v>1277.1260966250002</v>
      </c>
      <c r="M253">
        <f t="shared" si="24"/>
        <v>1.2771260966250003E-3</v>
      </c>
      <c r="N253">
        <f t="shared" si="25"/>
        <v>5.0267717482206772E-11</v>
      </c>
      <c r="O253">
        <f t="shared" si="26"/>
        <v>1.809637829359444E-4</v>
      </c>
      <c r="P253">
        <v>14.711399999999999</v>
      </c>
    </row>
    <row r="254" spans="1:16" x14ac:dyDescent="0.35">
      <c r="A254" t="s">
        <v>37</v>
      </c>
      <c r="B254" s="2">
        <v>44800</v>
      </c>
      <c r="C254" s="3">
        <v>0.25</v>
      </c>
      <c r="D254" t="s">
        <v>41</v>
      </c>
      <c r="E254" t="s">
        <v>15</v>
      </c>
      <c r="F254" s="1" t="s">
        <v>38</v>
      </c>
      <c r="G254">
        <v>0.67200000000000004</v>
      </c>
      <c r="H254">
        <v>0.67300000000000004</v>
      </c>
      <c r="I254">
        <f t="shared" si="27"/>
        <v>1.4880952380952393E-3</v>
      </c>
      <c r="J254">
        <f t="shared" si="28"/>
        <v>3.936002687208949E-8</v>
      </c>
      <c r="K254">
        <f t="shared" si="29"/>
        <v>3.936002687208949E-2</v>
      </c>
      <c r="L254">
        <v>1277.1260966250002</v>
      </c>
      <c r="M254">
        <f t="shared" si="24"/>
        <v>1.2771260966250003E-3</v>
      </c>
      <c r="N254">
        <f t="shared" si="25"/>
        <v>5.0267717482206772E-11</v>
      </c>
      <c r="O254">
        <f t="shared" si="26"/>
        <v>1.809637829359444E-4</v>
      </c>
      <c r="P254">
        <v>15.889900000000001</v>
      </c>
    </row>
    <row r="255" spans="1:16" x14ac:dyDescent="0.35">
      <c r="A255" t="s">
        <v>37</v>
      </c>
      <c r="B255" s="2">
        <v>44800</v>
      </c>
      <c r="C255" s="3">
        <v>0.27083333333333331</v>
      </c>
      <c r="D255" t="s">
        <v>41</v>
      </c>
      <c r="E255" t="s">
        <v>15</v>
      </c>
      <c r="F255" s="1" t="s">
        <v>38</v>
      </c>
      <c r="G255">
        <v>0.67300000000000004</v>
      </c>
      <c r="H255">
        <v>0.67300000000000004</v>
      </c>
      <c r="I255">
        <f t="shared" si="27"/>
        <v>0</v>
      </c>
      <c r="J255">
        <f t="shared" si="28"/>
        <v>0</v>
      </c>
      <c r="K255">
        <f t="shared" si="29"/>
        <v>0</v>
      </c>
      <c r="L255">
        <v>1277.1260966250002</v>
      </c>
      <c r="M255">
        <f t="shared" si="24"/>
        <v>1.2771260966250003E-3</v>
      </c>
      <c r="N255">
        <f t="shared" si="25"/>
        <v>0</v>
      </c>
      <c r="O255">
        <f t="shared" si="26"/>
        <v>0</v>
      </c>
      <c r="P255">
        <v>16.3066</v>
      </c>
    </row>
    <row r="256" spans="1:16" x14ac:dyDescent="0.35">
      <c r="A256" t="s">
        <v>37</v>
      </c>
      <c r="B256" s="2">
        <v>44800</v>
      </c>
      <c r="C256" s="3">
        <v>0.29166666666666669</v>
      </c>
      <c r="D256" t="s">
        <v>41</v>
      </c>
      <c r="E256" t="s">
        <v>15</v>
      </c>
      <c r="F256" s="1" t="s">
        <v>38</v>
      </c>
      <c r="G256">
        <v>0.67</v>
      </c>
      <c r="H256">
        <v>0.67300000000000004</v>
      </c>
      <c r="I256">
        <f t="shared" si="27"/>
        <v>4.4776119402985112E-3</v>
      </c>
      <c r="J256">
        <f t="shared" si="28"/>
        <v>1.5275138047618402E-7</v>
      </c>
      <c r="K256">
        <f t="shared" si="29"/>
        <v>0.15275138047618403</v>
      </c>
      <c r="L256">
        <v>1277.1260966250002</v>
      </c>
      <c r="M256">
        <f t="shared" si="24"/>
        <v>1.2771260966250003E-3</v>
      </c>
      <c r="N256">
        <f t="shared" si="25"/>
        <v>1.9508277430162919E-10</v>
      </c>
      <c r="O256">
        <f t="shared" si="26"/>
        <v>7.0229798748586505E-4</v>
      </c>
      <c r="P256">
        <v>17.531300000000002</v>
      </c>
    </row>
    <row r="257" spans="1:16" x14ac:dyDescent="0.35">
      <c r="A257" t="s">
        <v>37</v>
      </c>
      <c r="B257" s="2">
        <v>44800</v>
      </c>
      <c r="C257" s="3">
        <v>0.3125</v>
      </c>
      <c r="D257" t="s">
        <v>41</v>
      </c>
      <c r="E257" t="s">
        <v>15</v>
      </c>
      <c r="F257" s="1" t="s">
        <v>38</v>
      </c>
      <c r="G257">
        <v>0.65200000000000002</v>
      </c>
      <c r="H257">
        <v>0.67300000000000004</v>
      </c>
      <c r="I257">
        <f t="shared" si="27"/>
        <v>3.2208588957055244E-2</v>
      </c>
      <c r="J257">
        <f t="shared" si="28"/>
        <v>1.7332456658004151E-6</v>
      </c>
      <c r="K257">
        <f t="shared" si="29"/>
        <v>1.7332456658004152</v>
      </c>
      <c r="L257">
        <v>1277.1260966250002</v>
      </c>
      <c r="M257">
        <f t="shared" si="24"/>
        <v>1.2771260966250003E-3</v>
      </c>
      <c r="N257">
        <f t="shared" si="25"/>
        <v>2.2135732716558838E-9</v>
      </c>
      <c r="O257">
        <f t="shared" si="26"/>
        <v>7.9688637779611812E-3</v>
      </c>
      <c r="P257">
        <v>18.497699999999998</v>
      </c>
    </row>
    <row r="258" spans="1:16" x14ac:dyDescent="0.35">
      <c r="A258" t="s">
        <v>37</v>
      </c>
      <c r="B258" s="2">
        <v>44800</v>
      </c>
      <c r="C258" s="3">
        <v>0.33333333333333331</v>
      </c>
      <c r="D258" t="s">
        <v>41</v>
      </c>
      <c r="E258" t="s">
        <v>15</v>
      </c>
      <c r="F258" s="1" t="s">
        <v>38</v>
      </c>
      <c r="G258">
        <v>0.59399999999999997</v>
      </c>
      <c r="H258">
        <v>0.67300000000000004</v>
      </c>
      <c r="I258">
        <f t="shared" si="27"/>
        <v>0.13299663299663311</v>
      </c>
      <c r="J258">
        <f t="shared" si="28"/>
        <v>9.9310415061232186E-6</v>
      </c>
      <c r="K258">
        <f t="shared" si="29"/>
        <v>9.9310415061232185</v>
      </c>
      <c r="L258">
        <v>1277.1260966250002</v>
      </c>
      <c r="M258">
        <f t="shared" si="24"/>
        <v>1.2771260966250003E-3</v>
      </c>
      <c r="N258">
        <f t="shared" si="25"/>
        <v>1.268319227413601E-8</v>
      </c>
      <c r="O258">
        <f t="shared" si="26"/>
        <v>4.5659492186889639E-2</v>
      </c>
      <c r="P258">
        <v>20.640699999999999</v>
      </c>
    </row>
    <row r="259" spans="1:16" x14ac:dyDescent="0.35">
      <c r="A259" t="s">
        <v>37</v>
      </c>
      <c r="B259" s="2">
        <v>44800</v>
      </c>
      <c r="C259" s="3">
        <v>0.35416666666666669</v>
      </c>
      <c r="D259" t="s">
        <v>41</v>
      </c>
      <c r="E259" t="s">
        <v>15</v>
      </c>
      <c r="F259" s="1" t="s">
        <v>38</v>
      </c>
      <c r="G259">
        <v>0.496</v>
      </c>
      <c r="H259">
        <v>0.67300000000000004</v>
      </c>
      <c r="I259">
        <f t="shared" si="27"/>
        <v>0.35685483870967749</v>
      </c>
      <c r="J259">
        <f t="shared" si="28"/>
        <v>3.3470647078026066E-5</v>
      </c>
      <c r="K259">
        <f t="shared" si="29"/>
        <v>33.470647078026069</v>
      </c>
      <c r="L259">
        <v>1277.1260966250002</v>
      </c>
      <c r="M259">
        <f t="shared" ref="M259:M322" si="30">L259/1000000</f>
        <v>1.2771260966250003E-3</v>
      </c>
      <c r="N259">
        <f t="shared" ref="N259:N322" si="31">J259*M259</f>
        <v>4.2746236854272399E-8</v>
      </c>
      <c r="O259">
        <f t="shared" ref="O259:O322" si="32">N259*1000*3600</f>
        <v>0.15388645267538065</v>
      </c>
      <c r="P259">
        <v>21.7852</v>
      </c>
    </row>
    <row r="260" spans="1:16" x14ac:dyDescent="0.35">
      <c r="A260" t="s">
        <v>37</v>
      </c>
      <c r="B260" s="2">
        <v>44800</v>
      </c>
      <c r="C260" s="3">
        <v>0.375</v>
      </c>
      <c r="D260" t="s">
        <v>41</v>
      </c>
      <c r="E260" t="s">
        <v>15</v>
      </c>
      <c r="F260" s="1" t="s">
        <v>38</v>
      </c>
      <c r="G260">
        <v>0.41899999999999998</v>
      </c>
      <c r="H260">
        <v>0.67300000000000004</v>
      </c>
      <c r="I260">
        <f t="shared" si="27"/>
        <v>0.60620525059665886</v>
      </c>
      <c r="J260">
        <f t="shared" si="28"/>
        <v>6.4261639916813861E-5</v>
      </c>
      <c r="K260">
        <f t="shared" si="29"/>
        <v>64.261639916813863</v>
      </c>
      <c r="L260">
        <v>1277.1260966250002</v>
      </c>
      <c r="M260">
        <f t="shared" si="30"/>
        <v>1.2771260966250003E-3</v>
      </c>
      <c r="N260">
        <f t="shared" si="31"/>
        <v>8.2070217349681789E-8</v>
      </c>
      <c r="O260">
        <f t="shared" si="32"/>
        <v>0.29545278245885442</v>
      </c>
      <c r="P260">
        <v>23.6355</v>
      </c>
    </row>
    <row r="261" spans="1:16" x14ac:dyDescent="0.35">
      <c r="A261" t="s">
        <v>37</v>
      </c>
      <c r="B261" s="2">
        <v>44800</v>
      </c>
      <c r="C261" s="3">
        <v>0.39583333333333331</v>
      </c>
      <c r="D261" t="s">
        <v>41</v>
      </c>
      <c r="E261" t="s">
        <v>15</v>
      </c>
      <c r="F261" s="1" t="s">
        <v>38</v>
      </c>
      <c r="G261">
        <v>0.39500000000000002</v>
      </c>
      <c r="H261">
        <v>0.67300000000000004</v>
      </c>
      <c r="I261">
        <f t="shared" si="27"/>
        <v>0.70379746835443036</v>
      </c>
      <c r="J261">
        <f t="shared" si="28"/>
        <v>7.7224495619438994E-5</v>
      </c>
      <c r="K261">
        <f t="shared" si="29"/>
        <v>77.224495619438997</v>
      </c>
      <c r="L261">
        <v>1277.1260966250002</v>
      </c>
      <c r="M261">
        <f t="shared" si="30"/>
        <v>1.2771260966250003E-3</v>
      </c>
      <c r="N261">
        <f t="shared" si="31"/>
        <v>9.8625418654288554E-8</v>
      </c>
      <c r="O261">
        <f t="shared" si="32"/>
        <v>0.35505150715543876</v>
      </c>
      <c r="P261">
        <v>25.8127</v>
      </c>
    </row>
    <row r="262" spans="1:16" x14ac:dyDescent="0.35">
      <c r="A262" t="s">
        <v>37</v>
      </c>
      <c r="B262" s="2">
        <v>44800</v>
      </c>
      <c r="C262" s="3">
        <v>0.41666666666666669</v>
      </c>
      <c r="D262" t="s">
        <v>41</v>
      </c>
      <c r="E262" t="s">
        <v>15</v>
      </c>
      <c r="F262" s="1" t="s">
        <v>38</v>
      </c>
      <c r="G262">
        <v>0.39900000000000002</v>
      </c>
      <c r="H262">
        <v>0.67300000000000004</v>
      </c>
      <c r="I262">
        <f t="shared" si="27"/>
        <v>0.68671679197994984</v>
      </c>
      <c r="J262">
        <f t="shared" si="28"/>
        <v>7.4923881728826319E-5</v>
      </c>
      <c r="K262">
        <f t="shared" si="29"/>
        <v>74.923881728826316</v>
      </c>
      <c r="L262">
        <v>1277.1260966250002</v>
      </c>
      <c r="M262">
        <f t="shared" si="30"/>
        <v>1.2771260966250003E-3</v>
      </c>
      <c r="N262">
        <f t="shared" si="31"/>
        <v>9.5687244616329138E-8</v>
      </c>
      <c r="O262">
        <f t="shared" si="32"/>
        <v>0.34447408061878493</v>
      </c>
      <c r="P262">
        <v>27.663900000000002</v>
      </c>
    </row>
    <row r="263" spans="1:16" x14ac:dyDescent="0.35">
      <c r="A263" t="s">
        <v>37</v>
      </c>
      <c r="B263" s="2">
        <v>44800</v>
      </c>
      <c r="C263" s="3">
        <v>0.4375</v>
      </c>
      <c r="D263" t="s">
        <v>41</v>
      </c>
      <c r="E263" t="s">
        <v>15</v>
      </c>
      <c r="F263" s="1" t="s">
        <v>38</v>
      </c>
      <c r="G263">
        <v>0.41599999999999998</v>
      </c>
      <c r="H263">
        <v>0.67300000000000004</v>
      </c>
      <c r="I263">
        <f t="shared" si="27"/>
        <v>0.61778846153846168</v>
      </c>
      <c r="J263">
        <f t="shared" si="28"/>
        <v>6.5776497799940566E-5</v>
      </c>
      <c r="K263">
        <f t="shared" si="29"/>
        <v>65.776497799940572</v>
      </c>
      <c r="L263">
        <v>1277.1260966250002</v>
      </c>
      <c r="M263">
        <f t="shared" si="30"/>
        <v>1.2771260966250003E-3</v>
      </c>
      <c r="N263">
        <f t="shared" si="31"/>
        <v>8.400488188490102E-8</v>
      </c>
      <c r="O263">
        <f t="shared" si="32"/>
        <v>0.30241757478564368</v>
      </c>
      <c r="P263">
        <v>29.2453</v>
      </c>
    </row>
    <row r="264" spans="1:16" x14ac:dyDescent="0.35">
      <c r="A264" t="s">
        <v>37</v>
      </c>
      <c r="B264" s="2">
        <v>44800</v>
      </c>
      <c r="C264" s="3">
        <v>0.45833333333333331</v>
      </c>
      <c r="D264" t="s">
        <v>41</v>
      </c>
      <c r="E264" t="s">
        <v>15</v>
      </c>
      <c r="F264" s="1" t="s">
        <v>38</v>
      </c>
      <c r="G264">
        <v>0.41499999999999998</v>
      </c>
      <c r="H264">
        <v>0.67300000000000004</v>
      </c>
      <c r="I264">
        <f t="shared" si="27"/>
        <v>0.62168674698795201</v>
      </c>
      <c r="J264">
        <f t="shared" si="28"/>
        <v>6.6287801030967316E-5</v>
      </c>
      <c r="K264">
        <f t="shared" si="29"/>
        <v>66.287801030967316</v>
      </c>
      <c r="L264">
        <v>1277.1260966250002</v>
      </c>
      <c r="M264">
        <f t="shared" si="30"/>
        <v>1.2771260966250003E-3</v>
      </c>
      <c r="N264">
        <f t="shared" si="31"/>
        <v>8.465788058453396E-8</v>
      </c>
      <c r="O264">
        <f t="shared" si="32"/>
        <v>0.30476837010432228</v>
      </c>
      <c r="P264">
        <v>31.9986</v>
      </c>
    </row>
    <row r="265" spans="1:16" x14ac:dyDescent="0.35">
      <c r="A265" t="s">
        <v>37</v>
      </c>
      <c r="B265" s="2">
        <v>44800</v>
      </c>
      <c r="C265" s="3">
        <v>0.47916666666666669</v>
      </c>
      <c r="D265" t="s">
        <v>41</v>
      </c>
      <c r="E265" t="s">
        <v>15</v>
      </c>
      <c r="F265" s="1" t="s">
        <v>38</v>
      </c>
      <c r="G265">
        <v>0.42099999999999999</v>
      </c>
      <c r="H265">
        <v>0.67300000000000004</v>
      </c>
      <c r="I265">
        <f t="shared" si="27"/>
        <v>0.5985748218527317</v>
      </c>
      <c r="J265">
        <f t="shared" si="28"/>
        <v>6.3267367922548157E-5</v>
      </c>
      <c r="K265">
        <f t="shared" si="29"/>
        <v>63.267367922548154</v>
      </c>
      <c r="L265">
        <v>1277.1260966250002</v>
      </c>
      <c r="M265">
        <f t="shared" si="30"/>
        <v>1.2771260966250003E-3</v>
      </c>
      <c r="N265">
        <f t="shared" si="31"/>
        <v>8.0800406638661677E-8</v>
      </c>
      <c r="O265">
        <f t="shared" si="32"/>
        <v>0.29088146389918207</v>
      </c>
      <c r="P265">
        <v>31.6327</v>
      </c>
    </row>
    <row r="266" spans="1:16" x14ac:dyDescent="0.35">
      <c r="A266" t="s">
        <v>37</v>
      </c>
      <c r="B266" s="2">
        <v>44800</v>
      </c>
      <c r="C266" s="3">
        <v>0.5</v>
      </c>
      <c r="D266" t="s">
        <v>41</v>
      </c>
      <c r="E266" t="s">
        <v>15</v>
      </c>
      <c r="F266" s="1" t="s">
        <v>38</v>
      </c>
      <c r="G266">
        <v>0.437</v>
      </c>
      <c r="H266">
        <v>0.67300000000000004</v>
      </c>
      <c r="I266">
        <f t="shared" si="27"/>
        <v>0.54004576659038916</v>
      </c>
      <c r="J266">
        <f t="shared" si="28"/>
        <v>5.5740259742404565E-5</v>
      </c>
      <c r="K266">
        <f t="shared" si="29"/>
        <v>55.740259742404568</v>
      </c>
      <c r="L266">
        <v>1277.1260966250002</v>
      </c>
      <c r="M266">
        <f t="shared" si="30"/>
        <v>1.2771260966250003E-3</v>
      </c>
      <c r="N266">
        <f t="shared" si="31"/>
        <v>7.1187340349680787E-8</v>
      </c>
      <c r="O266">
        <f t="shared" si="32"/>
        <v>0.25627442525885086</v>
      </c>
      <c r="P266">
        <v>31.8827</v>
      </c>
    </row>
    <row r="267" spans="1:16" x14ac:dyDescent="0.35">
      <c r="A267" t="s">
        <v>37</v>
      </c>
      <c r="B267" s="2">
        <v>44800</v>
      </c>
      <c r="C267" s="3">
        <v>0.52083333333333337</v>
      </c>
      <c r="D267" t="s">
        <v>41</v>
      </c>
      <c r="E267" t="s">
        <v>15</v>
      </c>
      <c r="F267" s="1" t="s">
        <v>38</v>
      </c>
      <c r="G267">
        <v>0.45500000000000002</v>
      </c>
      <c r="H267">
        <v>0.67300000000000004</v>
      </c>
      <c r="I267">
        <f t="shared" si="27"/>
        <v>0.47912087912087914</v>
      </c>
      <c r="J267">
        <f t="shared" si="28"/>
        <v>4.810330052188774E-5</v>
      </c>
      <c r="K267">
        <f t="shared" si="29"/>
        <v>48.103300521887739</v>
      </c>
      <c r="L267">
        <v>1277.1260966250002</v>
      </c>
      <c r="M267">
        <f t="shared" si="30"/>
        <v>1.2771260966250003E-3</v>
      </c>
      <c r="N267">
        <f t="shared" si="31"/>
        <v>6.1433980430297832E-8</v>
      </c>
      <c r="O267">
        <f t="shared" si="32"/>
        <v>0.22116232954907217</v>
      </c>
      <c r="P267">
        <v>32.619799999999998</v>
      </c>
    </row>
    <row r="268" spans="1:16" x14ac:dyDescent="0.35">
      <c r="A268" t="s">
        <v>37</v>
      </c>
      <c r="B268" s="2">
        <v>44800</v>
      </c>
      <c r="C268" s="3">
        <v>0.54166666666666663</v>
      </c>
      <c r="D268" t="s">
        <v>41</v>
      </c>
      <c r="E268" t="s">
        <v>15</v>
      </c>
      <c r="F268" s="1" t="s">
        <v>38</v>
      </c>
      <c r="G268">
        <v>0.45800000000000002</v>
      </c>
      <c r="H268">
        <v>0.67300000000000004</v>
      </c>
      <c r="I268">
        <f t="shared" si="27"/>
        <v>0.46943231441048039</v>
      </c>
      <c r="J268">
        <f t="shared" si="28"/>
        <v>4.6908689716534447E-5</v>
      </c>
      <c r="K268">
        <f t="shared" si="29"/>
        <v>46.908689716534447</v>
      </c>
      <c r="L268">
        <v>1277.1260966250002</v>
      </c>
      <c r="M268">
        <f t="shared" si="30"/>
        <v>1.2771260966250003E-3</v>
      </c>
      <c r="N268">
        <f t="shared" si="31"/>
        <v>5.9908311795470928E-8</v>
      </c>
      <c r="O268">
        <f t="shared" si="32"/>
        <v>0.21566992246369535</v>
      </c>
      <c r="P268">
        <v>29.2163</v>
      </c>
    </row>
    <row r="269" spans="1:16" x14ac:dyDescent="0.35">
      <c r="A269" t="s">
        <v>37</v>
      </c>
      <c r="B269" s="2">
        <v>44800</v>
      </c>
      <c r="C269" s="3">
        <v>0.5625</v>
      </c>
      <c r="D269" t="s">
        <v>41</v>
      </c>
      <c r="E269" t="s">
        <v>15</v>
      </c>
      <c r="F269" s="1" t="s">
        <v>38</v>
      </c>
      <c r="G269">
        <v>0.45900000000000002</v>
      </c>
      <c r="H269">
        <v>0.67300000000000004</v>
      </c>
      <c r="I269">
        <f t="shared" si="27"/>
        <v>0.46623093681917216</v>
      </c>
      <c r="J269">
        <f t="shared" si="28"/>
        <v>4.6515200842825035E-5</v>
      </c>
      <c r="K269">
        <f t="shared" si="29"/>
        <v>46.515200842825031</v>
      </c>
      <c r="L269">
        <v>1277.1260966250002</v>
      </c>
      <c r="M269">
        <f t="shared" si="30"/>
        <v>1.2771260966250003E-3</v>
      </c>
      <c r="N269">
        <f t="shared" si="31"/>
        <v>5.9405776886125057E-8</v>
      </c>
      <c r="O269">
        <f t="shared" si="32"/>
        <v>0.21386079679005021</v>
      </c>
      <c r="P269">
        <v>30.803799999999999</v>
      </c>
    </row>
    <row r="270" spans="1:16" x14ac:dyDescent="0.35">
      <c r="A270" t="s">
        <v>37</v>
      </c>
      <c r="B270" s="2">
        <v>44800</v>
      </c>
      <c r="C270" s="3">
        <v>0.58333333333333337</v>
      </c>
      <c r="D270" t="s">
        <v>41</v>
      </c>
      <c r="E270" t="s">
        <v>15</v>
      </c>
      <c r="F270" s="1" t="s">
        <v>38</v>
      </c>
      <c r="G270">
        <v>0.46500000000000002</v>
      </c>
      <c r="H270">
        <v>0.67300000000000004</v>
      </c>
      <c r="I270">
        <f t="shared" si="27"/>
        <v>0.44731182795698926</v>
      </c>
      <c r="J270">
        <f t="shared" si="28"/>
        <v>4.420265357635905E-5</v>
      </c>
      <c r="K270">
        <f t="shared" si="29"/>
        <v>44.202653576359047</v>
      </c>
      <c r="L270">
        <v>1277.1260966250002</v>
      </c>
      <c r="M270">
        <f t="shared" si="30"/>
        <v>1.2771260966250003E-3</v>
      </c>
      <c r="N270">
        <f t="shared" si="31"/>
        <v>5.645236242244254E-8</v>
      </c>
      <c r="O270">
        <f t="shared" si="32"/>
        <v>0.20322850472079315</v>
      </c>
      <c r="P270">
        <v>30.016100000000002</v>
      </c>
    </row>
    <row r="271" spans="1:16" x14ac:dyDescent="0.35">
      <c r="A271" t="s">
        <v>37</v>
      </c>
      <c r="B271" s="2">
        <v>44800</v>
      </c>
      <c r="C271" s="3">
        <v>0.60416666666666663</v>
      </c>
      <c r="D271" t="s">
        <v>41</v>
      </c>
      <c r="E271" t="s">
        <v>15</v>
      </c>
      <c r="F271" s="1" t="s">
        <v>38</v>
      </c>
      <c r="G271">
        <v>0.44900000000000001</v>
      </c>
      <c r="H271">
        <v>0.67300000000000004</v>
      </c>
      <c r="I271">
        <f t="shared" si="27"/>
        <v>0.49888641425389763</v>
      </c>
      <c r="J271">
        <f t="shared" si="28"/>
        <v>5.0557667129255685E-5</v>
      </c>
      <c r="K271">
        <f t="shared" si="29"/>
        <v>50.557667129255684</v>
      </c>
      <c r="L271">
        <v>1277.1260966250002</v>
      </c>
      <c r="M271">
        <f t="shared" si="30"/>
        <v>1.2771260966250003E-3</v>
      </c>
      <c r="N271">
        <f t="shared" si="31"/>
        <v>6.4568516075252397E-8</v>
      </c>
      <c r="O271">
        <f t="shared" si="32"/>
        <v>0.23244665787090862</v>
      </c>
      <c r="P271">
        <v>31.1188</v>
      </c>
    </row>
    <row r="272" spans="1:16" x14ac:dyDescent="0.35">
      <c r="A272" t="s">
        <v>37</v>
      </c>
      <c r="B272" s="2">
        <v>44800</v>
      </c>
      <c r="C272" s="3">
        <v>0.625</v>
      </c>
      <c r="D272" t="s">
        <v>41</v>
      </c>
      <c r="E272" t="s">
        <v>15</v>
      </c>
      <c r="F272" s="1" t="s">
        <v>38</v>
      </c>
      <c r="G272">
        <v>0.45800000000000002</v>
      </c>
      <c r="H272">
        <v>0.67300000000000004</v>
      </c>
      <c r="I272">
        <f t="shared" si="27"/>
        <v>0.46943231441048039</v>
      </c>
      <c r="J272">
        <f t="shared" si="28"/>
        <v>4.6908689716534447E-5</v>
      </c>
      <c r="K272">
        <f t="shared" si="29"/>
        <v>46.908689716534447</v>
      </c>
      <c r="L272">
        <v>1277.1260966250002</v>
      </c>
      <c r="M272">
        <f t="shared" si="30"/>
        <v>1.2771260966250003E-3</v>
      </c>
      <c r="N272">
        <f t="shared" si="31"/>
        <v>5.9908311795470928E-8</v>
      </c>
      <c r="O272">
        <f t="shared" si="32"/>
        <v>0.21566992246369535</v>
      </c>
      <c r="P272">
        <v>33.7301</v>
      </c>
    </row>
    <row r="273" spans="1:16" x14ac:dyDescent="0.35">
      <c r="A273" t="s">
        <v>37</v>
      </c>
      <c r="B273" s="2">
        <v>44800</v>
      </c>
      <c r="C273" s="3">
        <v>0.64583333333333337</v>
      </c>
      <c r="D273" t="s">
        <v>41</v>
      </c>
      <c r="E273" t="s">
        <v>15</v>
      </c>
      <c r="F273" s="1" t="s">
        <v>38</v>
      </c>
      <c r="G273">
        <v>0.45</v>
      </c>
      <c r="H273">
        <v>0.67300000000000004</v>
      </c>
      <c r="I273">
        <f t="shared" si="27"/>
        <v>0.49555555555555564</v>
      </c>
      <c r="J273">
        <f t="shared" si="28"/>
        <v>5.0142460764408502E-5</v>
      </c>
      <c r="K273">
        <f t="shared" si="29"/>
        <v>50.142460764408504</v>
      </c>
      <c r="L273">
        <v>1277.1260966250002</v>
      </c>
      <c r="M273">
        <f t="shared" si="30"/>
        <v>1.2771260966250003E-3</v>
      </c>
      <c r="N273">
        <f t="shared" si="31"/>
        <v>6.4038245191221257E-8</v>
      </c>
      <c r="O273">
        <f t="shared" si="32"/>
        <v>0.23053768268839653</v>
      </c>
      <c r="P273">
        <v>32.391100000000002</v>
      </c>
    </row>
    <row r="274" spans="1:16" x14ac:dyDescent="0.35">
      <c r="A274" t="s">
        <v>37</v>
      </c>
      <c r="B274" s="2">
        <v>44800</v>
      </c>
      <c r="C274" s="3">
        <v>0.66666666666666663</v>
      </c>
      <c r="D274" t="s">
        <v>41</v>
      </c>
      <c r="E274" t="s">
        <v>15</v>
      </c>
      <c r="F274" s="1" t="s">
        <v>38</v>
      </c>
      <c r="G274">
        <v>0.44</v>
      </c>
      <c r="H274">
        <v>0.67300000000000004</v>
      </c>
      <c r="I274">
        <f t="shared" si="27"/>
        <v>0.52954545454545465</v>
      </c>
      <c r="J274">
        <f t="shared" si="28"/>
        <v>5.440913924735662E-5</v>
      </c>
      <c r="K274">
        <f t="shared" si="29"/>
        <v>54.40913924735662</v>
      </c>
      <c r="L274">
        <v>1277.1260966250002</v>
      </c>
      <c r="M274">
        <f t="shared" si="30"/>
        <v>1.2771260966250003E-3</v>
      </c>
      <c r="N274">
        <f t="shared" si="31"/>
        <v>6.9487331627702661E-8</v>
      </c>
      <c r="O274">
        <f t="shared" si="32"/>
        <v>0.25015439385972954</v>
      </c>
      <c r="P274">
        <v>28.613099999999999</v>
      </c>
    </row>
    <row r="275" spans="1:16" x14ac:dyDescent="0.35">
      <c r="A275" t="s">
        <v>37</v>
      </c>
      <c r="B275" s="2">
        <v>44800</v>
      </c>
      <c r="C275" s="3">
        <v>0.6875</v>
      </c>
      <c r="D275" t="s">
        <v>41</v>
      </c>
      <c r="E275" t="s">
        <v>15</v>
      </c>
      <c r="F275" s="1" t="s">
        <v>38</v>
      </c>
      <c r="G275">
        <v>0.46700000000000003</v>
      </c>
      <c r="H275">
        <v>0.67300000000000004</v>
      </c>
      <c r="I275">
        <f t="shared" si="27"/>
        <v>0.4411134903640257</v>
      </c>
      <c r="J275">
        <f t="shared" si="28"/>
        <v>4.3449864826812293E-5</v>
      </c>
      <c r="K275">
        <f t="shared" si="29"/>
        <v>43.449864826812295</v>
      </c>
      <c r="L275">
        <v>1277.1260966250002</v>
      </c>
      <c r="M275">
        <f t="shared" si="30"/>
        <v>1.2771260966250003E-3</v>
      </c>
      <c r="N275">
        <f t="shared" si="31"/>
        <v>5.5490956265150677E-8</v>
      </c>
      <c r="O275">
        <f t="shared" si="32"/>
        <v>0.19976744255454243</v>
      </c>
      <c r="P275">
        <v>29.746700000000001</v>
      </c>
    </row>
    <row r="276" spans="1:16" x14ac:dyDescent="0.35">
      <c r="A276" t="s">
        <v>37</v>
      </c>
      <c r="B276" s="2">
        <v>44800</v>
      </c>
      <c r="C276" s="3">
        <v>0.70833333333333337</v>
      </c>
      <c r="D276" t="s">
        <v>41</v>
      </c>
      <c r="E276" t="s">
        <v>15</v>
      </c>
      <c r="F276" s="1" t="s">
        <v>38</v>
      </c>
      <c r="G276">
        <v>0.50600000000000001</v>
      </c>
      <c r="H276">
        <v>0.67300000000000004</v>
      </c>
      <c r="I276">
        <f t="shared" si="27"/>
        <v>0.3300395256916997</v>
      </c>
      <c r="J276">
        <f t="shared" si="28"/>
        <v>3.0401964751390062E-5</v>
      </c>
      <c r="K276">
        <f t="shared" si="29"/>
        <v>30.401964751390061</v>
      </c>
      <c r="L276">
        <v>1277.1260966250002</v>
      </c>
      <c r="M276">
        <f t="shared" si="30"/>
        <v>1.2771260966250003E-3</v>
      </c>
      <c r="N276">
        <f t="shared" si="31"/>
        <v>3.8827142572673635E-8</v>
      </c>
      <c r="O276">
        <f t="shared" si="32"/>
        <v>0.13977771326162508</v>
      </c>
      <c r="P276">
        <v>26.706800000000001</v>
      </c>
    </row>
    <row r="277" spans="1:16" x14ac:dyDescent="0.35">
      <c r="A277" t="s">
        <v>37</v>
      </c>
      <c r="B277" s="2">
        <v>44800</v>
      </c>
      <c r="C277" s="3">
        <v>0.72916666666666663</v>
      </c>
      <c r="D277" t="s">
        <v>41</v>
      </c>
      <c r="E277" t="s">
        <v>15</v>
      </c>
      <c r="F277" s="1" t="s">
        <v>38</v>
      </c>
      <c r="G277">
        <v>0.54400000000000004</v>
      </c>
      <c r="H277">
        <v>0.67300000000000004</v>
      </c>
      <c r="I277">
        <f t="shared" si="27"/>
        <v>0.23713235294117646</v>
      </c>
      <c r="J277">
        <f t="shared" si="28"/>
        <v>2.0237676491953031E-5</v>
      </c>
      <c r="K277">
        <f t="shared" si="29"/>
        <v>20.237676491953032</v>
      </c>
      <c r="L277">
        <v>1277.1260966250002</v>
      </c>
      <c r="M277">
        <f t="shared" si="30"/>
        <v>1.2771260966250003E-3</v>
      </c>
      <c r="N277">
        <f t="shared" si="31"/>
        <v>2.5846064782927504E-8</v>
      </c>
      <c r="O277">
        <f t="shared" si="32"/>
        <v>9.3045833218539015E-2</v>
      </c>
      <c r="P277">
        <v>24.7545</v>
      </c>
    </row>
    <row r="278" spans="1:16" x14ac:dyDescent="0.35">
      <c r="A278" t="s">
        <v>37</v>
      </c>
      <c r="B278" s="2">
        <v>44800</v>
      </c>
      <c r="C278" s="3">
        <v>0.75</v>
      </c>
      <c r="D278" t="s">
        <v>41</v>
      </c>
      <c r="E278" t="s">
        <v>15</v>
      </c>
      <c r="F278" s="1" t="s">
        <v>38</v>
      </c>
      <c r="G278">
        <v>0.58299999999999996</v>
      </c>
      <c r="H278">
        <v>0.67300000000000004</v>
      </c>
      <c r="I278">
        <f t="shared" si="27"/>
        <v>0.15437392795883376</v>
      </c>
      <c r="J278">
        <f t="shared" si="28"/>
        <v>1.193112785324485E-5</v>
      </c>
      <c r="K278">
        <f t="shared" si="29"/>
        <v>11.931127853244851</v>
      </c>
      <c r="L278">
        <v>1277.1260966250002</v>
      </c>
      <c r="M278">
        <f t="shared" si="30"/>
        <v>1.2771260966250003E-3</v>
      </c>
      <c r="N278">
        <f t="shared" si="31"/>
        <v>1.5237554743548415E-8</v>
      </c>
      <c r="O278">
        <f t="shared" si="32"/>
        <v>5.4855197076774297E-2</v>
      </c>
      <c r="P278">
        <v>21.6553</v>
      </c>
    </row>
    <row r="279" spans="1:16" x14ac:dyDescent="0.35">
      <c r="A279" t="s">
        <v>37</v>
      </c>
      <c r="B279" s="2">
        <v>44800</v>
      </c>
      <c r="C279" s="3">
        <v>0.77083333333333337</v>
      </c>
      <c r="D279" t="s">
        <v>41</v>
      </c>
      <c r="E279" t="s">
        <v>15</v>
      </c>
      <c r="F279" s="1" t="s">
        <v>38</v>
      </c>
      <c r="G279">
        <v>0.622</v>
      </c>
      <c r="H279">
        <v>0.67300000000000004</v>
      </c>
      <c r="I279">
        <f t="shared" si="27"/>
        <v>8.1993569131832866E-2</v>
      </c>
      <c r="J279">
        <f t="shared" si="28"/>
        <v>5.4753247709226228E-6</v>
      </c>
      <c r="K279">
        <f t="shared" si="29"/>
        <v>5.4753247709226232</v>
      </c>
      <c r="L279">
        <v>1277.1260966250002</v>
      </c>
      <c r="M279">
        <f t="shared" si="30"/>
        <v>1.2771260966250003E-3</v>
      </c>
      <c r="N279">
        <f t="shared" si="31"/>
        <v>6.9926801524425832E-9</v>
      </c>
      <c r="O279">
        <f t="shared" si="32"/>
        <v>2.5173648548793299E-2</v>
      </c>
      <c r="P279">
        <v>21.886700000000001</v>
      </c>
    </row>
    <row r="280" spans="1:16" x14ac:dyDescent="0.35">
      <c r="A280" t="s">
        <v>37</v>
      </c>
      <c r="B280" s="2">
        <v>44800</v>
      </c>
      <c r="C280" s="3">
        <v>0.79166666666666663</v>
      </c>
      <c r="D280" t="s">
        <v>41</v>
      </c>
      <c r="E280" t="s">
        <v>15</v>
      </c>
      <c r="F280" s="1" t="s">
        <v>38</v>
      </c>
      <c r="G280">
        <v>0.64600000000000002</v>
      </c>
      <c r="H280">
        <v>0.67300000000000004</v>
      </c>
      <c r="I280">
        <f t="shared" si="27"/>
        <v>4.1795665634674961E-2</v>
      </c>
      <c r="J280">
        <f t="shared" si="28"/>
        <v>2.3886885369015226E-6</v>
      </c>
      <c r="K280">
        <f t="shared" si="29"/>
        <v>2.3886885369015225</v>
      </c>
      <c r="L280">
        <v>1277.1260966250002</v>
      </c>
      <c r="M280">
        <f t="shared" si="30"/>
        <v>1.2771260966250003E-3</v>
      </c>
      <c r="N280">
        <f t="shared" si="31"/>
        <v>3.0506564671859246E-9</v>
      </c>
      <c r="O280">
        <f t="shared" si="32"/>
        <v>1.0982363281869328E-2</v>
      </c>
      <c r="P280">
        <v>21.135999999999999</v>
      </c>
    </row>
    <row r="281" spans="1:16" x14ac:dyDescent="0.35">
      <c r="A281" t="s">
        <v>37</v>
      </c>
      <c r="B281" s="2">
        <v>44800</v>
      </c>
      <c r="C281" s="3">
        <v>0.8125</v>
      </c>
      <c r="D281" t="s">
        <v>41</v>
      </c>
      <c r="E281" t="s">
        <v>15</v>
      </c>
      <c r="F281" s="1" t="s">
        <v>38</v>
      </c>
      <c r="G281">
        <v>0.65900000000000003</v>
      </c>
      <c r="H281">
        <v>0.67300000000000004</v>
      </c>
      <c r="I281">
        <f t="shared" si="27"/>
        <v>2.124430955993932E-2</v>
      </c>
      <c r="J281">
        <f t="shared" si="28"/>
        <v>1.0384429158068637E-6</v>
      </c>
      <c r="K281">
        <f t="shared" si="29"/>
        <v>1.0384429158068638</v>
      </c>
      <c r="L281">
        <v>1277.1260966250002</v>
      </c>
      <c r="M281">
        <f t="shared" si="30"/>
        <v>1.2771260966250003E-3</v>
      </c>
      <c r="N281">
        <f t="shared" si="31"/>
        <v>1.3262225476323036E-9</v>
      </c>
      <c r="O281">
        <f t="shared" si="32"/>
        <v>4.7744011714762925E-3</v>
      </c>
      <c r="P281">
        <v>22.610600000000002</v>
      </c>
    </row>
    <row r="282" spans="1:16" x14ac:dyDescent="0.35">
      <c r="A282" t="s">
        <v>37</v>
      </c>
      <c r="B282" s="2">
        <v>44800</v>
      </c>
      <c r="C282" s="3">
        <v>0.83333333333333337</v>
      </c>
      <c r="D282" t="s">
        <v>41</v>
      </c>
      <c r="E282" t="s">
        <v>15</v>
      </c>
      <c r="F282" s="1" t="s">
        <v>38</v>
      </c>
      <c r="G282">
        <v>0.66300000000000003</v>
      </c>
      <c r="H282">
        <v>0.67300000000000004</v>
      </c>
      <c r="I282">
        <f t="shared" si="27"/>
        <v>1.508295625942686E-2</v>
      </c>
      <c r="J282">
        <f t="shared" si="28"/>
        <v>6.811830109898548E-7</v>
      </c>
      <c r="K282">
        <f t="shared" si="29"/>
        <v>0.68118301098985479</v>
      </c>
      <c r="L282">
        <v>1277.1260966250002</v>
      </c>
      <c r="M282">
        <f t="shared" si="30"/>
        <v>1.2771260966250003E-3</v>
      </c>
      <c r="N282">
        <f t="shared" si="31"/>
        <v>8.6995659991273794E-10</v>
      </c>
      <c r="O282">
        <f t="shared" si="32"/>
        <v>3.1318437596858568E-3</v>
      </c>
      <c r="P282">
        <v>22.5307</v>
      </c>
    </row>
    <row r="283" spans="1:16" x14ac:dyDescent="0.35">
      <c r="A283" t="s">
        <v>37</v>
      </c>
      <c r="B283" s="2">
        <v>44800</v>
      </c>
      <c r="C283" s="3">
        <v>0.85416666666666663</v>
      </c>
      <c r="D283" t="s">
        <v>41</v>
      </c>
      <c r="E283" t="s">
        <v>15</v>
      </c>
      <c r="F283" s="1" t="s">
        <v>38</v>
      </c>
      <c r="G283">
        <v>0.66700000000000004</v>
      </c>
      <c r="H283">
        <v>0.67300000000000004</v>
      </c>
      <c r="I283">
        <f t="shared" si="27"/>
        <v>8.9955022488755702E-3</v>
      </c>
      <c r="J283">
        <f t="shared" si="28"/>
        <v>3.60538999364938E-7</v>
      </c>
      <c r="K283">
        <f t="shared" si="29"/>
        <v>0.360538999364938</v>
      </c>
      <c r="L283">
        <v>1277.1260966250002</v>
      </c>
      <c r="M283">
        <f t="shared" si="30"/>
        <v>1.2771260966250003E-3</v>
      </c>
      <c r="N283">
        <f t="shared" si="31"/>
        <v>4.6045376494002674E-10</v>
      </c>
      <c r="O283">
        <f t="shared" si="32"/>
        <v>1.6576335537840964E-3</v>
      </c>
      <c r="P283">
        <v>22.331499999999998</v>
      </c>
    </row>
    <row r="284" spans="1:16" x14ac:dyDescent="0.35">
      <c r="A284" t="s">
        <v>37</v>
      </c>
      <c r="B284" s="2">
        <v>44800</v>
      </c>
      <c r="C284" s="3">
        <v>0.875</v>
      </c>
      <c r="D284" t="s">
        <v>41</v>
      </c>
      <c r="E284" t="s">
        <v>15</v>
      </c>
      <c r="F284" s="1" t="s">
        <v>38</v>
      </c>
      <c r="G284">
        <v>0.67</v>
      </c>
      <c r="H284">
        <v>0.67300000000000004</v>
      </c>
      <c r="I284">
        <f t="shared" si="27"/>
        <v>4.4776119402985112E-3</v>
      </c>
      <c r="J284">
        <f t="shared" si="28"/>
        <v>1.5275138047618402E-7</v>
      </c>
      <c r="K284">
        <f t="shared" si="29"/>
        <v>0.15275138047618403</v>
      </c>
      <c r="L284">
        <v>1277.1260966250002</v>
      </c>
      <c r="M284">
        <f t="shared" si="30"/>
        <v>1.2771260966250003E-3</v>
      </c>
      <c r="N284">
        <f t="shared" si="31"/>
        <v>1.9508277430162919E-10</v>
      </c>
      <c r="O284">
        <f t="shared" si="32"/>
        <v>7.0229798748586505E-4</v>
      </c>
      <c r="P284">
        <v>22.132000000000001</v>
      </c>
    </row>
    <row r="285" spans="1:16" x14ac:dyDescent="0.35">
      <c r="A285" t="s">
        <v>37</v>
      </c>
      <c r="B285" s="2">
        <v>44800</v>
      </c>
      <c r="C285" s="3">
        <v>0.89583333333333337</v>
      </c>
      <c r="D285" t="s">
        <v>41</v>
      </c>
      <c r="E285" t="s">
        <v>15</v>
      </c>
      <c r="F285" s="1" t="s">
        <v>38</v>
      </c>
      <c r="G285">
        <v>0.67100000000000004</v>
      </c>
      <c r="H285">
        <v>0.67300000000000004</v>
      </c>
      <c r="I285">
        <f t="shared" si="27"/>
        <v>2.9806259314456062E-3</v>
      </c>
      <c r="J285">
        <f t="shared" si="28"/>
        <v>9.2559172597399345E-8</v>
      </c>
      <c r="K285">
        <f t="shared" si="29"/>
        <v>9.2559172597399347E-2</v>
      </c>
      <c r="L285">
        <v>1277.1260966250002</v>
      </c>
      <c r="M285">
        <f t="shared" si="30"/>
        <v>1.2771260966250003E-3</v>
      </c>
      <c r="N285">
        <f t="shared" si="31"/>
        <v>1.182097348061563E-10</v>
      </c>
      <c r="O285">
        <f t="shared" si="32"/>
        <v>4.2555504530216267E-4</v>
      </c>
      <c r="P285">
        <v>21.936800000000002</v>
      </c>
    </row>
    <row r="286" spans="1:16" x14ac:dyDescent="0.35">
      <c r="A286" t="s">
        <v>37</v>
      </c>
      <c r="B286" s="2">
        <v>44800</v>
      </c>
      <c r="C286" s="3">
        <v>0.91666666666666663</v>
      </c>
      <c r="D286" t="s">
        <v>41</v>
      </c>
      <c r="E286" t="s">
        <v>15</v>
      </c>
      <c r="F286" s="1" t="s">
        <v>38</v>
      </c>
      <c r="G286">
        <v>0.67100000000000004</v>
      </c>
      <c r="H286">
        <v>0.67300000000000004</v>
      </c>
      <c r="I286">
        <f t="shared" si="27"/>
        <v>2.9806259314456062E-3</v>
      </c>
      <c r="J286">
        <f t="shared" si="28"/>
        <v>9.2559172597399345E-8</v>
      </c>
      <c r="K286">
        <f t="shared" si="29"/>
        <v>9.2559172597399347E-2</v>
      </c>
      <c r="L286">
        <v>1277.1260966250002</v>
      </c>
      <c r="M286">
        <f t="shared" si="30"/>
        <v>1.2771260966250003E-3</v>
      </c>
      <c r="N286">
        <f t="shared" si="31"/>
        <v>1.182097348061563E-10</v>
      </c>
      <c r="O286">
        <f t="shared" si="32"/>
        <v>4.2555504530216267E-4</v>
      </c>
      <c r="P286">
        <v>21.610299999999999</v>
      </c>
    </row>
    <row r="287" spans="1:16" x14ac:dyDescent="0.35">
      <c r="A287" t="s">
        <v>37</v>
      </c>
      <c r="B287" s="2">
        <v>44800</v>
      </c>
      <c r="C287" s="3">
        <v>0.9375</v>
      </c>
      <c r="D287" t="s">
        <v>41</v>
      </c>
      <c r="E287" t="s">
        <v>15</v>
      </c>
      <c r="F287" s="1" t="s">
        <v>38</v>
      </c>
      <c r="G287">
        <v>0.67200000000000004</v>
      </c>
      <c r="H287">
        <v>0.67300000000000004</v>
      </c>
      <c r="I287">
        <f t="shared" si="27"/>
        <v>1.4880952380952393E-3</v>
      </c>
      <c r="J287">
        <f t="shared" si="28"/>
        <v>3.936002687208949E-8</v>
      </c>
      <c r="K287">
        <f t="shared" si="29"/>
        <v>3.936002687208949E-2</v>
      </c>
      <c r="L287">
        <v>1277.1260966250002</v>
      </c>
      <c r="M287">
        <f t="shared" si="30"/>
        <v>1.2771260966250003E-3</v>
      </c>
      <c r="N287">
        <f t="shared" si="31"/>
        <v>5.0267717482206772E-11</v>
      </c>
      <c r="O287">
        <f t="shared" si="32"/>
        <v>1.809637829359444E-4</v>
      </c>
      <c r="P287">
        <v>21.201899999999998</v>
      </c>
    </row>
    <row r="288" spans="1:16" x14ac:dyDescent="0.35">
      <c r="A288" t="s">
        <v>37</v>
      </c>
      <c r="B288" s="2">
        <v>44800</v>
      </c>
      <c r="C288" s="3">
        <v>0.95833333333333337</v>
      </c>
      <c r="D288" t="s">
        <v>41</v>
      </c>
      <c r="E288" t="s">
        <v>15</v>
      </c>
      <c r="F288" s="1" t="s">
        <v>38</v>
      </c>
      <c r="G288">
        <v>0.67100000000000004</v>
      </c>
      <c r="H288">
        <v>0.67300000000000004</v>
      </c>
      <c r="I288">
        <f t="shared" si="27"/>
        <v>2.9806259314456062E-3</v>
      </c>
      <c r="J288">
        <f t="shared" si="28"/>
        <v>9.2559172597399345E-8</v>
      </c>
      <c r="K288">
        <f t="shared" si="29"/>
        <v>9.2559172597399347E-2</v>
      </c>
      <c r="L288">
        <v>1277.1260966250002</v>
      </c>
      <c r="M288">
        <f t="shared" si="30"/>
        <v>1.2771260966250003E-3</v>
      </c>
      <c r="N288">
        <f t="shared" si="31"/>
        <v>1.182097348061563E-10</v>
      </c>
      <c r="O288">
        <f t="shared" si="32"/>
        <v>4.2555504530216267E-4</v>
      </c>
      <c r="P288">
        <v>20.816600000000001</v>
      </c>
    </row>
    <row r="289" spans="1:16" x14ac:dyDescent="0.35">
      <c r="A289" t="s">
        <v>37</v>
      </c>
      <c r="B289" s="2">
        <v>44800</v>
      </c>
      <c r="C289" s="3">
        <v>0.97916666666666663</v>
      </c>
      <c r="D289" t="s">
        <v>41</v>
      </c>
      <c r="E289" t="s">
        <v>15</v>
      </c>
      <c r="F289" s="1" t="s">
        <v>38</v>
      </c>
      <c r="G289">
        <v>0.67200000000000004</v>
      </c>
      <c r="H289">
        <v>0.67300000000000004</v>
      </c>
      <c r="I289">
        <f t="shared" si="27"/>
        <v>1.4880952380952393E-3</v>
      </c>
      <c r="J289">
        <f t="shared" si="28"/>
        <v>3.936002687208949E-8</v>
      </c>
      <c r="K289">
        <f t="shared" si="29"/>
        <v>3.936002687208949E-2</v>
      </c>
      <c r="L289">
        <v>1277.1260966250002</v>
      </c>
      <c r="M289">
        <f t="shared" si="30"/>
        <v>1.2771260966250003E-3</v>
      </c>
      <c r="N289">
        <f t="shared" si="31"/>
        <v>5.0267717482206772E-11</v>
      </c>
      <c r="O289">
        <f t="shared" si="32"/>
        <v>1.809637829359444E-4</v>
      </c>
      <c r="P289">
        <v>20.130299999999998</v>
      </c>
    </row>
    <row r="290" spans="1:16" x14ac:dyDescent="0.35">
      <c r="A290" t="s">
        <v>37</v>
      </c>
      <c r="B290" s="2">
        <v>44800</v>
      </c>
      <c r="C290" s="3">
        <v>0</v>
      </c>
      <c r="D290" t="s">
        <v>40</v>
      </c>
      <c r="E290" t="s">
        <v>15</v>
      </c>
      <c r="F290" s="1" t="s">
        <v>38</v>
      </c>
      <c r="G290">
        <v>0.70399999999999996</v>
      </c>
      <c r="H290">
        <f>MAX(G290:G337)</f>
        <v>0.70699999999999996</v>
      </c>
      <c r="I290">
        <f t="shared" si="27"/>
        <v>4.2613636363636404E-3</v>
      </c>
      <c r="J290">
        <f t="shared" si="28"/>
        <v>1.4372134821033523E-7</v>
      </c>
      <c r="K290">
        <f t="shared" si="29"/>
        <v>0.14372134821033522</v>
      </c>
      <c r="L290">
        <v>4528.792189625</v>
      </c>
      <c r="M290">
        <f t="shared" si="30"/>
        <v>4.528792189625E-3</v>
      </c>
      <c r="N290">
        <f t="shared" si="31"/>
        <v>6.508841192573412E-10</v>
      </c>
      <c r="O290">
        <f t="shared" si="32"/>
        <v>2.3431828293264284E-3</v>
      </c>
      <c r="P290">
        <v>20.112200000000001</v>
      </c>
    </row>
    <row r="291" spans="1:16" x14ac:dyDescent="0.35">
      <c r="A291" t="s">
        <v>37</v>
      </c>
      <c r="B291" s="2">
        <v>44800</v>
      </c>
      <c r="C291" s="3">
        <v>2.0833333333333332E-2</v>
      </c>
      <c r="D291" t="s">
        <v>40</v>
      </c>
      <c r="E291" t="s">
        <v>15</v>
      </c>
      <c r="F291" s="1" t="s">
        <v>38</v>
      </c>
      <c r="G291">
        <v>0.70299999999999996</v>
      </c>
      <c r="H291">
        <v>0.70699999999999996</v>
      </c>
      <c r="I291">
        <f t="shared" si="27"/>
        <v>5.6899004267425375E-3</v>
      </c>
      <c r="J291">
        <f t="shared" si="28"/>
        <v>2.0515438572821893E-7</v>
      </c>
      <c r="K291">
        <f t="shared" si="29"/>
        <v>0.20515438572821892</v>
      </c>
      <c r="L291">
        <v>4528.792189625</v>
      </c>
      <c r="M291">
        <f t="shared" si="30"/>
        <v>4.528792189625E-3</v>
      </c>
      <c r="N291">
        <f t="shared" si="31"/>
        <v>9.2910157975327243E-10</v>
      </c>
      <c r="O291">
        <f t="shared" si="32"/>
        <v>3.3447656871117811E-3</v>
      </c>
      <c r="P291">
        <v>19.898800000000001</v>
      </c>
    </row>
    <row r="292" spans="1:16" x14ac:dyDescent="0.35">
      <c r="A292" t="s">
        <v>37</v>
      </c>
      <c r="B292" s="2">
        <v>44800</v>
      </c>
      <c r="C292" s="3">
        <v>4.1666666666666664E-2</v>
      </c>
      <c r="D292" t="s">
        <v>40</v>
      </c>
      <c r="E292" t="s">
        <v>15</v>
      </c>
      <c r="F292" s="1" t="s">
        <v>38</v>
      </c>
      <c r="G292">
        <v>0.70299999999999996</v>
      </c>
      <c r="H292">
        <v>0.70699999999999996</v>
      </c>
      <c r="I292">
        <f t="shared" si="27"/>
        <v>5.6899004267425375E-3</v>
      </c>
      <c r="J292">
        <f t="shared" si="28"/>
        <v>2.0515438572821893E-7</v>
      </c>
      <c r="K292">
        <f t="shared" si="29"/>
        <v>0.20515438572821892</v>
      </c>
      <c r="L292">
        <v>4528.792189625</v>
      </c>
      <c r="M292">
        <f t="shared" si="30"/>
        <v>4.528792189625E-3</v>
      </c>
      <c r="N292">
        <f t="shared" si="31"/>
        <v>9.2910157975327243E-10</v>
      </c>
      <c r="O292">
        <f t="shared" si="32"/>
        <v>3.3447656871117811E-3</v>
      </c>
      <c r="P292">
        <v>19.249500000000001</v>
      </c>
    </row>
    <row r="293" spans="1:16" x14ac:dyDescent="0.35">
      <c r="A293" t="s">
        <v>37</v>
      </c>
      <c r="B293" s="2">
        <v>44800</v>
      </c>
      <c r="C293" s="3">
        <v>6.25E-2</v>
      </c>
      <c r="D293" t="s">
        <v>40</v>
      </c>
      <c r="E293" t="s">
        <v>15</v>
      </c>
      <c r="F293" s="1" t="s">
        <v>38</v>
      </c>
      <c r="G293">
        <v>0.70299999999999996</v>
      </c>
      <c r="H293">
        <v>0.70699999999999996</v>
      </c>
      <c r="I293">
        <f t="shared" si="27"/>
        <v>5.6899004267425375E-3</v>
      </c>
      <c r="J293">
        <f t="shared" si="28"/>
        <v>2.0515438572821893E-7</v>
      </c>
      <c r="K293">
        <f t="shared" si="29"/>
        <v>0.20515438572821892</v>
      </c>
      <c r="L293">
        <v>4528.792189625</v>
      </c>
      <c r="M293">
        <f t="shared" si="30"/>
        <v>4.528792189625E-3</v>
      </c>
      <c r="N293">
        <f t="shared" si="31"/>
        <v>9.2910157975327243E-10</v>
      </c>
      <c r="O293">
        <f t="shared" si="32"/>
        <v>3.3447656871117811E-3</v>
      </c>
      <c r="P293">
        <v>17.116900000000001</v>
      </c>
    </row>
    <row r="294" spans="1:16" x14ac:dyDescent="0.35">
      <c r="A294" t="s">
        <v>37</v>
      </c>
      <c r="B294" s="2">
        <v>44800</v>
      </c>
      <c r="C294" s="3">
        <v>8.3333333333333329E-2</v>
      </c>
      <c r="D294" t="s">
        <v>40</v>
      </c>
      <c r="E294" t="s">
        <v>15</v>
      </c>
      <c r="F294" s="1" t="s">
        <v>38</v>
      </c>
      <c r="G294">
        <v>0.70199999999999996</v>
      </c>
      <c r="H294">
        <v>0.70699999999999996</v>
      </c>
      <c r="I294">
        <f t="shared" si="27"/>
        <v>7.1225071225071296E-3</v>
      </c>
      <c r="J294">
        <f t="shared" si="28"/>
        <v>2.7048180236155956E-7</v>
      </c>
      <c r="K294">
        <f t="shared" si="29"/>
        <v>0.27048180236155955</v>
      </c>
      <c r="L294">
        <v>4528.792189625</v>
      </c>
      <c r="M294">
        <f t="shared" si="30"/>
        <v>4.528792189625E-3</v>
      </c>
      <c r="N294">
        <f t="shared" si="31"/>
        <v>1.2249558739707239E-9</v>
      </c>
      <c r="O294">
        <f t="shared" si="32"/>
        <v>4.4098411462946061E-3</v>
      </c>
      <c r="P294">
        <v>16.752199999999998</v>
      </c>
    </row>
    <row r="295" spans="1:16" x14ac:dyDescent="0.35">
      <c r="A295" t="s">
        <v>37</v>
      </c>
      <c r="B295" s="2">
        <v>44800</v>
      </c>
      <c r="C295" s="3">
        <v>0.10416666666666667</v>
      </c>
      <c r="D295" t="s">
        <v>40</v>
      </c>
      <c r="E295" t="s">
        <v>15</v>
      </c>
      <c r="F295" s="1" t="s">
        <v>38</v>
      </c>
      <c r="G295">
        <v>0.70199999999999996</v>
      </c>
      <c r="H295">
        <v>0.70699999999999996</v>
      </c>
      <c r="I295">
        <f t="shared" si="27"/>
        <v>7.1225071225071296E-3</v>
      </c>
      <c r="J295">
        <f t="shared" si="28"/>
        <v>2.7048180236155956E-7</v>
      </c>
      <c r="K295">
        <f t="shared" si="29"/>
        <v>0.27048180236155955</v>
      </c>
      <c r="L295">
        <v>4528.792189625</v>
      </c>
      <c r="M295">
        <f t="shared" si="30"/>
        <v>4.528792189625E-3</v>
      </c>
      <c r="N295">
        <f t="shared" si="31"/>
        <v>1.2249558739707239E-9</v>
      </c>
      <c r="O295">
        <f t="shared" si="32"/>
        <v>4.4098411462946061E-3</v>
      </c>
      <c r="P295">
        <v>16.4085</v>
      </c>
    </row>
    <row r="296" spans="1:16" x14ac:dyDescent="0.35">
      <c r="A296" t="s">
        <v>37</v>
      </c>
      <c r="B296" s="2">
        <v>44800</v>
      </c>
      <c r="C296" s="3">
        <v>0.125</v>
      </c>
      <c r="D296" t="s">
        <v>40</v>
      </c>
      <c r="E296" t="s">
        <v>15</v>
      </c>
      <c r="F296" s="1" t="s">
        <v>38</v>
      </c>
      <c r="G296">
        <v>0.70299999999999996</v>
      </c>
      <c r="H296">
        <v>0.70699999999999996</v>
      </c>
      <c r="I296">
        <f t="shared" si="27"/>
        <v>5.6899004267425375E-3</v>
      </c>
      <c r="J296">
        <f t="shared" si="28"/>
        <v>2.0515438572821893E-7</v>
      </c>
      <c r="K296">
        <f t="shared" si="29"/>
        <v>0.20515438572821892</v>
      </c>
      <c r="L296">
        <v>4528.792189625</v>
      </c>
      <c r="M296">
        <f t="shared" si="30"/>
        <v>4.528792189625E-3</v>
      </c>
      <c r="N296">
        <f t="shared" si="31"/>
        <v>9.2910157975327243E-10</v>
      </c>
      <c r="O296">
        <f t="shared" si="32"/>
        <v>3.3447656871117811E-3</v>
      </c>
      <c r="P296">
        <v>17.264900000000001</v>
      </c>
    </row>
    <row r="297" spans="1:16" x14ac:dyDescent="0.35">
      <c r="A297" t="s">
        <v>37</v>
      </c>
      <c r="B297" s="2">
        <v>44800</v>
      </c>
      <c r="C297" s="3">
        <v>0.14583333333333334</v>
      </c>
      <c r="D297" t="s">
        <v>40</v>
      </c>
      <c r="E297" t="s">
        <v>15</v>
      </c>
      <c r="F297" s="1" t="s">
        <v>38</v>
      </c>
      <c r="G297">
        <v>0.70299999999999996</v>
      </c>
      <c r="H297">
        <v>0.70699999999999996</v>
      </c>
      <c r="I297">
        <f t="shared" ref="I297:I337" si="33">(H297-G297)/G297</f>
        <v>5.6899004267425375E-3</v>
      </c>
      <c r="J297">
        <f t="shared" ref="J297:J337" si="34">119*10^-6*(I297^1.231)</f>
        <v>2.0515438572821893E-7</v>
      </c>
      <c r="K297">
        <f t="shared" si="29"/>
        <v>0.20515438572821892</v>
      </c>
      <c r="L297">
        <v>4528.792189625</v>
      </c>
      <c r="M297">
        <f t="shared" si="30"/>
        <v>4.528792189625E-3</v>
      </c>
      <c r="N297">
        <f t="shared" si="31"/>
        <v>9.2910157975327243E-10</v>
      </c>
      <c r="O297">
        <f t="shared" si="32"/>
        <v>3.3447656871117811E-3</v>
      </c>
      <c r="P297">
        <v>15.769</v>
      </c>
    </row>
    <row r="298" spans="1:16" x14ac:dyDescent="0.35">
      <c r="A298" t="s">
        <v>37</v>
      </c>
      <c r="B298" s="2">
        <v>44800</v>
      </c>
      <c r="C298" s="3">
        <v>0.16666666666666666</v>
      </c>
      <c r="D298" t="s">
        <v>40</v>
      </c>
      <c r="E298" t="s">
        <v>15</v>
      </c>
      <c r="F298" s="1" t="s">
        <v>38</v>
      </c>
      <c r="G298">
        <v>0.70399999999999996</v>
      </c>
      <c r="H298">
        <v>0.70699999999999996</v>
      </c>
      <c r="I298">
        <f t="shared" si="33"/>
        <v>4.2613636363636404E-3</v>
      </c>
      <c r="J298">
        <f t="shared" si="34"/>
        <v>1.4372134821033523E-7</v>
      </c>
      <c r="K298">
        <f t="shared" ref="K298:K337" si="35">J298*10^6</f>
        <v>0.14372134821033522</v>
      </c>
      <c r="L298">
        <v>4528.792189625</v>
      </c>
      <c r="M298">
        <f t="shared" si="30"/>
        <v>4.528792189625E-3</v>
      </c>
      <c r="N298">
        <f t="shared" si="31"/>
        <v>6.508841192573412E-10</v>
      </c>
      <c r="O298">
        <f t="shared" si="32"/>
        <v>2.3431828293264284E-3</v>
      </c>
      <c r="P298">
        <v>16.060199999999998</v>
      </c>
    </row>
    <row r="299" spans="1:16" x14ac:dyDescent="0.35">
      <c r="A299" t="s">
        <v>37</v>
      </c>
      <c r="B299" s="2">
        <v>44800</v>
      </c>
      <c r="C299" s="3">
        <v>0.1875</v>
      </c>
      <c r="D299" t="s">
        <v>40</v>
      </c>
      <c r="E299" t="s">
        <v>15</v>
      </c>
      <c r="F299" s="1" t="s">
        <v>38</v>
      </c>
      <c r="G299">
        <v>0.70499999999999996</v>
      </c>
      <c r="H299">
        <v>0.70699999999999996</v>
      </c>
      <c r="I299">
        <f t="shared" si="33"/>
        <v>2.8368794326241163E-3</v>
      </c>
      <c r="J299">
        <f t="shared" si="34"/>
        <v>8.7095172376123804E-8</v>
      </c>
      <c r="K299">
        <f t="shared" si="35"/>
        <v>8.7095172376123811E-2</v>
      </c>
      <c r="L299">
        <v>4528.792189625</v>
      </c>
      <c r="M299">
        <f t="shared" si="30"/>
        <v>4.528792189625E-3</v>
      </c>
      <c r="N299">
        <f t="shared" si="31"/>
        <v>3.9443593641103253E-10</v>
      </c>
      <c r="O299">
        <f t="shared" si="32"/>
        <v>1.4199693710797172E-3</v>
      </c>
      <c r="P299">
        <v>15.727600000000001</v>
      </c>
    </row>
    <row r="300" spans="1:16" x14ac:dyDescent="0.35">
      <c r="A300" t="s">
        <v>37</v>
      </c>
      <c r="B300" s="2">
        <v>44800</v>
      </c>
      <c r="C300" s="3">
        <v>0.20833333333333334</v>
      </c>
      <c r="D300" t="s">
        <v>40</v>
      </c>
      <c r="E300" t="s">
        <v>15</v>
      </c>
      <c r="F300" s="1" t="s">
        <v>38</v>
      </c>
      <c r="G300">
        <v>0.70499999999999996</v>
      </c>
      <c r="H300">
        <v>0.70699999999999996</v>
      </c>
      <c r="I300">
        <f t="shared" si="33"/>
        <v>2.8368794326241163E-3</v>
      </c>
      <c r="J300">
        <f t="shared" si="34"/>
        <v>8.7095172376123804E-8</v>
      </c>
      <c r="K300">
        <f t="shared" si="35"/>
        <v>8.7095172376123811E-2</v>
      </c>
      <c r="L300">
        <v>4528.792189625</v>
      </c>
      <c r="M300">
        <f t="shared" si="30"/>
        <v>4.528792189625E-3</v>
      </c>
      <c r="N300">
        <f t="shared" si="31"/>
        <v>3.9443593641103253E-10</v>
      </c>
      <c r="O300">
        <f t="shared" si="32"/>
        <v>1.4199693710797172E-3</v>
      </c>
      <c r="P300">
        <v>15.0184</v>
      </c>
    </row>
    <row r="301" spans="1:16" x14ac:dyDescent="0.35">
      <c r="A301" t="s">
        <v>37</v>
      </c>
      <c r="B301" s="2">
        <v>44800</v>
      </c>
      <c r="C301" s="3">
        <v>0.22916666666666666</v>
      </c>
      <c r="D301" t="s">
        <v>40</v>
      </c>
      <c r="E301" t="s">
        <v>15</v>
      </c>
      <c r="F301" s="1" t="s">
        <v>38</v>
      </c>
      <c r="G301">
        <v>0.70599999999999996</v>
      </c>
      <c r="H301">
        <v>0.70699999999999996</v>
      </c>
      <c r="I301">
        <f t="shared" si="33"/>
        <v>1.4164305949008512E-3</v>
      </c>
      <c r="J301">
        <f t="shared" si="34"/>
        <v>3.7039777944439822E-8</v>
      </c>
      <c r="K301">
        <f t="shared" si="35"/>
        <v>3.7039777944439821E-2</v>
      </c>
      <c r="L301">
        <v>4528.792189625</v>
      </c>
      <c r="M301">
        <f t="shared" si="30"/>
        <v>4.528792189625E-3</v>
      </c>
      <c r="N301">
        <f t="shared" si="31"/>
        <v>1.677454570602234E-10</v>
      </c>
      <c r="O301">
        <f t="shared" si="32"/>
        <v>6.0388364541680425E-4</v>
      </c>
      <c r="P301">
        <v>14.711399999999999</v>
      </c>
    </row>
    <row r="302" spans="1:16" x14ac:dyDescent="0.35">
      <c r="A302" t="s">
        <v>37</v>
      </c>
      <c r="B302" s="2">
        <v>44800</v>
      </c>
      <c r="C302" s="3">
        <v>0.25</v>
      </c>
      <c r="D302" t="s">
        <v>40</v>
      </c>
      <c r="E302" t="s">
        <v>15</v>
      </c>
      <c r="F302" s="1" t="s">
        <v>38</v>
      </c>
      <c r="G302">
        <v>0.70699999999999996</v>
      </c>
      <c r="H302">
        <v>0.70699999999999996</v>
      </c>
      <c r="I302">
        <f t="shared" si="33"/>
        <v>0</v>
      </c>
      <c r="J302">
        <f t="shared" si="34"/>
        <v>0</v>
      </c>
      <c r="K302">
        <f t="shared" si="35"/>
        <v>0</v>
      </c>
      <c r="L302">
        <v>4528.792189625</v>
      </c>
      <c r="M302">
        <f t="shared" si="30"/>
        <v>4.528792189625E-3</v>
      </c>
      <c r="N302">
        <f t="shared" si="31"/>
        <v>0</v>
      </c>
      <c r="O302">
        <f t="shared" si="32"/>
        <v>0</v>
      </c>
      <c r="P302">
        <v>15.889900000000001</v>
      </c>
    </row>
    <row r="303" spans="1:16" x14ac:dyDescent="0.35">
      <c r="A303" t="s">
        <v>37</v>
      </c>
      <c r="B303" s="2">
        <v>44800</v>
      </c>
      <c r="C303" s="3">
        <v>0.27083333333333331</v>
      </c>
      <c r="D303" t="s">
        <v>40</v>
      </c>
      <c r="E303" t="s">
        <v>15</v>
      </c>
      <c r="F303" s="1" t="s">
        <v>38</v>
      </c>
      <c r="G303">
        <v>0.70699999999999996</v>
      </c>
      <c r="H303">
        <v>0.70699999999999996</v>
      </c>
      <c r="I303">
        <f t="shared" si="33"/>
        <v>0</v>
      </c>
      <c r="J303">
        <f t="shared" si="34"/>
        <v>0</v>
      </c>
      <c r="K303">
        <f t="shared" si="35"/>
        <v>0</v>
      </c>
      <c r="L303">
        <v>4528.792189625</v>
      </c>
      <c r="M303">
        <f t="shared" si="30"/>
        <v>4.528792189625E-3</v>
      </c>
      <c r="N303">
        <f t="shared" si="31"/>
        <v>0</v>
      </c>
      <c r="O303">
        <f t="shared" si="32"/>
        <v>0</v>
      </c>
      <c r="P303">
        <v>16.3066</v>
      </c>
    </row>
    <row r="304" spans="1:16" x14ac:dyDescent="0.35">
      <c r="A304" t="s">
        <v>37</v>
      </c>
      <c r="B304" s="2">
        <v>44800</v>
      </c>
      <c r="C304" s="3">
        <v>0.29166666666666669</v>
      </c>
      <c r="D304" t="s">
        <v>40</v>
      </c>
      <c r="E304" t="s">
        <v>15</v>
      </c>
      <c r="F304" s="1" t="s">
        <v>38</v>
      </c>
      <c r="G304">
        <v>0.70699999999999996</v>
      </c>
      <c r="H304">
        <v>0.70699999999999996</v>
      </c>
      <c r="I304">
        <f t="shared" si="33"/>
        <v>0</v>
      </c>
      <c r="J304">
        <f t="shared" si="34"/>
        <v>0</v>
      </c>
      <c r="K304">
        <f t="shared" si="35"/>
        <v>0</v>
      </c>
      <c r="L304">
        <v>4528.792189625</v>
      </c>
      <c r="M304">
        <f t="shared" si="30"/>
        <v>4.528792189625E-3</v>
      </c>
      <c r="N304">
        <f t="shared" si="31"/>
        <v>0</v>
      </c>
      <c r="O304">
        <f t="shared" si="32"/>
        <v>0</v>
      </c>
      <c r="P304">
        <v>17.531300000000002</v>
      </c>
    </row>
    <row r="305" spans="1:16" x14ac:dyDescent="0.35">
      <c r="A305" t="s">
        <v>37</v>
      </c>
      <c r="B305" s="2">
        <v>44800</v>
      </c>
      <c r="C305" s="3">
        <v>0.3125</v>
      </c>
      <c r="D305" t="s">
        <v>40</v>
      </c>
      <c r="E305" t="s">
        <v>15</v>
      </c>
      <c r="F305" s="1" t="s">
        <v>38</v>
      </c>
      <c r="G305">
        <v>0.70299999999999996</v>
      </c>
      <c r="H305">
        <v>0.70699999999999996</v>
      </c>
      <c r="I305">
        <f t="shared" si="33"/>
        <v>5.6899004267425375E-3</v>
      </c>
      <c r="J305">
        <f t="shared" si="34"/>
        <v>2.0515438572821893E-7</v>
      </c>
      <c r="K305">
        <f t="shared" si="35"/>
        <v>0.20515438572821892</v>
      </c>
      <c r="L305">
        <v>4528.792189625</v>
      </c>
      <c r="M305">
        <f t="shared" si="30"/>
        <v>4.528792189625E-3</v>
      </c>
      <c r="N305">
        <f t="shared" si="31"/>
        <v>9.2910157975327243E-10</v>
      </c>
      <c r="O305">
        <f t="shared" si="32"/>
        <v>3.3447656871117811E-3</v>
      </c>
      <c r="P305">
        <v>18.497699999999998</v>
      </c>
    </row>
    <row r="306" spans="1:16" x14ac:dyDescent="0.35">
      <c r="A306" t="s">
        <v>37</v>
      </c>
      <c r="B306" s="2">
        <v>44800</v>
      </c>
      <c r="C306" s="3">
        <v>0.33333333333333331</v>
      </c>
      <c r="D306" t="s">
        <v>40</v>
      </c>
      <c r="E306" t="s">
        <v>15</v>
      </c>
      <c r="F306" s="1" t="s">
        <v>38</v>
      </c>
      <c r="G306">
        <v>0.69</v>
      </c>
      <c r="H306">
        <v>0.70699999999999996</v>
      </c>
      <c r="I306">
        <f t="shared" si="33"/>
        <v>2.4637681159420315E-2</v>
      </c>
      <c r="J306">
        <f t="shared" si="34"/>
        <v>1.2462533906968332E-6</v>
      </c>
      <c r="K306">
        <f t="shared" si="35"/>
        <v>1.2462533906968332</v>
      </c>
      <c r="L306">
        <v>4528.792189625</v>
      </c>
      <c r="M306">
        <f t="shared" si="30"/>
        <v>4.528792189625E-3</v>
      </c>
      <c r="N306">
        <f t="shared" si="31"/>
        <v>5.6440226220814919E-9</v>
      </c>
      <c r="O306">
        <f t="shared" si="32"/>
        <v>2.0318481439493372E-2</v>
      </c>
      <c r="P306">
        <v>20.640699999999999</v>
      </c>
    </row>
    <row r="307" spans="1:16" x14ac:dyDescent="0.35">
      <c r="A307" t="s">
        <v>37</v>
      </c>
      <c r="B307" s="2">
        <v>44800</v>
      </c>
      <c r="C307" s="3">
        <v>0.35416666666666669</v>
      </c>
      <c r="D307" t="s">
        <v>40</v>
      </c>
      <c r="E307" t="s">
        <v>15</v>
      </c>
      <c r="F307" s="1" t="s">
        <v>38</v>
      </c>
      <c r="G307">
        <v>0.65700000000000003</v>
      </c>
      <c r="H307">
        <v>0.70699999999999996</v>
      </c>
      <c r="I307">
        <f t="shared" si="33"/>
        <v>7.6103500761034906E-2</v>
      </c>
      <c r="J307">
        <f t="shared" si="34"/>
        <v>4.9952366384280237E-6</v>
      </c>
      <c r="K307">
        <f t="shared" si="35"/>
        <v>4.9952366384280236</v>
      </c>
      <c r="L307">
        <v>4528.792189625</v>
      </c>
      <c r="M307">
        <f t="shared" si="30"/>
        <v>4.528792189625E-3</v>
      </c>
      <c r="N307">
        <f t="shared" si="31"/>
        <v>2.2622388673441473E-8</v>
      </c>
      <c r="O307">
        <f t="shared" si="32"/>
        <v>8.1440599224389301E-2</v>
      </c>
      <c r="P307">
        <v>21.7852</v>
      </c>
    </row>
    <row r="308" spans="1:16" x14ac:dyDescent="0.35">
      <c r="A308" t="s">
        <v>37</v>
      </c>
      <c r="B308" s="2">
        <v>44800</v>
      </c>
      <c r="C308" s="3">
        <v>0.375</v>
      </c>
      <c r="D308" t="s">
        <v>40</v>
      </c>
      <c r="E308" t="s">
        <v>15</v>
      </c>
      <c r="F308" s="1" t="s">
        <v>38</v>
      </c>
      <c r="G308">
        <v>0.61899999999999999</v>
      </c>
      <c r="H308">
        <v>0.70699999999999996</v>
      </c>
      <c r="I308">
        <f t="shared" si="33"/>
        <v>0.14216478190630044</v>
      </c>
      <c r="J308">
        <f t="shared" si="34"/>
        <v>1.0780376827723512E-5</v>
      </c>
      <c r="K308">
        <f t="shared" si="35"/>
        <v>10.780376827723511</v>
      </c>
      <c r="L308">
        <v>4528.792189625</v>
      </c>
      <c r="M308">
        <f t="shared" si="30"/>
        <v>4.528792189625E-3</v>
      </c>
      <c r="N308">
        <f t="shared" si="31"/>
        <v>4.8822086378608573E-8</v>
      </c>
      <c r="O308">
        <f t="shared" si="32"/>
        <v>0.17575951096299086</v>
      </c>
      <c r="P308">
        <v>23.6355</v>
      </c>
    </row>
    <row r="309" spans="1:16" x14ac:dyDescent="0.35">
      <c r="A309" t="s">
        <v>37</v>
      </c>
      <c r="B309" s="2">
        <v>44800</v>
      </c>
      <c r="C309" s="3">
        <v>0.39583333333333331</v>
      </c>
      <c r="D309" t="s">
        <v>40</v>
      </c>
      <c r="E309" t="s">
        <v>15</v>
      </c>
      <c r="F309" s="1" t="s">
        <v>38</v>
      </c>
      <c r="G309">
        <v>0.58599999999999997</v>
      </c>
      <c r="H309">
        <v>0.70699999999999996</v>
      </c>
      <c r="I309">
        <f t="shared" si="33"/>
        <v>0.20648464163822527</v>
      </c>
      <c r="J309">
        <f t="shared" si="34"/>
        <v>1.7067652301858962E-5</v>
      </c>
      <c r="K309">
        <f t="shared" si="35"/>
        <v>17.067652301858963</v>
      </c>
      <c r="L309">
        <v>4528.792189625</v>
      </c>
      <c r="M309">
        <f t="shared" si="30"/>
        <v>4.528792189625E-3</v>
      </c>
      <c r="N309">
        <f t="shared" si="31"/>
        <v>7.7295850439894019E-8</v>
      </c>
      <c r="O309">
        <f t="shared" si="32"/>
        <v>0.27826506158361847</v>
      </c>
      <c r="P309">
        <v>25.8127</v>
      </c>
    </row>
    <row r="310" spans="1:16" x14ac:dyDescent="0.35">
      <c r="A310" t="s">
        <v>37</v>
      </c>
      <c r="B310" s="2">
        <v>44800</v>
      </c>
      <c r="C310" s="3">
        <v>0.41666666666666669</v>
      </c>
      <c r="D310" t="s">
        <v>40</v>
      </c>
      <c r="E310" t="s">
        <v>15</v>
      </c>
      <c r="F310" s="1" t="s">
        <v>38</v>
      </c>
      <c r="G310">
        <v>0.55500000000000005</v>
      </c>
      <c r="H310">
        <v>0.70699999999999996</v>
      </c>
      <c r="I310">
        <f t="shared" si="33"/>
        <v>0.27387387387387369</v>
      </c>
      <c r="J310">
        <f t="shared" si="34"/>
        <v>2.4164162961959923E-5</v>
      </c>
      <c r="K310">
        <f t="shared" si="35"/>
        <v>24.164162961959924</v>
      </c>
      <c r="L310">
        <v>4528.792189625</v>
      </c>
      <c r="M310">
        <f t="shared" si="30"/>
        <v>4.528792189625E-3</v>
      </c>
      <c r="N310">
        <f t="shared" si="31"/>
        <v>1.094344724909498E-7</v>
      </c>
      <c r="O310">
        <f t="shared" si="32"/>
        <v>0.3939641009674193</v>
      </c>
      <c r="P310">
        <v>27.663900000000002</v>
      </c>
    </row>
    <row r="311" spans="1:16" x14ac:dyDescent="0.35">
      <c r="A311" t="s">
        <v>37</v>
      </c>
      <c r="B311" s="2">
        <v>44800</v>
      </c>
      <c r="C311" s="3">
        <v>0.4375</v>
      </c>
      <c r="D311" t="s">
        <v>40</v>
      </c>
      <c r="E311" t="s">
        <v>15</v>
      </c>
      <c r="F311" s="1" t="s">
        <v>38</v>
      </c>
      <c r="G311">
        <v>0.54400000000000004</v>
      </c>
      <c r="H311">
        <v>0.70699999999999996</v>
      </c>
      <c r="I311">
        <f t="shared" si="33"/>
        <v>0.29963235294117629</v>
      </c>
      <c r="J311">
        <f t="shared" si="34"/>
        <v>2.699153956417131E-5</v>
      </c>
      <c r="K311">
        <f t="shared" si="35"/>
        <v>26.991539564171308</v>
      </c>
      <c r="L311">
        <v>4528.792189625</v>
      </c>
      <c r="M311">
        <f t="shared" si="30"/>
        <v>4.528792189625E-3</v>
      </c>
      <c r="N311">
        <f t="shared" si="31"/>
        <v>1.2223907356417319E-7</v>
      </c>
      <c r="O311">
        <f t="shared" si="32"/>
        <v>0.44006066483102346</v>
      </c>
      <c r="P311">
        <v>29.2453</v>
      </c>
    </row>
    <row r="312" spans="1:16" x14ac:dyDescent="0.35">
      <c r="A312" t="s">
        <v>37</v>
      </c>
      <c r="B312" s="2">
        <v>44800</v>
      </c>
      <c r="C312" s="3">
        <v>0.45833333333333331</v>
      </c>
      <c r="D312" t="s">
        <v>40</v>
      </c>
      <c r="E312" t="s">
        <v>15</v>
      </c>
      <c r="F312" s="1" t="s">
        <v>38</v>
      </c>
      <c r="G312">
        <v>0.55000000000000004</v>
      </c>
      <c r="H312">
        <v>0.70699999999999996</v>
      </c>
      <c r="I312">
        <f t="shared" si="33"/>
        <v>0.28545454545454529</v>
      </c>
      <c r="J312">
        <f t="shared" si="34"/>
        <v>2.5428044497113816E-5</v>
      </c>
      <c r="K312">
        <f t="shared" si="35"/>
        <v>25.428044497113817</v>
      </c>
      <c r="L312">
        <v>4528.792189625</v>
      </c>
      <c r="M312">
        <f t="shared" si="30"/>
        <v>4.528792189625E-3</v>
      </c>
      <c r="N312">
        <f t="shared" si="31"/>
        <v>1.1515832931596601E-7</v>
      </c>
      <c r="O312">
        <f t="shared" si="32"/>
        <v>0.41456998553747759</v>
      </c>
      <c r="P312">
        <v>31.9986</v>
      </c>
    </row>
    <row r="313" spans="1:16" x14ac:dyDescent="0.35">
      <c r="A313" t="s">
        <v>37</v>
      </c>
      <c r="B313" s="2">
        <v>44800</v>
      </c>
      <c r="C313" s="3">
        <v>0.47916666666666669</v>
      </c>
      <c r="D313" t="s">
        <v>40</v>
      </c>
      <c r="E313" t="s">
        <v>15</v>
      </c>
      <c r="F313" s="1" t="s">
        <v>38</v>
      </c>
      <c r="G313">
        <v>0.55600000000000005</v>
      </c>
      <c r="H313">
        <v>0.70699999999999996</v>
      </c>
      <c r="I313">
        <f t="shared" si="33"/>
        <v>0.27158273381294945</v>
      </c>
      <c r="J313">
        <f t="shared" si="34"/>
        <v>2.3915557820914423E-5</v>
      </c>
      <c r="K313">
        <f t="shared" si="35"/>
        <v>23.915557820914422</v>
      </c>
      <c r="L313">
        <v>4528.792189625</v>
      </c>
      <c r="M313">
        <f t="shared" si="30"/>
        <v>4.528792189625E-3</v>
      </c>
      <c r="N313">
        <f t="shared" si="31"/>
        <v>1.0830859146988232E-7</v>
      </c>
      <c r="O313">
        <f t="shared" si="32"/>
        <v>0.38991092929157634</v>
      </c>
      <c r="P313">
        <v>31.6327</v>
      </c>
    </row>
    <row r="314" spans="1:16" x14ac:dyDescent="0.35">
      <c r="A314" t="s">
        <v>37</v>
      </c>
      <c r="B314" s="2">
        <v>44800</v>
      </c>
      <c r="C314" s="3">
        <v>0.5</v>
      </c>
      <c r="D314" t="s">
        <v>40</v>
      </c>
      <c r="E314" t="s">
        <v>15</v>
      </c>
      <c r="F314" s="1" t="s">
        <v>38</v>
      </c>
      <c r="G314">
        <v>0.56200000000000006</v>
      </c>
      <c r="H314">
        <v>0.70699999999999996</v>
      </c>
      <c r="I314">
        <f t="shared" si="33"/>
        <v>0.25800711743772226</v>
      </c>
      <c r="J314">
        <f t="shared" si="34"/>
        <v>2.2452544596303425E-5</v>
      </c>
      <c r="K314">
        <f t="shared" si="35"/>
        <v>22.452544596303426</v>
      </c>
      <c r="L314">
        <v>4528.792189625</v>
      </c>
      <c r="M314">
        <f t="shared" si="30"/>
        <v>4.528792189625E-3</v>
      </c>
      <c r="N314">
        <f t="shared" si="31"/>
        <v>1.0168290860494595E-7</v>
      </c>
      <c r="O314">
        <f t="shared" si="32"/>
        <v>0.36605847097780542</v>
      </c>
      <c r="P314">
        <v>31.8827</v>
      </c>
    </row>
    <row r="315" spans="1:16" x14ac:dyDescent="0.35">
      <c r="A315" t="s">
        <v>37</v>
      </c>
      <c r="B315" s="2">
        <v>44800</v>
      </c>
      <c r="C315" s="3">
        <v>0.52083333333333337</v>
      </c>
      <c r="D315" t="s">
        <v>40</v>
      </c>
      <c r="E315" t="s">
        <v>15</v>
      </c>
      <c r="F315" s="1" t="s">
        <v>38</v>
      </c>
      <c r="G315">
        <v>0.57299999999999995</v>
      </c>
      <c r="H315">
        <v>0.70699999999999996</v>
      </c>
      <c r="I315">
        <f t="shared" si="33"/>
        <v>0.23385689354275746</v>
      </c>
      <c r="J315">
        <f t="shared" si="34"/>
        <v>1.989411520340468E-5</v>
      </c>
      <c r="K315">
        <f t="shared" si="35"/>
        <v>19.894115203404681</v>
      </c>
      <c r="L315">
        <v>4528.792189625</v>
      </c>
      <c r="M315">
        <f t="shared" si="30"/>
        <v>4.528792189625E-3</v>
      </c>
      <c r="N315">
        <f t="shared" si="31"/>
        <v>9.0096313552679084E-8</v>
      </c>
      <c r="O315">
        <f t="shared" si="32"/>
        <v>0.32434672878964471</v>
      </c>
      <c r="P315">
        <v>32.619799999999998</v>
      </c>
    </row>
    <row r="316" spans="1:16" x14ac:dyDescent="0.35">
      <c r="A316" t="s">
        <v>37</v>
      </c>
      <c r="B316" s="2">
        <v>44800</v>
      </c>
      <c r="C316" s="3">
        <v>0.54166666666666663</v>
      </c>
      <c r="D316" t="s">
        <v>40</v>
      </c>
      <c r="E316" t="s">
        <v>15</v>
      </c>
      <c r="F316" s="1" t="s">
        <v>38</v>
      </c>
      <c r="G316">
        <v>0.58099999999999996</v>
      </c>
      <c r="H316">
        <v>0.70699999999999996</v>
      </c>
      <c r="I316">
        <f t="shared" si="33"/>
        <v>0.21686746987951808</v>
      </c>
      <c r="J316">
        <f t="shared" si="34"/>
        <v>1.8130186995911652E-5</v>
      </c>
      <c r="K316">
        <f t="shared" si="35"/>
        <v>18.130186995911654</v>
      </c>
      <c r="L316">
        <v>4528.792189625</v>
      </c>
      <c r="M316">
        <f t="shared" si="30"/>
        <v>4.528792189625E-3</v>
      </c>
      <c r="N316">
        <f t="shared" si="31"/>
        <v>8.2107849263525428E-8</v>
      </c>
      <c r="O316">
        <f t="shared" si="32"/>
        <v>0.29558825734869154</v>
      </c>
      <c r="P316">
        <v>29.2163</v>
      </c>
    </row>
    <row r="317" spans="1:16" x14ac:dyDescent="0.35">
      <c r="A317" t="s">
        <v>37</v>
      </c>
      <c r="B317" s="2">
        <v>44800</v>
      </c>
      <c r="C317" s="3">
        <v>0.5625</v>
      </c>
      <c r="D317" t="s">
        <v>40</v>
      </c>
      <c r="E317" t="s">
        <v>15</v>
      </c>
      <c r="F317" s="1" t="s">
        <v>38</v>
      </c>
      <c r="G317">
        <v>0.57799999999999996</v>
      </c>
      <c r="H317">
        <v>0.70699999999999996</v>
      </c>
      <c r="I317">
        <f t="shared" si="33"/>
        <v>0.22318339100346024</v>
      </c>
      <c r="J317">
        <f t="shared" si="34"/>
        <v>1.8782341199965641E-5</v>
      </c>
      <c r="K317">
        <f t="shared" si="35"/>
        <v>18.782341199965639</v>
      </c>
      <c r="L317">
        <v>4528.792189625</v>
      </c>
      <c r="M317">
        <f t="shared" si="30"/>
        <v>4.528792189625E-3</v>
      </c>
      <c r="N317">
        <f t="shared" si="31"/>
        <v>8.5061320129276239E-8</v>
      </c>
      <c r="O317">
        <f t="shared" si="32"/>
        <v>0.30622075246539449</v>
      </c>
      <c r="P317">
        <v>30.803799999999999</v>
      </c>
    </row>
    <row r="318" spans="1:16" x14ac:dyDescent="0.35">
      <c r="A318" t="s">
        <v>37</v>
      </c>
      <c r="B318" s="2">
        <v>44800</v>
      </c>
      <c r="C318" s="3">
        <v>0.58333333333333337</v>
      </c>
      <c r="D318" t="s">
        <v>40</v>
      </c>
      <c r="E318" t="s">
        <v>15</v>
      </c>
      <c r="F318" s="1" t="s">
        <v>38</v>
      </c>
      <c r="G318">
        <v>0.58799999999999997</v>
      </c>
      <c r="H318">
        <v>0.70699999999999996</v>
      </c>
      <c r="I318">
        <f t="shared" si="33"/>
        <v>0.20238095238095238</v>
      </c>
      <c r="J318">
        <f t="shared" si="34"/>
        <v>1.6651056040460674E-5</v>
      </c>
      <c r="K318">
        <f t="shared" si="35"/>
        <v>16.651056040460674</v>
      </c>
      <c r="L318">
        <v>4528.792189625</v>
      </c>
      <c r="M318">
        <f t="shared" si="30"/>
        <v>4.528792189625E-3</v>
      </c>
      <c r="N318">
        <f t="shared" si="31"/>
        <v>7.540917254504647E-8</v>
      </c>
      <c r="O318">
        <f t="shared" si="32"/>
        <v>0.27147302116216732</v>
      </c>
      <c r="P318">
        <v>30.016100000000002</v>
      </c>
    </row>
    <row r="319" spans="1:16" x14ac:dyDescent="0.35">
      <c r="A319" t="s">
        <v>37</v>
      </c>
      <c r="B319" s="2">
        <v>44800</v>
      </c>
      <c r="C319" s="3">
        <v>0.60416666666666663</v>
      </c>
      <c r="D319" t="s">
        <v>40</v>
      </c>
      <c r="E319" t="s">
        <v>15</v>
      </c>
      <c r="F319" s="1" t="s">
        <v>38</v>
      </c>
      <c r="G319">
        <v>0.59699999999999998</v>
      </c>
      <c r="H319">
        <v>0.70699999999999996</v>
      </c>
      <c r="I319">
        <f t="shared" si="33"/>
        <v>0.18425460636515911</v>
      </c>
      <c r="J319">
        <f t="shared" si="34"/>
        <v>1.483463807600163E-5</v>
      </c>
      <c r="K319">
        <f t="shared" si="35"/>
        <v>14.83463807600163</v>
      </c>
      <c r="L319">
        <v>4528.792189625</v>
      </c>
      <c r="M319">
        <f t="shared" si="30"/>
        <v>4.528792189625E-3</v>
      </c>
      <c r="N319">
        <f t="shared" si="31"/>
        <v>6.7182993054509814E-8</v>
      </c>
      <c r="O319">
        <f t="shared" si="32"/>
        <v>0.24185877499623534</v>
      </c>
      <c r="P319">
        <v>31.1188</v>
      </c>
    </row>
    <row r="320" spans="1:16" x14ac:dyDescent="0.35">
      <c r="A320" t="s">
        <v>37</v>
      </c>
      <c r="B320" s="2">
        <v>44800</v>
      </c>
      <c r="C320" s="3">
        <v>0.625</v>
      </c>
      <c r="D320" t="s">
        <v>40</v>
      </c>
      <c r="E320" t="s">
        <v>15</v>
      </c>
      <c r="F320" s="1" t="s">
        <v>38</v>
      </c>
      <c r="G320">
        <v>0.61</v>
      </c>
      <c r="H320">
        <v>0.70699999999999996</v>
      </c>
      <c r="I320">
        <f t="shared" si="33"/>
        <v>0.15901639344262292</v>
      </c>
      <c r="J320">
        <f t="shared" si="34"/>
        <v>1.2374337001413526E-5</v>
      </c>
      <c r="K320">
        <f t="shared" si="35"/>
        <v>12.374337001413526</v>
      </c>
      <c r="L320">
        <v>4528.792189625</v>
      </c>
      <c r="M320">
        <f t="shared" si="30"/>
        <v>4.528792189625E-3</v>
      </c>
      <c r="N320">
        <f t="shared" si="31"/>
        <v>5.6040800763789217E-8</v>
      </c>
      <c r="O320">
        <f t="shared" si="32"/>
        <v>0.2017468827496412</v>
      </c>
      <c r="P320">
        <v>33.7301</v>
      </c>
    </row>
    <row r="321" spans="1:16" x14ac:dyDescent="0.35">
      <c r="A321" t="s">
        <v>37</v>
      </c>
      <c r="B321" s="2">
        <v>44800</v>
      </c>
      <c r="C321" s="3">
        <v>0.64583333333333337</v>
      </c>
      <c r="D321" t="s">
        <v>40</v>
      </c>
      <c r="E321" t="s">
        <v>15</v>
      </c>
      <c r="F321" s="1" t="s">
        <v>38</v>
      </c>
      <c r="G321">
        <v>0.60799999999999998</v>
      </c>
      <c r="H321">
        <v>0.70699999999999996</v>
      </c>
      <c r="I321">
        <f t="shared" si="33"/>
        <v>0.16282894736842102</v>
      </c>
      <c r="J321">
        <f t="shared" si="34"/>
        <v>1.2740561830881321E-5</v>
      </c>
      <c r="K321">
        <f t="shared" si="35"/>
        <v>12.740561830881321</v>
      </c>
      <c r="L321">
        <v>4528.792189625</v>
      </c>
      <c r="M321">
        <f t="shared" si="30"/>
        <v>4.528792189625E-3</v>
      </c>
      <c r="N321">
        <f t="shared" si="31"/>
        <v>5.7699356911129717E-8</v>
      </c>
      <c r="O321">
        <f t="shared" si="32"/>
        <v>0.20771768488006698</v>
      </c>
      <c r="P321">
        <v>32.391100000000002</v>
      </c>
    </row>
    <row r="322" spans="1:16" x14ac:dyDescent="0.35">
      <c r="A322" t="s">
        <v>37</v>
      </c>
      <c r="B322" s="2">
        <v>44800</v>
      </c>
      <c r="C322" s="3">
        <v>0.66666666666666663</v>
      </c>
      <c r="D322" t="s">
        <v>40</v>
      </c>
      <c r="E322" t="s">
        <v>15</v>
      </c>
      <c r="F322" s="1" t="s">
        <v>38</v>
      </c>
      <c r="G322">
        <v>0.60399999999999998</v>
      </c>
      <c r="H322">
        <v>0.70699999999999996</v>
      </c>
      <c r="I322">
        <f t="shared" si="33"/>
        <v>0.17052980132450329</v>
      </c>
      <c r="J322">
        <f t="shared" si="34"/>
        <v>1.3486309232833011E-5</v>
      </c>
      <c r="K322">
        <f t="shared" si="35"/>
        <v>13.48630923283301</v>
      </c>
      <c r="L322">
        <v>4528.792189625</v>
      </c>
      <c r="M322">
        <f t="shared" si="30"/>
        <v>4.528792189625E-3</v>
      </c>
      <c r="N322">
        <f t="shared" si="31"/>
        <v>6.107669192052166E-8</v>
      </c>
      <c r="O322">
        <f t="shared" si="32"/>
        <v>0.21987609091387797</v>
      </c>
      <c r="P322">
        <v>28.613099999999999</v>
      </c>
    </row>
    <row r="323" spans="1:16" x14ac:dyDescent="0.35">
      <c r="A323" t="s">
        <v>37</v>
      </c>
      <c r="B323" s="2">
        <v>44800</v>
      </c>
      <c r="C323" s="3">
        <v>0.6875</v>
      </c>
      <c r="D323" t="s">
        <v>40</v>
      </c>
      <c r="E323" t="s">
        <v>15</v>
      </c>
      <c r="F323" s="1" t="s">
        <v>38</v>
      </c>
      <c r="G323">
        <v>0.60299999999999998</v>
      </c>
      <c r="H323">
        <v>0.70699999999999996</v>
      </c>
      <c r="I323">
        <f t="shared" si="33"/>
        <v>0.17247097844112766</v>
      </c>
      <c r="J323">
        <f t="shared" si="34"/>
        <v>1.367553706164619E-5</v>
      </c>
      <c r="K323">
        <f t="shared" si="35"/>
        <v>13.675537061646191</v>
      </c>
      <c r="L323">
        <v>4528.792189625</v>
      </c>
      <c r="M323">
        <f t="shared" ref="M323:M337" si="36">L323/1000000</f>
        <v>4.528792189625E-3</v>
      </c>
      <c r="N323">
        <f t="shared" ref="N323:N337" si="37">J323*M323</f>
        <v>6.1933665433710482E-8</v>
      </c>
      <c r="O323">
        <f t="shared" ref="O323:O337" si="38">N323*1000*3600</f>
        <v>0.22296119556135774</v>
      </c>
      <c r="P323">
        <v>29.746700000000001</v>
      </c>
    </row>
    <row r="324" spans="1:16" x14ac:dyDescent="0.35">
      <c r="A324" t="s">
        <v>37</v>
      </c>
      <c r="B324" s="2">
        <v>44800</v>
      </c>
      <c r="C324" s="3">
        <v>0.70833333333333337</v>
      </c>
      <c r="D324" t="s">
        <v>40</v>
      </c>
      <c r="E324" t="s">
        <v>15</v>
      </c>
      <c r="F324" s="1" t="s">
        <v>38</v>
      </c>
      <c r="G324">
        <v>0.60499999999999998</v>
      </c>
      <c r="H324">
        <v>0.70699999999999996</v>
      </c>
      <c r="I324">
        <f t="shared" si="33"/>
        <v>0.16859504132231401</v>
      </c>
      <c r="J324">
        <f t="shared" si="34"/>
        <v>1.3298201418994046E-5</v>
      </c>
      <c r="K324">
        <f t="shared" si="35"/>
        <v>13.298201418994047</v>
      </c>
      <c r="L324">
        <v>4528.792189625</v>
      </c>
      <c r="M324">
        <f t="shared" si="36"/>
        <v>4.528792189625E-3</v>
      </c>
      <c r="N324">
        <f t="shared" si="37"/>
        <v>6.0224790722400325E-8</v>
      </c>
      <c r="O324">
        <f t="shared" si="38"/>
        <v>0.21680924660064116</v>
      </c>
      <c r="P324">
        <v>26.706800000000001</v>
      </c>
    </row>
    <row r="325" spans="1:16" x14ac:dyDescent="0.35">
      <c r="A325" t="s">
        <v>37</v>
      </c>
      <c r="B325" s="2">
        <v>44800</v>
      </c>
      <c r="C325" s="3">
        <v>0.72916666666666663</v>
      </c>
      <c r="D325" t="s">
        <v>40</v>
      </c>
      <c r="E325" t="s">
        <v>15</v>
      </c>
      <c r="F325" s="1" t="s">
        <v>38</v>
      </c>
      <c r="G325">
        <v>0.61699999999999999</v>
      </c>
      <c r="H325">
        <v>0.70699999999999996</v>
      </c>
      <c r="I325">
        <f t="shared" si="33"/>
        <v>0.14586709886547808</v>
      </c>
      <c r="J325">
        <f t="shared" si="34"/>
        <v>1.1127009365432817E-5</v>
      </c>
      <c r="K325">
        <f t="shared" si="35"/>
        <v>11.127009365432817</v>
      </c>
      <c r="L325">
        <v>4528.792189625</v>
      </c>
      <c r="M325">
        <f t="shared" si="36"/>
        <v>4.528792189625E-3</v>
      </c>
      <c r="N325">
        <f t="shared" si="37"/>
        <v>5.0391913108056371E-8</v>
      </c>
      <c r="O325">
        <f t="shared" si="38"/>
        <v>0.18141088718900292</v>
      </c>
      <c r="P325">
        <v>24.7545</v>
      </c>
    </row>
    <row r="326" spans="1:16" x14ac:dyDescent="0.35">
      <c r="A326" t="s">
        <v>37</v>
      </c>
      <c r="B326" s="2">
        <v>44800</v>
      </c>
      <c r="C326" s="3">
        <v>0.75</v>
      </c>
      <c r="D326" t="s">
        <v>40</v>
      </c>
      <c r="E326" t="s">
        <v>15</v>
      </c>
      <c r="F326" s="1" t="s">
        <v>38</v>
      </c>
      <c r="G326">
        <v>0.63</v>
      </c>
      <c r="H326">
        <v>0.70699999999999996</v>
      </c>
      <c r="I326">
        <f t="shared" si="33"/>
        <v>0.12222222222222215</v>
      </c>
      <c r="J326">
        <f t="shared" si="34"/>
        <v>8.9501193710899229E-6</v>
      </c>
      <c r="K326">
        <f t="shared" si="35"/>
        <v>8.9501193710899223</v>
      </c>
      <c r="L326">
        <v>4528.792189625</v>
      </c>
      <c r="M326">
        <f t="shared" si="36"/>
        <v>4.528792189625E-3</v>
      </c>
      <c r="N326">
        <f t="shared" si="37"/>
        <v>4.0533230704003457E-8</v>
      </c>
      <c r="O326">
        <f t="shared" si="38"/>
        <v>0.14591963053441243</v>
      </c>
      <c r="P326">
        <v>21.6553</v>
      </c>
    </row>
    <row r="327" spans="1:16" x14ac:dyDescent="0.35">
      <c r="A327" t="s">
        <v>37</v>
      </c>
      <c r="B327" s="2">
        <v>44800</v>
      </c>
      <c r="C327" s="3">
        <v>0.77083333333333337</v>
      </c>
      <c r="D327" t="s">
        <v>40</v>
      </c>
      <c r="E327" t="s">
        <v>15</v>
      </c>
      <c r="F327" s="1" t="s">
        <v>38</v>
      </c>
      <c r="G327">
        <v>0.64500000000000002</v>
      </c>
      <c r="H327">
        <v>0.70699999999999996</v>
      </c>
      <c r="I327">
        <f t="shared" si="33"/>
        <v>9.6124031007751853E-2</v>
      </c>
      <c r="J327">
        <f t="shared" si="34"/>
        <v>6.6590629811062185E-6</v>
      </c>
      <c r="K327">
        <f t="shared" si="35"/>
        <v>6.659062981106219</v>
      </c>
      <c r="L327">
        <v>4528.792189625</v>
      </c>
      <c r="M327">
        <f t="shared" si="36"/>
        <v>4.528792189625E-3</v>
      </c>
      <c r="N327">
        <f t="shared" si="37"/>
        <v>3.0157512419054808E-8</v>
      </c>
      <c r="O327">
        <f t="shared" si="38"/>
        <v>0.10856704470859731</v>
      </c>
      <c r="P327">
        <v>21.886700000000001</v>
      </c>
    </row>
    <row r="328" spans="1:16" x14ac:dyDescent="0.35">
      <c r="A328" t="s">
        <v>37</v>
      </c>
      <c r="B328" s="2">
        <v>44800</v>
      </c>
      <c r="C328" s="3">
        <v>0.79166666666666663</v>
      </c>
      <c r="D328" t="s">
        <v>40</v>
      </c>
      <c r="E328" t="s">
        <v>15</v>
      </c>
      <c r="F328" s="1" t="s">
        <v>38</v>
      </c>
      <c r="G328">
        <v>0.65800000000000003</v>
      </c>
      <c r="H328">
        <v>0.70699999999999996</v>
      </c>
      <c r="I328">
        <f t="shared" si="33"/>
        <v>7.4468085106382878E-2</v>
      </c>
      <c r="J328">
        <f t="shared" si="34"/>
        <v>4.8634254251066576E-6</v>
      </c>
      <c r="K328">
        <f t="shared" si="35"/>
        <v>4.8634254251066578</v>
      </c>
      <c r="L328">
        <v>4528.792189625</v>
      </c>
      <c r="M328">
        <f t="shared" si="36"/>
        <v>4.528792189625E-3</v>
      </c>
      <c r="N328">
        <f t="shared" si="37"/>
        <v>2.2025443080046677E-8</v>
      </c>
      <c r="O328">
        <f t="shared" si="38"/>
        <v>7.9291595088168049E-2</v>
      </c>
      <c r="P328">
        <v>21.135999999999999</v>
      </c>
    </row>
    <row r="329" spans="1:16" x14ac:dyDescent="0.35">
      <c r="A329" t="s">
        <v>37</v>
      </c>
      <c r="B329" s="2">
        <v>44800</v>
      </c>
      <c r="C329" s="3">
        <v>0.8125</v>
      </c>
      <c r="D329" t="s">
        <v>40</v>
      </c>
      <c r="E329" t="s">
        <v>15</v>
      </c>
      <c r="F329" s="1" t="s">
        <v>38</v>
      </c>
      <c r="G329">
        <v>0.66800000000000004</v>
      </c>
      <c r="H329">
        <v>0.70699999999999996</v>
      </c>
      <c r="I329">
        <f t="shared" si="33"/>
        <v>5.8383233532934016E-2</v>
      </c>
      <c r="J329">
        <f t="shared" si="34"/>
        <v>3.60452189023467E-6</v>
      </c>
      <c r="K329">
        <f t="shared" si="35"/>
        <v>3.6045218902346701</v>
      </c>
      <c r="L329">
        <v>4528.792189625</v>
      </c>
      <c r="M329">
        <f t="shared" si="36"/>
        <v>4.528792189625E-3</v>
      </c>
      <c r="N329">
        <f t="shared" si="37"/>
        <v>1.6324130583827117E-8</v>
      </c>
      <c r="O329">
        <f t="shared" si="38"/>
        <v>5.8766870101777613E-2</v>
      </c>
      <c r="P329">
        <v>22.610600000000002</v>
      </c>
    </row>
    <row r="330" spans="1:16" x14ac:dyDescent="0.35">
      <c r="A330" t="s">
        <v>37</v>
      </c>
      <c r="B330" s="2">
        <v>44800</v>
      </c>
      <c r="C330" s="3">
        <v>0.83333333333333337</v>
      </c>
      <c r="D330" t="s">
        <v>40</v>
      </c>
      <c r="E330" t="s">
        <v>15</v>
      </c>
      <c r="F330" s="1" t="s">
        <v>38</v>
      </c>
      <c r="G330">
        <v>0.67600000000000005</v>
      </c>
      <c r="H330">
        <v>0.70699999999999996</v>
      </c>
      <c r="I330">
        <f t="shared" si="33"/>
        <v>4.5857988165680347E-2</v>
      </c>
      <c r="J330">
        <f t="shared" si="34"/>
        <v>2.6776192635507295E-6</v>
      </c>
      <c r="K330">
        <f t="shared" si="35"/>
        <v>2.6776192635507297</v>
      </c>
      <c r="L330">
        <v>4528.792189625</v>
      </c>
      <c r="M330">
        <f t="shared" si="36"/>
        <v>4.528792189625E-3</v>
      </c>
      <c r="N330">
        <f t="shared" si="37"/>
        <v>1.2126381207557989E-8</v>
      </c>
      <c r="O330">
        <f t="shared" si="38"/>
        <v>4.3654972347208755E-2</v>
      </c>
      <c r="P330">
        <v>22.5307</v>
      </c>
    </row>
    <row r="331" spans="1:16" x14ac:dyDescent="0.35">
      <c r="A331" t="s">
        <v>37</v>
      </c>
      <c r="B331" s="2">
        <v>44800</v>
      </c>
      <c r="C331" s="3">
        <v>0.85416666666666663</v>
      </c>
      <c r="D331" t="s">
        <v>40</v>
      </c>
      <c r="E331" t="s">
        <v>15</v>
      </c>
      <c r="F331" s="1" t="s">
        <v>38</v>
      </c>
      <c r="G331">
        <v>0.68300000000000005</v>
      </c>
      <c r="H331">
        <v>0.70699999999999996</v>
      </c>
      <c r="I331">
        <f t="shared" si="33"/>
        <v>3.5139092240116999E-2</v>
      </c>
      <c r="J331">
        <f t="shared" si="34"/>
        <v>1.9293681890557147E-6</v>
      </c>
      <c r="K331">
        <f t="shared" si="35"/>
        <v>1.9293681890557146</v>
      </c>
      <c r="L331">
        <v>4528.792189625</v>
      </c>
      <c r="M331">
        <f t="shared" si="36"/>
        <v>4.528792189625E-3</v>
      </c>
      <c r="N331">
        <f t="shared" si="37"/>
        <v>8.7377075855064503E-9</v>
      </c>
      <c r="O331">
        <f t="shared" si="38"/>
        <v>3.1455747307823217E-2</v>
      </c>
      <c r="P331">
        <v>22.331499999999998</v>
      </c>
    </row>
    <row r="332" spans="1:16" x14ac:dyDescent="0.35">
      <c r="A332" t="s">
        <v>37</v>
      </c>
      <c r="B332" s="2">
        <v>44800</v>
      </c>
      <c r="C332" s="3">
        <v>0.875</v>
      </c>
      <c r="D332" t="s">
        <v>40</v>
      </c>
      <c r="E332" t="s">
        <v>15</v>
      </c>
      <c r="F332" s="1" t="s">
        <v>38</v>
      </c>
      <c r="G332">
        <v>0.68799999999999994</v>
      </c>
      <c r="H332">
        <v>0.70699999999999996</v>
      </c>
      <c r="I332">
        <f t="shared" si="33"/>
        <v>2.761627906976747E-2</v>
      </c>
      <c r="J332">
        <f t="shared" si="34"/>
        <v>1.4342381710283452E-6</v>
      </c>
      <c r="K332">
        <f t="shared" si="35"/>
        <v>1.4342381710283452</v>
      </c>
      <c r="L332">
        <v>4528.792189625</v>
      </c>
      <c r="M332">
        <f t="shared" si="36"/>
        <v>4.528792189625E-3</v>
      </c>
      <c r="N332">
        <f t="shared" si="37"/>
        <v>6.495366627015214E-9</v>
      </c>
      <c r="O332">
        <f t="shared" si="38"/>
        <v>2.338331985725477E-2</v>
      </c>
      <c r="P332">
        <v>22.132000000000001</v>
      </c>
    </row>
    <row r="333" spans="1:16" x14ac:dyDescent="0.35">
      <c r="A333" t="s">
        <v>37</v>
      </c>
      <c r="B333" s="2">
        <v>44800</v>
      </c>
      <c r="C333" s="3">
        <v>0.89583333333333337</v>
      </c>
      <c r="D333" t="s">
        <v>40</v>
      </c>
      <c r="E333" t="s">
        <v>15</v>
      </c>
      <c r="F333" s="1" t="s">
        <v>38</v>
      </c>
      <c r="G333">
        <v>0.69199999999999995</v>
      </c>
      <c r="H333">
        <v>0.70699999999999996</v>
      </c>
      <c r="I333">
        <f t="shared" si="33"/>
        <v>2.1676300578034702E-2</v>
      </c>
      <c r="J333">
        <f t="shared" si="34"/>
        <v>1.0644976303741184E-6</v>
      </c>
      <c r="K333">
        <f t="shared" si="35"/>
        <v>1.0644976303741183</v>
      </c>
      <c r="L333">
        <v>4528.792189625</v>
      </c>
      <c r="M333">
        <f t="shared" si="36"/>
        <v>4.528792189625E-3</v>
      </c>
      <c r="N333">
        <f t="shared" si="37"/>
        <v>4.8208885543126276E-9</v>
      </c>
      <c r="O333">
        <f t="shared" si="38"/>
        <v>1.735519879552546E-2</v>
      </c>
      <c r="P333">
        <v>21.936800000000002</v>
      </c>
    </row>
    <row r="334" spans="1:16" x14ac:dyDescent="0.35">
      <c r="A334" t="s">
        <v>37</v>
      </c>
      <c r="B334" s="2">
        <v>44800</v>
      </c>
      <c r="C334" s="3">
        <v>0.91666666666666663</v>
      </c>
      <c r="D334" t="s">
        <v>40</v>
      </c>
      <c r="E334" t="s">
        <v>15</v>
      </c>
      <c r="F334" s="1" t="s">
        <v>38</v>
      </c>
      <c r="G334">
        <v>0.69499999999999995</v>
      </c>
      <c r="H334">
        <v>0.70699999999999996</v>
      </c>
      <c r="I334">
        <f t="shared" si="33"/>
        <v>1.7266187050359729E-2</v>
      </c>
      <c r="J334">
        <f t="shared" si="34"/>
        <v>8.0451802877347698E-7</v>
      </c>
      <c r="K334">
        <f t="shared" si="35"/>
        <v>0.804518028773477</v>
      </c>
      <c r="L334">
        <v>4528.792189625</v>
      </c>
      <c r="M334">
        <f t="shared" si="36"/>
        <v>4.528792189625E-3</v>
      </c>
      <c r="N334">
        <f t="shared" si="37"/>
        <v>3.6434949651218233E-9</v>
      </c>
      <c r="O334">
        <f t="shared" si="38"/>
        <v>1.3116581874438564E-2</v>
      </c>
      <c r="P334">
        <v>21.610299999999999</v>
      </c>
    </row>
    <row r="335" spans="1:16" x14ac:dyDescent="0.35">
      <c r="A335" t="s">
        <v>37</v>
      </c>
      <c r="B335" s="2">
        <v>44800</v>
      </c>
      <c r="C335" s="3">
        <v>0.9375</v>
      </c>
      <c r="D335" t="s">
        <v>40</v>
      </c>
      <c r="E335" t="s">
        <v>15</v>
      </c>
      <c r="F335" s="1" t="s">
        <v>38</v>
      </c>
      <c r="G335">
        <v>0.69699999999999995</v>
      </c>
      <c r="H335">
        <v>0.70699999999999996</v>
      </c>
      <c r="I335">
        <f t="shared" si="33"/>
        <v>1.4347202295552381E-2</v>
      </c>
      <c r="J335">
        <f t="shared" si="34"/>
        <v>6.4051220778139019E-7</v>
      </c>
      <c r="K335">
        <f t="shared" si="35"/>
        <v>0.64051220778139017</v>
      </c>
      <c r="L335">
        <v>4528.792189625</v>
      </c>
      <c r="M335">
        <f t="shared" si="36"/>
        <v>4.528792189625E-3</v>
      </c>
      <c r="N335">
        <f t="shared" si="37"/>
        <v>2.9007466839598249E-9</v>
      </c>
      <c r="O335">
        <f t="shared" si="38"/>
        <v>1.044268806225537E-2</v>
      </c>
      <c r="P335">
        <v>21.201899999999998</v>
      </c>
    </row>
    <row r="336" spans="1:16" x14ac:dyDescent="0.35">
      <c r="A336" t="s">
        <v>37</v>
      </c>
      <c r="B336" s="2">
        <v>44800</v>
      </c>
      <c r="C336" s="3">
        <v>0.95833333333333337</v>
      </c>
      <c r="D336" t="s">
        <v>40</v>
      </c>
      <c r="E336" t="s">
        <v>15</v>
      </c>
      <c r="F336" s="1" t="s">
        <v>38</v>
      </c>
      <c r="G336">
        <v>0.69899999999999995</v>
      </c>
      <c r="H336">
        <v>0.70699999999999996</v>
      </c>
      <c r="I336">
        <f t="shared" si="33"/>
        <v>1.1444921316165962E-2</v>
      </c>
      <c r="J336">
        <f t="shared" si="34"/>
        <v>4.849526446200464E-7</v>
      </c>
      <c r="K336">
        <f t="shared" si="35"/>
        <v>0.48495264462004639</v>
      </c>
      <c r="L336">
        <v>4528.792189625</v>
      </c>
      <c r="M336">
        <f t="shared" si="36"/>
        <v>4.528792189625E-3</v>
      </c>
      <c r="N336">
        <f t="shared" si="37"/>
        <v>2.1962497492932545E-9</v>
      </c>
      <c r="O336">
        <f t="shared" si="38"/>
        <v>7.9064990974557162E-3</v>
      </c>
      <c r="P336">
        <v>20.816600000000001</v>
      </c>
    </row>
    <row r="337" spans="1:16" x14ac:dyDescent="0.35">
      <c r="A337" t="s">
        <v>37</v>
      </c>
      <c r="B337" s="2">
        <v>44800</v>
      </c>
      <c r="C337" s="3">
        <v>0.97916666666666663</v>
      </c>
      <c r="D337" t="s">
        <v>40</v>
      </c>
      <c r="E337" t="s">
        <v>15</v>
      </c>
      <c r="F337" s="1" t="s">
        <v>38</v>
      </c>
      <c r="G337">
        <v>0.7</v>
      </c>
      <c r="H337">
        <v>0.70699999999999996</v>
      </c>
      <c r="I337">
        <f t="shared" si="33"/>
        <v>1.0000000000000009E-2</v>
      </c>
      <c r="J337">
        <f t="shared" si="34"/>
        <v>4.107210498096689E-7</v>
      </c>
      <c r="K337">
        <f t="shared" si="35"/>
        <v>0.41072104980966889</v>
      </c>
      <c r="L337">
        <v>4528.792189625</v>
      </c>
      <c r="M337">
        <f t="shared" si="36"/>
        <v>4.528792189625E-3</v>
      </c>
      <c r="N337">
        <f t="shared" si="37"/>
        <v>1.8600702824926091E-9</v>
      </c>
      <c r="O337">
        <f t="shared" si="38"/>
        <v>6.6962530169733933E-3</v>
      </c>
      <c r="P337">
        <v>20.130299999999998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8EE3-D93B-4AE6-BF8B-353451CDB15F}">
  <dimension ref="A1:J674"/>
  <sheetViews>
    <sheetView topLeftCell="A569" zoomScale="96" zoomScaleNormal="96" workbookViewId="0">
      <selection activeCell="L585" sqref="L585"/>
    </sheetView>
  </sheetViews>
  <sheetFormatPr defaultRowHeight="14.5" x14ac:dyDescent="0.35"/>
  <cols>
    <col min="1" max="1" width="10.54296875" bestFit="1" customWidth="1"/>
  </cols>
  <sheetData>
    <row r="1" spans="1:10" x14ac:dyDescent="0.35">
      <c r="A1" t="s">
        <v>4</v>
      </c>
      <c r="B1" s="1" t="s">
        <v>0</v>
      </c>
      <c r="C1" t="s">
        <v>1</v>
      </c>
      <c r="D1" t="s">
        <v>53</v>
      </c>
      <c r="E1" t="s">
        <v>2</v>
      </c>
      <c r="F1" t="s">
        <v>3</v>
      </c>
      <c r="G1" t="s">
        <v>57</v>
      </c>
      <c r="H1" t="s">
        <v>55</v>
      </c>
      <c r="I1" t="s">
        <v>56</v>
      </c>
      <c r="J1" t="s">
        <v>58</v>
      </c>
    </row>
    <row r="2" spans="1:10" x14ac:dyDescent="0.35">
      <c r="A2" t="s">
        <v>37</v>
      </c>
      <c r="B2" s="1">
        <v>44800</v>
      </c>
      <c r="C2" s="3">
        <v>0</v>
      </c>
      <c r="D2" t="s">
        <v>39</v>
      </c>
      <c r="E2" t="s">
        <v>17</v>
      </c>
      <c r="F2">
        <v>0.69</v>
      </c>
      <c r="G2">
        <f>MAX(F2:F49)</f>
        <v>0.71199999999999997</v>
      </c>
      <c r="H2">
        <f t="shared" ref="H2:H65" si="0">(G2-F2)/F2</f>
        <v>3.1884057971014526E-2</v>
      </c>
      <c r="I2">
        <f t="shared" ref="I2:I65" si="1">119*10^-6*(H2^1.231)</f>
        <v>1.7117725225701494E-6</v>
      </c>
      <c r="J2">
        <f>I2*10^6</f>
        <v>1.7117725225701494</v>
      </c>
    </row>
    <row r="3" spans="1:10" x14ac:dyDescent="0.35">
      <c r="A3" t="s">
        <v>37</v>
      </c>
      <c r="B3" s="2">
        <v>44800</v>
      </c>
      <c r="C3" s="3">
        <v>2.0833333333333332E-2</v>
      </c>
      <c r="D3" t="s">
        <v>39</v>
      </c>
      <c r="E3" t="s">
        <v>17</v>
      </c>
      <c r="F3">
        <v>0.69</v>
      </c>
      <c r="G3">
        <v>0.71199999999999997</v>
      </c>
      <c r="H3">
        <f t="shared" si="0"/>
        <v>3.1884057971014526E-2</v>
      </c>
      <c r="I3">
        <f t="shared" si="1"/>
        <v>1.7117725225701494E-6</v>
      </c>
      <c r="J3">
        <f t="shared" ref="J3:J66" si="2">I3*10^6</f>
        <v>1.7117725225701494</v>
      </c>
    </row>
    <row r="4" spans="1:10" x14ac:dyDescent="0.35">
      <c r="A4" t="s">
        <v>37</v>
      </c>
      <c r="B4" s="2">
        <v>44800</v>
      </c>
      <c r="C4" s="3">
        <v>4.1666666666666664E-2</v>
      </c>
      <c r="D4" t="s">
        <v>39</v>
      </c>
      <c r="E4" t="s">
        <v>17</v>
      </c>
      <c r="F4">
        <v>0.69099999999999995</v>
      </c>
      <c r="G4">
        <v>0.71199999999999997</v>
      </c>
      <c r="H4">
        <f t="shared" si="0"/>
        <v>3.0390738060781505E-2</v>
      </c>
      <c r="I4">
        <f t="shared" si="1"/>
        <v>1.6136206271569273E-6</v>
      </c>
      <c r="J4">
        <f t="shared" si="2"/>
        <v>1.6136206271569273</v>
      </c>
    </row>
    <row r="5" spans="1:10" x14ac:dyDescent="0.35">
      <c r="A5" t="s">
        <v>37</v>
      </c>
      <c r="B5" s="2">
        <v>44800</v>
      </c>
      <c r="C5" s="3">
        <v>6.25E-2</v>
      </c>
      <c r="D5" t="s">
        <v>39</v>
      </c>
      <c r="E5" t="s">
        <v>17</v>
      </c>
      <c r="F5">
        <v>0.69199999999999995</v>
      </c>
      <c r="G5">
        <v>0.71199999999999997</v>
      </c>
      <c r="H5">
        <f t="shared" si="0"/>
        <v>2.890173410404627E-2</v>
      </c>
      <c r="I5">
        <f t="shared" si="1"/>
        <v>1.5168557555174441E-6</v>
      </c>
      <c r="J5">
        <f t="shared" si="2"/>
        <v>1.516855755517444</v>
      </c>
    </row>
    <row r="6" spans="1:10" x14ac:dyDescent="0.35">
      <c r="A6" t="s">
        <v>37</v>
      </c>
      <c r="B6" s="2">
        <v>44800</v>
      </c>
      <c r="C6" s="3">
        <v>8.3333333333333329E-2</v>
      </c>
      <c r="D6" t="s">
        <v>39</v>
      </c>
      <c r="E6" t="s">
        <v>17</v>
      </c>
      <c r="F6">
        <v>0.69099999999999995</v>
      </c>
      <c r="G6">
        <v>0.71199999999999997</v>
      </c>
      <c r="H6">
        <f t="shared" si="0"/>
        <v>3.0390738060781505E-2</v>
      </c>
      <c r="I6">
        <f t="shared" si="1"/>
        <v>1.6136206271569273E-6</v>
      </c>
      <c r="J6">
        <f t="shared" si="2"/>
        <v>1.6136206271569273</v>
      </c>
    </row>
    <row r="7" spans="1:10" x14ac:dyDescent="0.35">
      <c r="A7" t="s">
        <v>37</v>
      </c>
      <c r="B7" s="2">
        <v>44800</v>
      </c>
      <c r="C7" s="3">
        <v>0.10416666666666667</v>
      </c>
      <c r="D7" t="s">
        <v>39</v>
      </c>
      <c r="E7" t="s">
        <v>17</v>
      </c>
      <c r="F7">
        <v>0.69099999999999995</v>
      </c>
      <c r="G7">
        <v>0.71199999999999997</v>
      </c>
      <c r="H7">
        <f t="shared" si="0"/>
        <v>3.0390738060781505E-2</v>
      </c>
      <c r="I7">
        <f t="shared" si="1"/>
        <v>1.6136206271569273E-6</v>
      </c>
      <c r="J7">
        <f t="shared" si="2"/>
        <v>1.6136206271569273</v>
      </c>
    </row>
    <row r="8" spans="1:10" x14ac:dyDescent="0.35">
      <c r="A8" t="s">
        <v>37</v>
      </c>
      <c r="B8" s="2">
        <v>44800</v>
      </c>
      <c r="C8" s="3">
        <v>0.125</v>
      </c>
      <c r="D8" t="s">
        <v>39</v>
      </c>
      <c r="E8" t="s">
        <v>17</v>
      </c>
      <c r="F8">
        <v>0.69199999999999995</v>
      </c>
      <c r="G8">
        <v>0.71199999999999997</v>
      </c>
      <c r="H8">
        <f t="shared" si="0"/>
        <v>2.890173410404627E-2</v>
      </c>
      <c r="I8">
        <f t="shared" si="1"/>
        <v>1.5168557555174441E-6</v>
      </c>
      <c r="J8">
        <f t="shared" si="2"/>
        <v>1.516855755517444</v>
      </c>
    </row>
    <row r="9" spans="1:10" x14ac:dyDescent="0.35">
      <c r="A9" t="s">
        <v>37</v>
      </c>
      <c r="B9" s="2">
        <v>44800</v>
      </c>
      <c r="C9" s="3">
        <v>0.14583333333333334</v>
      </c>
      <c r="D9" t="s">
        <v>39</v>
      </c>
      <c r="E9" t="s">
        <v>17</v>
      </c>
      <c r="F9">
        <v>0.69299999999999995</v>
      </c>
      <c r="G9">
        <v>0.71199999999999997</v>
      </c>
      <c r="H9">
        <f t="shared" si="0"/>
        <v>2.7417027417027444E-2</v>
      </c>
      <c r="I9">
        <f t="shared" si="1"/>
        <v>1.4215103703831553E-6</v>
      </c>
      <c r="J9">
        <f t="shared" si="2"/>
        <v>1.4215103703831553</v>
      </c>
    </row>
    <row r="10" spans="1:10" x14ac:dyDescent="0.35">
      <c r="A10" t="s">
        <v>37</v>
      </c>
      <c r="B10" s="2">
        <v>44800</v>
      </c>
      <c r="C10" s="3">
        <v>0.16666666666666666</v>
      </c>
      <c r="D10" t="s">
        <v>39</v>
      </c>
      <c r="E10" t="s">
        <v>17</v>
      </c>
      <c r="F10">
        <v>0.69399999999999995</v>
      </c>
      <c r="G10">
        <v>0.71199999999999997</v>
      </c>
      <c r="H10">
        <f t="shared" si="0"/>
        <v>2.5936599423631149E-2</v>
      </c>
      <c r="I10">
        <f t="shared" si="1"/>
        <v>1.3276203693028785E-6</v>
      </c>
      <c r="J10">
        <f t="shared" si="2"/>
        <v>1.3276203693028785</v>
      </c>
    </row>
    <row r="11" spans="1:10" x14ac:dyDescent="0.35">
      <c r="A11" t="s">
        <v>37</v>
      </c>
      <c r="B11" s="2">
        <v>44800</v>
      </c>
      <c r="C11" s="3">
        <v>0.1875</v>
      </c>
      <c r="D11" t="s">
        <v>39</v>
      </c>
      <c r="E11" t="s">
        <v>17</v>
      </c>
      <c r="F11">
        <v>0.69399999999999995</v>
      </c>
      <c r="G11">
        <v>0.71199999999999997</v>
      </c>
      <c r="H11">
        <f t="shared" si="0"/>
        <v>2.5936599423631149E-2</v>
      </c>
      <c r="I11">
        <f t="shared" si="1"/>
        <v>1.3276203693028785E-6</v>
      </c>
      <c r="J11">
        <f t="shared" si="2"/>
        <v>1.3276203693028785</v>
      </c>
    </row>
    <row r="12" spans="1:10" x14ac:dyDescent="0.35">
      <c r="A12" t="s">
        <v>37</v>
      </c>
      <c r="B12" s="2">
        <v>44800</v>
      </c>
      <c r="C12" s="3">
        <v>0.20833333333333334</v>
      </c>
      <c r="D12" t="s">
        <v>39</v>
      </c>
      <c r="E12" t="s">
        <v>17</v>
      </c>
      <c r="F12">
        <v>0.69599999999999995</v>
      </c>
      <c r="G12">
        <v>0.71199999999999997</v>
      </c>
      <c r="H12">
        <f t="shared" si="0"/>
        <v>2.2988505747126457E-2</v>
      </c>
      <c r="I12">
        <f t="shared" si="1"/>
        <v>1.1443705848614467E-6</v>
      </c>
      <c r="J12">
        <f t="shared" si="2"/>
        <v>1.1443705848614467</v>
      </c>
    </row>
    <row r="13" spans="1:10" x14ac:dyDescent="0.35">
      <c r="A13" t="s">
        <v>37</v>
      </c>
      <c r="B13" s="2">
        <v>44800</v>
      </c>
      <c r="C13" s="3">
        <v>0.22916666666666666</v>
      </c>
      <c r="D13" t="s">
        <v>39</v>
      </c>
      <c r="E13" t="s">
        <v>17</v>
      </c>
      <c r="F13">
        <v>0.69599999999999995</v>
      </c>
      <c r="G13">
        <v>0.71199999999999997</v>
      </c>
      <c r="H13">
        <f t="shared" si="0"/>
        <v>2.2988505747126457E-2</v>
      </c>
      <c r="I13">
        <f t="shared" si="1"/>
        <v>1.1443705848614467E-6</v>
      </c>
      <c r="J13">
        <f t="shared" si="2"/>
        <v>1.1443705848614467</v>
      </c>
    </row>
    <row r="14" spans="1:10" x14ac:dyDescent="0.35">
      <c r="A14" t="s">
        <v>37</v>
      </c>
      <c r="B14" s="2">
        <v>44800</v>
      </c>
      <c r="C14" s="3">
        <v>0.25</v>
      </c>
      <c r="D14" t="s">
        <v>39</v>
      </c>
      <c r="E14" t="s">
        <v>17</v>
      </c>
      <c r="F14">
        <v>0.69499999999999995</v>
      </c>
      <c r="G14">
        <v>0.71199999999999997</v>
      </c>
      <c r="H14">
        <f t="shared" si="0"/>
        <v>2.4460431654676283E-2</v>
      </c>
      <c r="I14">
        <f t="shared" si="1"/>
        <v>1.2352256151837207E-6</v>
      </c>
      <c r="J14">
        <f t="shared" si="2"/>
        <v>1.2352256151837206</v>
      </c>
    </row>
    <row r="15" spans="1:10" x14ac:dyDescent="0.35">
      <c r="A15" t="s">
        <v>37</v>
      </c>
      <c r="B15" s="2">
        <v>44800</v>
      </c>
      <c r="C15" s="3">
        <v>0.27083333333333331</v>
      </c>
      <c r="D15" t="s">
        <v>39</v>
      </c>
      <c r="E15" t="s">
        <v>17</v>
      </c>
      <c r="F15">
        <v>0.69599999999999995</v>
      </c>
      <c r="G15">
        <v>0.71199999999999997</v>
      </c>
      <c r="H15">
        <f t="shared" si="0"/>
        <v>2.2988505747126457E-2</v>
      </c>
      <c r="I15">
        <f t="shared" si="1"/>
        <v>1.1443705848614467E-6</v>
      </c>
      <c r="J15">
        <f t="shared" si="2"/>
        <v>1.1443705848614467</v>
      </c>
    </row>
    <row r="16" spans="1:10" x14ac:dyDescent="0.35">
      <c r="A16" t="s">
        <v>37</v>
      </c>
      <c r="B16" s="2">
        <v>44800</v>
      </c>
      <c r="C16" s="3">
        <v>0.29166666666666669</v>
      </c>
      <c r="D16" t="s">
        <v>39</v>
      </c>
      <c r="E16" t="s">
        <v>17</v>
      </c>
      <c r="F16">
        <v>0.69499999999999995</v>
      </c>
      <c r="G16">
        <v>0.71199999999999997</v>
      </c>
      <c r="H16">
        <f t="shared" si="0"/>
        <v>2.4460431654676283E-2</v>
      </c>
      <c r="I16">
        <f t="shared" si="1"/>
        <v>1.2352256151837207E-6</v>
      </c>
      <c r="J16">
        <f t="shared" si="2"/>
        <v>1.2352256151837206</v>
      </c>
    </row>
    <row r="17" spans="1:10" x14ac:dyDescent="0.35">
      <c r="A17" t="s">
        <v>37</v>
      </c>
      <c r="B17" s="2">
        <v>44800</v>
      </c>
      <c r="C17" s="3">
        <v>0.3125</v>
      </c>
      <c r="D17" t="s">
        <v>39</v>
      </c>
      <c r="E17" t="s">
        <v>17</v>
      </c>
      <c r="F17">
        <v>0.69199999999999995</v>
      </c>
      <c r="G17">
        <v>0.71199999999999997</v>
      </c>
      <c r="H17">
        <f t="shared" si="0"/>
        <v>2.890173410404627E-2</v>
      </c>
      <c r="I17">
        <f t="shared" si="1"/>
        <v>1.5168557555174441E-6</v>
      </c>
      <c r="J17">
        <f t="shared" si="2"/>
        <v>1.516855755517444</v>
      </c>
    </row>
    <row r="18" spans="1:10" x14ac:dyDescent="0.35">
      <c r="A18" t="s">
        <v>37</v>
      </c>
      <c r="B18" s="2">
        <v>44800</v>
      </c>
      <c r="C18" s="3">
        <v>0.33333333333333331</v>
      </c>
      <c r="D18" t="s">
        <v>39</v>
      </c>
      <c r="E18" t="s">
        <v>17</v>
      </c>
      <c r="F18">
        <v>0.67700000000000005</v>
      </c>
      <c r="G18">
        <v>0.71199999999999997</v>
      </c>
      <c r="H18">
        <f t="shared" si="0"/>
        <v>5.1698670605612874E-2</v>
      </c>
      <c r="I18">
        <f t="shared" si="1"/>
        <v>3.1034165572502746E-6</v>
      </c>
      <c r="J18">
        <f t="shared" si="2"/>
        <v>3.1034165572502745</v>
      </c>
    </row>
    <row r="19" spans="1:10" x14ac:dyDescent="0.35">
      <c r="A19" t="s">
        <v>37</v>
      </c>
      <c r="B19" s="2">
        <v>44800</v>
      </c>
      <c r="C19" s="3">
        <v>0.35416666666666669</v>
      </c>
      <c r="D19" t="s">
        <v>39</v>
      </c>
      <c r="E19" t="s">
        <v>17</v>
      </c>
      <c r="F19">
        <v>0.63300000000000001</v>
      </c>
      <c r="G19">
        <v>0.71199999999999997</v>
      </c>
      <c r="H19">
        <f t="shared" si="0"/>
        <v>0.12480252764612948</v>
      </c>
      <c r="I19">
        <f t="shared" si="1"/>
        <v>9.1832824845138417E-6</v>
      </c>
      <c r="J19">
        <f t="shared" si="2"/>
        <v>9.1832824845138425</v>
      </c>
    </row>
    <row r="20" spans="1:10" x14ac:dyDescent="0.35">
      <c r="A20" t="s">
        <v>37</v>
      </c>
      <c r="B20" s="2">
        <v>44800</v>
      </c>
      <c r="C20" s="3">
        <v>0.375</v>
      </c>
      <c r="D20" t="s">
        <v>39</v>
      </c>
      <c r="E20" t="s">
        <v>17</v>
      </c>
      <c r="F20">
        <v>0.55700000000000005</v>
      </c>
      <c r="G20">
        <v>0.71199999999999997</v>
      </c>
      <c r="H20">
        <f t="shared" si="0"/>
        <v>0.27827648114901238</v>
      </c>
      <c r="I20">
        <f t="shared" si="1"/>
        <v>2.4643224675885302E-5</v>
      </c>
      <c r="J20">
        <f t="shared" si="2"/>
        <v>24.643224675885303</v>
      </c>
    </row>
    <row r="21" spans="1:10" x14ac:dyDescent="0.35">
      <c r="A21" t="s">
        <v>37</v>
      </c>
      <c r="B21" s="2">
        <v>44800</v>
      </c>
      <c r="C21" s="3">
        <v>0.39583333333333331</v>
      </c>
      <c r="D21" t="s">
        <v>39</v>
      </c>
      <c r="E21" t="s">
        <v>17</v>
      </c>
      <c r="F21">
        <v>0.47799999999999998</v>
      </c>
      <c r="G21">
        <v>0.71199999999999997</v>
      </c>
      <c r="H21">
        <f t="shared" si="0"/>
        <v>0.4895397489539749</v>
      </c>
      <c r="I21">
        <f t="shared" si="1"/>
        <v>4.9394198321873994E-5</v>
      </c>
      <c r="J21">
        <f t="shared" si="2"/>
        <v>49.394198321873994</v>
      </c>
    </row>
    <row r="22" spans="1:10" x14ac:dyDescent="0.35">
      <c r="A22" t="s">
        <v>37</v>
      </c>
      <c r="B22" s="2">
        <v>44800</v>
      </c>
      <c r="C22" s="3">
        <v>0.41666666666666669</v>
      </c>
      <c r="D22" t="s">
        <v>39</v>
      </c>
      <c r="E22" t="s">
        <v>17</v>
      </c>
      <c r="F22">
        <v>0.42899999999999999</v>
      </c>
      <c r="G22">
        <v>0.71199999999999997</v>
      </c>
      <c r="H22">
        <f t="shared" si="0"/>
        <v>0.65967365967365965</v>
      </c>
      <c r="I22">
        <f t="shared" si="1"/>
        <v>7.1308473046030613E-5</v>
      </c>
      <c r="J22">
        <f t="shared" si="2"/>
        <v>71.308473046030613</v>
      </c>
    </row>
    <row r="23" spans="1:10" x14ac:dyDescent="0.35">
      <c r="A23" t="s">
        <v>37</v>
      </c>
      <c r="B23" s="2">
        <v>44800</v>
      </c>
      <c r="C23" s="3">
        <v>0.4375</v>
      </c>
      <c r="D23" t="s">
        <v>39</v>
      </c>
      <c r="E23" t="s">
        <v>17</v>
      </c>
      <c r="F23">
        <v>0.42299999999999999</v>
      </c>
      <c r="G23">
        <v>0.71199999999999997</v>
      </c>
      <c r="H23">
        <f t="shared" si="0"/>
        <v>0.68321513002364065</v>
      </c>
      <c r="I23">
        <f t="shared" si="1"/>
        <v>7.4453859189111947E-5</v>
      </c>
      <c r="J23">
        <f t="shared" si="2"/>
        <v>74.453859189111952</v>
      </c>
    </row>
    <row r="24" spans="1:10" x14ac:dyDescent="0.35">
      <c r="A24" t="s">
        <v>37</v>
      </c>
      <c r="B24" s="2">
        <v>44800</v>
      </c>
      <c r="C24" s="3">
        <v>0.45833333333333331</v>
      </c>
      <c r="D24" t="s">
        <v>39</v>
      </c>
      <c r="E24" t="s">
        <v>17</v>
      </c>
      <c r="F24">
        <v>0.433</v>
      </c>
      <c r="G24">
        <v>0.71199999999999997</v>
      </c>
      <c r="H24">
        <f t="shared" si="0"/>
        <v>0.6443418013856812</v>
      </c>
      <c r="I24">
        <f t="shared" si="1"/>
        <v>6.9273819745106064E-5</v>
      </c>
      <c r="J24">
        <f t="shared" si="2"/>
        <v>69.273819745106067</v>
      </c>
    </row>
    <row r="25" spans="1:10" x14ac:dyDescent="0.35">
      <c r="A25" t="s">
        <v>37</v>
      </c>
      <c r="B25" s="2">
        <v>44800</v>
      </c>
      <c r="C25" s="3">
        <v>0.47916666666666669</v>
      </c>
      <c r="D25" t="s">
        <v>39</v>
      </c>
      <c r="E25" t="s">
        <v>17</v>
      </c>
      <c r="F25">
        <v>0.44</v>
      </c>
      <c r="G25">
        <v>0.71199999999999997</v>
      </c>
      <c r="H25">
        <f t="shared" si="0"/>
        <v>0.61818181818181805</v>
      </c>
      <c r="I25">
        <f t="shared" si="1"/>
        <v>6.5828057149242567E-5</v>
      </c>
      <c r="J25">
        <f t="shared" si="2"/>
        <v>65.828057149242568</v>
      </c>
    </row>
    <row r="26" spans="1:10" x14ac:dyDescent="0.35">
      <c r="A26" t="s">
        <v>37</v>
      </c>
      <c r="B26" s="2">
        <v>44800</v>
      </c>
      <c r="C26" s="3">
        <v>0.5</v>
      </c>
      <c r="D26" t="s">
        <v>39</v>
      </c>
      <c r="E26" t="s">
        <v>17</v>
      </c>
      <c r="F26">
        <v>0.44400000000000001</v>
      </c>
      <c r="G26">
        <v>0.71199999999999997</v>
      </c>
      <c r="H26">
        <f t="shared" si="0"/>
        <v>0.60360360360360354</v>
      </c>
      <c r="I26">
        <f t="shared" si="1"/>
        <v>6.3922309363183348E-5</v>
      </c>
      <c r="J26">
        <f t="shared" si="2"/>
        <v>63.922309363183345</v>
      </c>
    </row>
    <row r="27" spans="1:10" x14ac:dyDescent="0.35">
      <c r="A27" t="s">
        <v>37</v>
      </c>
      <c r="B27" s="2">
        <v>44800</v>
      </c>
      <c r="C27" s="3">
        <v>0.52083333333333337</v>
      </c>
      <c r="D27" t="s">
        <v>39</v>
      </c>
      <c r="E27" t="s">
        <v>17</v>
      </c>
      <c r="F27">
        <v>0.44400000000000001</v>
      </c>
      <c r="G27">
        <v>0.71199999999999997</v>
      </c>
      <c r="H27">
        <f t="shared" si="0"/>
        <v>0.60360360360360354</v>
      </c>
      <c r="I27">
        <f t="shared" si="1"/>
        <v>6.3922309363183348E-5</v>
      </c>
      <c r="J27">
        <f t="shared" si="2"/>
        <v>63.922309363183345</v>
      </c>
    </row>
    <row r="28" spans="1:10" x14ac:dyDescent="0.35">
      <c r="A28" t="s">
        <v>37</v>
      </c>
      <c r="B28" s="2">
        <v>44800</v>
      </c>
      <c r="C28" s="3">
        <v>0.54166666666666663</v>
      </c>
      <c r="D28" t="s">
        <v>39</v>
      </c>
      <c r="E28" t="s">
        <v>17</v>
      </c>
      <c r="F28">
        <v>0.45400000000000001</v>
      </c>
      <c r="G28">
        <v>0.71199999999999997</v>
      </c>
      <c r="H28">
        <f t="shared" si="0"/>
        <v>0.56828193832599105</v>
      </c>
      <c r="I28">
        <f t="shared" si="1"/>
        <v>5.9349226692667259E-5</v>
      </c>
      <c r="J28">
        <f t="shared" si="2"/>
        <v>59.349226692667258</v>
      </c>
    </row>
    <row r="29" spans="1:10" x14ac:dyDescent="0.35">
      <c r="A29" t="s">
        <v>37</v>
      </c>
      <c r="B29" s="2">
        <v>44800</v>
      </c>
      <c r="C29" s="3">
        <v>0.5625</v>
      </c>
      <c r="D29" t="s">
        <v>39</v>
      </c>
      <c r="E29" t="s">
        <v>17</v>
      </c>
      <c r="F29">
        <v>0.47799999999999998</v>
      </c>
      <c r="G29">
        <v>0.71199999999999997</v>
      </c>
      <c r="H29">
        <f t="shared" si="0"/>
        <v>0.4895397489539749</v>
      </c>
      <c r="I29">
        <f t="shared" si="1"/>
        <v>4.9394198321873994E-5</v>
      </c>
      <c r="J29">
        <f t="shared" si="2"/>
        <v>49.394198321873994</v>
      </c>
    </row>
    <row r="30" spans="1:10" x14ac:dyDescent="0.35">
      <c r="A30" t="s">
        <v>37</v>
      </c>
      <c r="B30" s="2">
        <v>44800</v>
      </c>
      <c r="C30" s="3">
        <v>0.58333333333333337</v>
      </c>
      <c r="D30" t="s">
        <v>39</v>
      </c>
      <c r="E30" t="s">
        <v>17</v>
      </c>
      <c r="F30">
        <v>0.49299999999999999</v>
      </c>
      <c r="G30">
        <v>0.71199999999999997</v>
      </c>
      <c r="H30">
        <f t="shared" si="0"/>
        <v>0.4442190669371196</v>
      </c>
      <c r="I30">
        <f t="shared" si="1"/>
        <v>4.3826734122146072E-5</v>
      </c>
      <c r="J30">
        <f t="shared" si="2"/>
        <v>43.826734122146071</v>
      </c>
    </row>
    <row r="31" spans="1:10" x14ac:dyDescent="0.35">
      <c r="A31" t="s">
        <v>37</v>
      </c>
      <c r="B31" s="2">
        <v>44800</v>
      </c>
      <c r="C31" s="3">
        <v>0.60416666666666663</v>
      </c>
      <c r="D31" t="s">
        <v>39</v>
      </c>
      <c r="E31" t="s">
        <v>17</v>
      </c>
      <c r="F31">
        <v>0.48199999999999998</v>
      </c>
      <c r="G31">
        <v>0.71199999999999997</v>
      </c>
      <c r="H31">
        <f t="shared" si="0"/>
        <v>0.47717842323651449</v>
      </c>
      <c r="I31">
        <f t="shared" si="1"/>
        <v>4.7863342444670987E-5</v>
      </c>
      <c r="J31">
        <f t="shared" si="2"/>
        <v>47.863342444670984</v>
      </c>
    </row>
    <row r="32" spans="1:10" x14ac:dyDescent="0.35">
      <c r="A32" t="s">
        <v>37</v>
      </c>
      <c r="B32" s="2">
        <v>44800</v>
      </c>
      <c r="C32" s="3">
        <v>0.625</v>
      </c>
      <c r="D32" t="s">
        <v>39</v>
      </c>
      <c r="E32" t="s">
        <v>17</v>
      </c>
      <c r="F32">
        <v>0.47</v>
      </c>
      <c r="G32">
        <v>0.71199999999999997</v>
      </c>
      <c r="H32">
        <f t="shared" si="0"/>
        <v>0.51489361702127656</v>
      </c>
      <c r="I32">
        <f t="shared" si="1"/>
        <v>5.2561919140093823E-5</v>
      </c>
      <c r="J32">
        <f t="shared" si="2"/>
        <v>52.561919140093821</v>
      </c>
    </row>
    <row r="33" spans="1:10" x14ac:dyDescent="0.35">
      <c r="A33" t="s">
        <v>37</v>
      </c>
      <c r="B33" s="2">
        <v>44800</v>
      </c>
      <c r="C33" s="3">
        <v>0.64583333333333337</v>
      </c>
      <c r="D33" t="s">
        <v>39</v>
      </c>
      <c r="E33" t="s">
        <v>17</v>
      </c>
      <c r="F33">
        <v>0.46899999999999997</v>
      </c>
      <c r="G33">
        <v>0.71199999999999997</v>
      </c>
      <c r="H33">
        <f t="shared" si="0"/>
        <v>0.51812366737739879</v>
      </c>
      <c r="I33">
        <f t="shared" si="1"/>
        <v>5.2968114637909949E-5</v>
      </c>
      <c r="J33">
        <f t="shared" si="2"/>
        <v>52.968114637909949</v>
      </c>
    </row>
    <row r="34" spans="1:10" x14ac:dyDescent="0.35">
      <c r="A34" t="s">
        <v>37</v>
      </c>
      <c r="B34" s="2">
        <v>44800</v>
      </c>
      <c r="C34" s="3">
        <v>0.66666666666666663</v>
      </c>
      <c r="D34" t="s">
        <v>39</v>
      </c>
      <c r="E34" t="s">
        <v>17</v>
      </c>
      <c r="F34">
        <v>0.47599999999999998</v>
      </c>
      <c r="G34">
        <v>0.71199999999999997</v>
      </c>
      <c r="H34">
        <f t="shared" si="0"/>
        <v>0.49579831932773111</v>
      </c>
      <c r="I34">
        <f t="shared" si="1"/>
        <v>5.0172700625602138E-5</v>
      </c>
      <c r="J34">
        <f t="shared" si="2"/>
        <v>50.17270062560214</v>
      </c>
    </row>
    <row r="35" spans="1:10" x14ac:dyDescent="0.35">
      <c r="A35" t="s">
        <v>37</v>
      </c>
      <c r="B35" s="2">
        <v>44800</v>
      </c>
      <c r="C35" s="3">
        <v>0.6875</v>
      </c>
      <c r="D35" t="s">
        <v>39</v>
      </c>
      <c r="E35" t="s">
        <v>17</v>
      </c>
      <c r="F35">
        <v>0.51100000000000001</v>
      </c>
      <c r="G35">
        <v>0.71199999999999997</v>
      </c>
      <c r="H35">
        <f t="shared" si="0"/>
        <v>0.39334637964774943</v>
      </c>
      <c r="I35">
        <f t="shared" si="1"/>
        <v>3.7732465185749307E-5</v>
      </c>
      <c r="J35">
        <f t="shared" si="2"/>
        <v>37.732465185749305</v>
      </c>
    </row>
    <row r="36" spans="1:10" x14ac:dyDescent="0.35">
      <c r="A36" t="s">
        <v>37</v>
      </c>
      <c r="B36" s="2">
        <v>44800</v>
      </c>
      <c r="C36" s="3">
        <v>0.70833333333333337</v>
      </c>
      <c r="D36" t="s">
        <v>39</v>
      </c>
      <c r="E36" t="s">
        <v>17</v>
      </c>
      <c r="F36">
        <v>0.53400000000000003</v>
      </c>
      <c r="G36">
        <v>0.71199999999999997</v>
      </c>
      <c r="H36">
        <f t="shared" si="0"/>
        <v>0.3333333333333332</v>
      </c>
      <c r="I36">
        <f t="shared" si="1"/>
        <v>3.0775895371352015E-5</v>
      </c>
      <c r="J36">
        <f t="shared" si="2"/>
        <v>30.775895371352014</v>
      </c>
    </row>
    <row r="37" spans="1:10" x14ac:dyDescent="0.35">
      <c r="A37" t="s">
        <v>37</v>
      </c>
      <c r="B37" s="2">
        <v>44800</v>
      </c>
      <c r="C37" s="3">
        <v>0.72916666666666663</v>
      </c>
      <c r="D37" t="s">
        <v>39</v>
      </c>
      <c r="E37" t="s">
        <v>17</v>
      </c>
      <c r="F37">
        <v>0.56100000000000005</v>
      </c>
      <c r="G37">
        <v>0.71199999999999997</v>
      </c>
      <c r="H37">
        <f t="shared" si="0"/>
        <v>0.26916221033868076</v>
      </c>
      <c r="I37">
        <f t="shared" si="1"/>
        <v>2.3653439494439694E-5</v>
      </c>
      <c r="J37">
        <f t="shared" si="2"/>
        <v>23.653439494439695</v>
      </c>
    </row>
    <row r="38" spans="1:10" x14ac:dyDescent="0.35">
      <c r="A38" t="s">
        <v>37</v>
      </c>
      <c r="B38" s="2">
        <v>44800</v>
      </c>
      <c r="C38" s="3">
        <v>0.75</v>
      </c>
      <c r="D38" t="s">
        <v>39</v>
      </c>
      <c r="E38" t="s">
        <v>17</v>
      </c>
      <c r="F38">
        <v>0.59</v>
      </c>
      <c r="G38">
        <v>0.71199999999999997</v>
      </c>
      <c r="H38">
        <f t="shared" si="0"/>
        <v>0.20677966101694917</v>
      </c>
      <c r="I38">
        <f t="shared" si="1"/>
        <v>1.7097676143873657E-5</v>
      </c>
      <c r="J38">
        <f t="shared" si="2"/>
        <v>17.097676143873656</v>
      </c>
    </row>
    <row r="39" spans="1:10" x14ac:dyDescent="0.35">
      <c r="A39" t="s">
        <v>37</v>
      </c>
      <c r="B39" s="2">
        <v>44800</v>
      </c>
      <c r="C39" s="3">
        <v>0.77083333333333337</v>
      </c>
      <c r="D39" t="s">
        <v>39</v>
      </c>
      <c r="E39" t="s">
        <v>17</v>
      </c>
      <c r="F39">
        <v>0.624</v>
      </c>
      <c r="G39">
        <v>0.71199999999999997</v>
      </c>
      <c r="H39">
        <f t="shared" si="0"/>
        <v>0.14102564102564097</v>
      </c>
      <c r="I39">
        <f t="shared" si="1"/>
        <v>1.0674140154379386E-5</v>
      </c>
      <c r="J39">
        <f t="shared" si="2"/>
        <v>10.674140154379385</v>
      </c>
    </row>
    <row r="40" spans="1:10" x14ac:dyDescent="0.35">
      <c r="A40" t="s">
        <v>37</v>
      </c>
      <c r="B40" s="2">
        <v>44800</v>
      </c>
      <c r="C40" s="3">
        <v>0.79166666666666663</v>
      </c>
      <c r="D40" t="s">
        <v>39</v>
      </c>
      <c r="E40" t="s">
        <v>17</v>
      </c>
      <c r="F40">
        <v>0.65400000000000003</v>
      </c>
      <c r="G40">
        <v>0.71199999999999997</v>
      </c>
      <c r="H40">
        <f t="shared" si="0"/>
        <v>8.8685015290519781E-2</v>
      </c>
      <c r="I40">
        <f t="shared" si="1"/>
        <v>6.0304623903564444E-6</v>
      </c>
      <c r="J40">
        <f t="shared" si="2"/>
        <v>6.030462390356444</v>
      </c>
    </row>
    <row r="41" spans="1:10" x14ac:dyDescent="0.35">
      <c r="A41" t="s">
        <v>37</v>
      </c>
      <c r="B41" s="2">
        <v>44800</v>
      </c>
      <c r="C41" s="3">
        <v>0.8125</v>
      </c>
      <c r="D41" t="s">
        <v>39</v>
      </c>
      <c r="E41" t="s">
        <v>17</v>
      </c>
      <c r="F41">
        <v>0.67500000000000004</v>
      </c>
      <c r="G41">
        <v>0.71199999999999997</v>
      </c>
      <c r="H41">
        <f t="shared" si="0"/>
        <v>5.4814814814814698E-2</v>
      </c>
      <c r="I41">
        <f t="shared" si="1"/>
        <v>3.3352649487430821E-6</v>
      </c>
      <c r="J41">
        <f t="shared" si="2"/>
        <v>3.3352649487430819</v>
      </c>
    </row>
    <row r="42" spans="1:10" x14ac:dyDescent="0.35">
      <c r="A42" t="s">
        <v>37</v>
      </c>
      <c r="B42" s="2">
        <v>44800</v>
      </c>
      <c r="C42" s="3">
        <v>0.83333333333333337</v>
      </c>
      <c r="D42" t="s">
        <v>39</v>
      </c>
      <c r="E42" t="s">
        <v>17</v>
      </c>
      <c r="F42">
        <v>0.69</v>
      </c>
      <c r="G42">
        <v>0.71199999999999997</v>
      </c>
      <c r="H42">
        <f t="shared" si="0"/>
        <v>3.1884057971014526E-2</v>
      </c>
      <c r="I42">
        <f t="shared" si="1"/>
        <v>1.7117725225701494E-6</v>
      </c>
      <c r="J42">
        <f t="shared" si="2"/>
        <v>1.7117725225701494</v>
      </c>
    </row>
    <row r="43" spans="1:10" x14ac:dyDescent="0.35">
      <c r="A43" t="s">
        <v>37</v>
      </c>
      <c r="B43" s="2">
        <v>44800</v>
      </c>
      <c r="C43" s="3">
        <v>0.85416666666666663</v>
      </c>
      <c r="D43" t="s">
        <v>39</v>
      </c>
      <c r="E43" t="s">
        <v>17</v>
      </c>
      <c r="F43">
        <v>0.7</v>
      </c>
      <c r="G43">
        <v>0.71199999999999997</v>
      </c>
      <c r="H43">
        <f t="shared" si="0"/>
        <v>1.7142857142857158E-2</v>
      </c>
      <c r="I43">
        <f t="shared" si="1"/>
        <v>7.9744986345703485E-7</v>
      </c>
      <c r="J43">
        <f t="shared" si="2"/>
        <v>0.79744986345703484</v>
      </c>
    </row>
    <row r="44" spans="1:10" x14ac:dyDescent="0.35">
      <c r="A44" t="s">
        <v>37</v>
      </c>
      <c r="B44" s="2">
        <v>44800</v>
      </c>
      <c r="C44" s="3">
        <v>0.875</v>
      </c>
      <c r="D44" t="s">
        <v>39</v>
      </c>
      <c r="E44" t="s">
        <v>17</v>
      </c>
      <c r="F44">
        <v>0.70599999999999996</v>
      </c>
      <c r="G44">
        <v>0.71199999999999997</v>
      </c>
      <c r="H44">
        <f t="shared" si="0"/>
        <v>8.4985835694051069E-3</v>
      </c>
      <c r="I44">
        <f t="shared" si="1"/>
        <v>3.3618053471285987E-7</v>
      </c>
      <c r="J44">
        <f t="shared" si="2"/>
        <v>0.33618053471285986</v>
      </c>
    </row>
    <row r="45" spans="1:10" x14ac:dyDescent="0.35">
      <c r="A45" t="s">
        <v>37</v>
      </c>
      <c r="B45" s="2">
        <v>44800</v>
      </c>
      <c r="C45" s="3">
        <v>0.89583333333333337</v>
      </c>
      <c r="D45" t="s">
        <v>39</v>
      </c>
      <c r="E45" t="s">
        <v>17</v>
      </c>
      <c r="F45">
        <v>0.70899999999999996</v>
      </c>
      <c r="G45">
        <v>0.71199999999999997</v>
      </c>
      <c r="H45">
        <f t="shared" si="0"/>
        <v>4.2313117066290588E-3</v>
      </c>
      <c r="I45">
        <f t="shared" si="1"/>
        <v>1.4247468663541527E-7</v>
      </c>
      <c r="J45">
        <f t="shared" si="2"/>
        <v>0.14247468663541527</v>
      </c>
    </row>
    <row r="46" spans="1:10" x14ac:dyDescent="0.35">
      <c r="A46" t="s">
        <v>37</v>
      </c>
      <c r="B46" s="2">
        <v>44800</v>
      </c>
      <c r="C46" s="3">
        <v>0.91666666666666663</v>
      </c>
      <c r="D46" t="s">
        <v>39</v>
      </c>
      <c r="E46" t="s">
        <v>17</v>
      </c>
      <c r="F46">
        <v>0.71099999999999997</v>
      </c>
      <c r="G46">
        <v>0.71199999999999997</v>
      </c>
      <c r="H46">
        <f t="shared" si="0"/>
        <v>1.406469760900142E-3</v>
      </c>
      <c r="I46">
        <f t="shared" si="1"/>
        <v>3.6719392114743423E-8</v>
      </c>
      <c r="J46">
        <f t="shared" si="2"/>
        <v>3.671939211474342E-2</v>
      </c>
    </row>
    <row r="47" spans="1:10" x14ac:dyDescent="0.35">
      <c r="A47" t="s">
        <v>37</v>
      </c>
      <c r="B47" s="2">
        <v>44800</v>
      </c>
      <c r="C47" s="3">
        <v>0.9375</v>
      </c>
      <c r="D47" t="s">
        <v>39</v>
      </c>
      <c r="E47" t="s">
        <v>17</v>
      </c>
      <c r="F47">
        <v>0.71099999999999997</v>
      </c>
      <c r="G47">
        <v>0.71199999999999997</v>
      </c>
      <c r="H47">
        <f t="shared" si="0"/>
        <v>1.406469760900142E-3</v>
      </c>
      <c r="I47">
        <f t="shared" si="1"/>
        <v>3.6719392114743423E-8</v>
      </c>
      <c r="J47">
        <f t="shared" si="2"/>
        <v>3.671939211474342E-2</v>
      </c>
    </row>
    <row r="48" spans="1:10" x14ac:dyDescent="0.35">
      <c r="A48" t="s">
        <v>37</v>
      </c>
      <c r="B48" s="2">
        <v>44800</v>
      </c>
      <c r="C48" s="3">
        <v>0.95833333333333337</v>
      </c>
      <c r="D48" t="s">
        <v>39</v>
      </c>
      <c r="E48" t="s">
        <v>17</v>
      </c>
      <c r="F48">
        <v>0.71199999999999997</v>
      </c>
      <c r="G48">
        <v>0.71199999999999997</v>
      </c>
      <c r="H48">
        <f t="shared" si="0"/>
        <v>0</v>
      </c>
      <c r="I48">
        <f t="shared" si="1"/>
        <v>0</v>
      </c>
      <c r="J48">
        <f t="shared" si="2"/>
        <v>0</v>
      </c>
    </row>
    <row r="49" spans="1:10" x14ac:dyDescent="0.35">
      <c r="A49" t="s">
        <v>37</v>
      </c>
      <c r="B49" s="2">
        <v>44800</v>
      </c>
      <c r="C49" s="3">
        <v>0.97916666666666663</v>
      </c>
      <c r="D49" t="s">
        <v>39</v>
      </c>
      <c r="E49" t="s">
        <v>17</v>
      </c>
      <c r="F49">
        <v>0.71199999999999997</v>
      </c>
      <c r="G49">
        <v>0.71199999999999997</v>
      </c>
      <c r="H49">
        <f t="shared" si="0"/>
        <v>0</v>
      </c>
      <c r="I49">
        <f t="shared" si="1"/>
        <v>0</v>
      </c>
      <c r="J49">
        <f t="shared" si="2"/>
        <v>0</v>
      </c>
    </row>
    <row r="50" spans="1:10" x14ac:dyDescent="0.35">
      <c r="A50" t="s">
        <v>37</v>
      </c>
      <c r="B50" s="2">
        <v>44800</v>
      </c>
      <c r="C50" s="3">
        <v>0</v>
      </c>
      <c r="D50" t="s">
        <v>40</v>
      </c>
      <c r="E50" t="s">
        <v>15</v>
      </c>
      <c r="F50">
        <v>0.70399999999999996</v>
      </c>
      <c r="G50">
        <f>MAX(F50:F97)</f>
        <v>0.70699999999999996</v>
      </c>
      <c r="H50">
        <f t="shared" si="0"/>
        <v>4.2613636363636404E-3</v>
      </c>
      <c r="I50">
        <f t="shared" si="1"/>
        <v>1.4372134821033523E-7</v>
      </c>
      <c r="J50">
        <f t="shared" si="2"/>
        <v>0.14372134821033522</v>
      </c>
    </row>
    <row r="51" spans="1:10" x14ac:dyDescent="0.35">
      <c r="A51" t="s">
        <v>37</v>
      </c>
      <c r="B51" s="2">
        <v>44800</v>
      </c>
      <c r="C51" s="3">
        <v>2.0833333333333332E-2</v>
      </c>
      <c r="D51" t="s">
        <v>40</v>
      </c>
      <c r="E51" t="s">
        <v>15</v>
      </c>
      <c r="F51">
        <v>0.70299999999999996</v>
      </c>
      <c r="G51">
        <v>0.70699999999999996</v>
      </c>
      <c r="H51">
        <f t="shared" si="0"/>
        <v>5.6899004267425375E-3</v>
      </c>
      <c r="I51">
        <f t="shared" si="1"/>
        <v>2.0515438572821893E-7</v>
      </c>
      <c r="J51">
        <f t="shared" si="2"/>
        <v>0.20515438572821892</v>
      </c>
    </row>
    <row r="52" spans="1:10" x14ac:dyDescent="0.35">
      <c r="A52" t="s">
        <v>37</v>
      </c>
      <c r="B52" s="2">
        <v>44800</v>
      </c>
      <c r="C52" s="3">
        <v>4.1666666666666664E-2</v>
      </c>
      <c r="D52" t="s">
        <v>40</v>
      </c>
      <c r="E52" t="s">
        <v>15</v>
      </c>
      <c r="F52">
        <v>0.70299999999999996</v>
      </c>
      <c r="G52">
        <v>0.70699999999999996</v>
      </c>
      <c r="H52">
        <f t="shared" si="0"/>
        <v>5.6899004267425375E-3</v>
      </c>
      <c r="I52">
        <f t="shared" si="1"/>
        <v>2.0515438572821893E-7</v>
      </c>
      <c r="J52">
        <f t="shared" si="2"/>
        <v>0.20515438572821892</v>
      </c>
    </row>
    <row r="53" spans="1:10" x14ac:dyDescent="0.35">
      <c r="A53" t="s">
        <v>37</v>
      </c>
      <c r="B53" s="2">
        <v>44800</v>
      </c>
      <c r="C53" s="3">
        <v>6.25E-2</v>
      </c>
      <c r="D53" t="s">
        <v>40</v>
      </c>
      <c r="E53" t="s">
        <v>15</v>
      </c>
      <c r="F53">
        <v>0.70299999999999996</v>
      </c>
      <c r="G53">
        <v>0.70699999999999996</v>
      </c>
      <c r="H53">
        <f t="shared" si="0"/>
        <v>5.6899004267425375E-3</v>
      </c>
      <c r="I53">
        <f t="shared" si="1"/>
        <v>2.0515438572821893E-7</v>
      </c>
      <c r="J53">
        <f t="shared" si="2"/>
        <v>0.20515438572821892</v>
      </c>
    </row>
    <row r="54" spans="1:10" x14ac:dyDescent="0.35">
      <c r="A54" t="s">
        <v>37</v>
      </c>
      <c r="B54" s="2">
        <v>44800</v>
      </c>
      <c r="C54" s="3">
        <v>8.3333333333333329E-2</v>
      </c>
      <c r="D54" t="s">
        <v>40</v>
      </c>
      <c r="E54" t="s">
        <v>15</v>
      </c>
      <c r="F54">
        <v>0.70199999999999996</v>
      </c>
      <c r="G54">
        <v>0.70699999999999996</v>
      </c>
      <c r="H54">
        <f t="shared" si="0"/>
        <v>7.1225071225071296E-3</v>
      </c>
      <c r="I54">
        <f t="shared" si="1"/>
        <v>2.7048180236155956E-7</v>
      </c>
      <c r="J54">
        <f t="shared" si="2"/>
        <v>0.27048180236155955</v>
      </c>
    </row>
    <row r="55" spans="1:10" x14ac:dyDescent="0.35">
      <c r="A55" t="s">
        <v>37</v>
      </c>
      <c r="B55" s="2">
        <v>44800</v>
      </c>
      <c r="C55" s="3">
        <v>0.10416666666666667</v>
      </c>
      <c r="D55" t="s">
        <v>40</v>
      </c>
      <c r="E55" t="s">
        <v>15</v>
      </c>
      <c r="F55">
        <v>0.70199999999999996</v>
      </c>
      <c r="G55">
        <v>0.70699999999999996</v>
      </c>
      <c r="H55">
        <f t="shared" si="0"/>
        <v>7.1225071225071296E-3</v>
      </c>
      <c r="I55">
        <f t="shared" si="1"/>
        <v>2.7048180236155956E-7</v>
      </c>
      <c r="J55">
        <f t="shared" si="2"/>
        <v>0.27048180236155955</v>
      </c>
    </row>
    <row r="56" spans="1:10" x14ac:dyDescent="0.35">
      <c r="A56" t="s">
        <v>37</v>
      </c>
      <c r="B56" s="2">
        <v>44800</v>
      </c>
      <c r="C56" s="3">
        <v>0.125</v>
      </c>
      <c r="D56" t="s">
        <v>40</v>
      </c>
      <c r="E56" t="s">
        <v>15</v>
      </c>
      <c r="F56">
        <v>0.70299999999999996</v>
      </c>
      <c r="G56">
        <v>0.70699999999999996</v>
      </c>
      <c r="H56">
        <f t="shared" si="0"/>
        <v>5.6899004267425375E-3</v>
      </c>
      <c r="I56">
        <f t="shared" si="1"/>
        <v>2.0515438572821893E-7</v>
      </c>
      <c r="J56">
        <f t="shared" si="2"/>
        <v>0.20515438572821892</v>
      </c>
    </row>
    <row r="57" spans="1:10" x14ac:dyDescent="0.35">
      <c r="A57" t="s">
        <v>37</v>
      </c>
      <c r="B57" s="2">
        <v>44800</v>
      </c>
      <c r="C57" s="3">
        <v>0.14583333333333334</v>
      </c>
      <c r="D57" t="s">
        <v>40</v>
      </c>
      <c r="E57" t="s">
        <v>15</v>
      </c>
      <c r="F57">
        <v>0.70299999999999996</v>
      </c>
      <c r="G57">
        <v>0.70699999999999996</v>
      </c>
      <c r="H57">
        <f t="shared" si="0"/>
        <v>5.6899004267425375E-3</v>
      </c>
      <c r="I57">
        <f t="shared" si="1"/>
        <v>2.0515438572821893E-7</v>
      </c>
      <c r="J57">
        <f t="shared" si="2"/>
        <v>0.20515438572821892</v>
      </c>
    </row>
    <row r="58" spans="1:10" x14ac:dyDescent="0.35">
      <c r="A58" t="s">
        <v>37</v>
      </c>
      <c r="B58" s="2">
        <v>44800</v>
      </c>
      <c r="C58" s="3">
        <v>0.16666666666666666</v>
      </c>
      <c r="D58" t="s">
        <v>40</v>
      </c>
      <c r="E58" t="s">
        <v>15</v>
      </c>
      <c r="F58">
        <v>0.70399999999999996</v>
      </c>
      <c r="G58">
        <v>0.70699999999999996</v>
      </c>
      <c r="H58">
        <f t="shared" si="0"/>
        <v>4.2613636363636404E-3</v>
      </c>
      <c r="I58">
        <f t="shared" si="1"/>
        <v>1.4372134821033523E-7</v>
      </c>
      <c r="J58">
        <f t="shared" si="2"/>
        <v>0.14372134821033522</v>
      </c>
    </row>
    <row r="59" spans="1:10" x14ac:dyDescent="0.35">
      <c r="A59" t="s">
        <v>37</v>
      </c>
      <c r="B59" s="2">
        <v>44800</v>
      </c>
      <c r="C59" s="3">
        <v>0.1875</v>
      </c>
      <c r="D59" t="s">
        <v>40</v>
      </c>
      <c r="E59" t="s">
        <v>15</v>
      </c>
      <c r="F59">
        <v>0.70499999999999996</v>
      </c>
      <c r="G59">
        <v>0.70699999999999996</v>
      </c>
      <c r="H59">
        <f t="shared" si="0"/>
        <v>2.8368794326241163E-3</v>
      </c>
      <c r="I59">
        <f t="shared" si="1"/>
        <v>8.7095172376123804E-8</v>
      </c>
      <c r="J59">
        <f t="shared" si="2"/>
        <v>8.7095172376123811E-2</v>
      </c>
    </row>
    <row r="60" spans="1:10" x14ac:dyDescent="0.35">
      <c r="A60" t="s">
        <v>37</v>
      </c>
      <c r="B60" s="2">
        <v>44800</v>
      </c>
      <c r="C60" s="3">
        <v>0.20833333333333334</v>
      </c>
      <c r="D60" t="s">
        <v>40</v>
      </c>
      <c r="E60" t="s">
        <v>15</v>
      </c>
      <c r="F60">
        <v>0.70499999999999996</v>
      </c>
      <c r="G60">
        <v>0.70699999999999996</v>
      </c>
      <c r="H60">
        <f t="shared" si="0"/>
        <v>2.8368794326241163E-3</v>
      </c>
      <c r="I60">
        <f t="shared" si="1"/>
        <v>8.7095172376123804E-8</v>
      </c>
      <c r="J60">
        <f t="shared" si="2"/>
        <v>8.7095172376123811E-2</v>
      </c>
    </row>
    <row r="61" spans="1:10" x14ac:dyDescent="0.35">
      <c r="A61" t="s">
        <v>37</v>
      </c>
      <c r="B61" s="2">
        <v>44800</v>
      </c>
      <c r="C61" s="3">
        <v>0.22916666666666666</v>
      </c>
      <c r="D61" t="s">
        <v>40</v>
      </c>
      <c r="E61" t="s">
        <v>15</v>
      </c>
      <c r="F61">
        <v>0.70599999999999996</v>
      </c>
      <c r="G61">
        <v>0.70699999999999996</v>
      </c>
      <c r="H61">
        <f t="shared" si="0"/>
        <v>1.4164305949008512E-3</v>
      </c>
      <c r="I61">
        <f t="shared" si="1"/>
        <v>3.7039777944439822E-8</v>
      </c>
      <c r="J61">
        <f t="shared" si="2"/>
        <v>3.7039777944439821E-2</v>
      </c>
    </row>
    <row r="62" spans="1:10" x14ac:dyDescent="0.35">
      <c r="A62" t="s">
        <v>37</v>
      </c>
      <c r="B62" s="2">
        <v>44800</v>
      </c>
      <c r="C62" s="3">
        <v>0.25</v>
      </c>
      <c r="D62" t="s">
        <v>40</v>
      </c>
      <c r="E62" t="s">
        <v>15</v>
      </c>
      <c r="F62">
        <v>0.70699999999999996</v>
      </c>
      <c r="G62">
        <v>0.70699999999999996</v>
      </c>
      <c r="H62">
        <f t="shared" si="0"/>
        <v>0</v>
      </c>
      <c r="I62">
        <f t="shared" si="1"/>
        <v>0</v>
      </c>
      <c r="J62">
        <f t="shared" si="2"/>
        <v>0</v>
      </c>
    </row>
    <row r="63" spans="1:10" x14ac:dyDescent="0.35">
      <c r="A63" t="s">
        <v>37</v>
      </c>
      <c r="B63" s="2">
        <v>44800</v>
      </c>
      <c r="C63" s="3">
        <v>0.27083333333333331</v>
      </c>
      <c r="D63" t="s">
        <v>40</v>
      </c>
      <c r="E63" t="s">
        <v>15</v>
      </c>
      <c r="F63">
        <v>0.70699999999999996</v>
      </c>
      <c r="G63">
        <v>0.70699999999999996</v>
      </c>
      <c r="H63">
        <f t="shared" si="0"/>
        <v>0</v>
      </c>
      <c r="I63">
        <f t="shared" si="1"/>
        <v>0</v>
      </c>
      <c r="J63">
        <f t="shared" si="2"/>
        <v>0</v>
      </c>
    </row>
    <row r="64" spans="1:10" x14ac:dyDescent="0.35">
      <c r="A64" t="s">
        <v>37</v>
      </c>
      <c r="B64" s="2">
        <v>44800</v>
      </c>
      <c r="C64" s="3">
        <v>0.29166666666666669</v>
      </c>
      <c r="D64" t="s">
        <v>40</v>
      </c>
      <c r="E64" t="s">
        <v>15</v>
      </c>
      <c r="F64">
        <v>0.70699999999999996</v>
      </c>
      <c r="G64">
        <v>0.70699999999999996</v>
      </c>
      <c r="H64">
        <f t="shared" si="0"/>
        <v>0</v>
      </c>
      <c r="I64">
        <f t="shared" si="1"/>
        <v>0</v>
      </c>
      <c r="J64">
        <f t="shared" si="2"/>
        <v>0</v>
      </c>
    </row>
    <row r="65" spans="1:10" x14ac:dyDescent="0.35">
      <c r="A65" t="s">
        <v>37</v>
      </c>
      <c r="B65" s="2">
        <v>44800</v>
      </c>
      <c r="C65" s="3">
        <v>0.3125</v>
      </c>
      <c r="D65" t="s">
        <v>40</v>
      </c>
      <c r="E65" t="s">
        <v>15</v>
      </c>
      <c r="F65">
        <v>0.70299999999999996</v>
      </c>
      <c r="G65">
        <v>0.70699999999999996</v>
      </c>
      <c r="H65">
        <f t="shared" si="0"/>
        <v>5.6899004267425375E-3</v>
      </c>
      <c r="I65">
        <f t="shared" si="1"/>
        <v>2.0515438572821893E-7</v>
      </c>
      <c r="J65">
        <f t="shared" si="2"/>
        <v>0.20515438572821892</v>
      </c>
    </row>
    <row r="66" spans="1:10" x14ac:dyDescent="0.35">
      <c r="A66" t="s">
        <v>37</v>
      </c>
      <c r="B66" s="2">
        <v>44800</v>
      </c>
      <c r="C66" s="3">
        <v>0.33333333333333331</v>
      </c>
      <c r="D66" t="s">
        <v>40</v>
      </c>
      <c r="E66" t="s">
        <v>15</v>
      </c>
      <c r="F66">
        <v>0.69</v>
      </c>
      <c r="G66">
        <v>0.70699999999999996</v>
      </c>
      <c r="H66">
        <f t="shared" ref="H66:H129" si="3">(G66-F66)/F66</f>
        <v>2.4637681159420315E-2</v>
      </c>
      <c r="I66">
        <f t="shared" ref="I66:I129" si="4">119*10^-6*(H66^1.231)</f>
        <v>1.2462533906968332E-6</v>
      </c>
      <c r="J66">
        <f t="shared" si="2"/>
        <v>1.2462533906968332</v>
      </c>
    </row>
    <row r="67" spans="1:10" x14ac:dyDescent="0.35">
      <c r="A67" t="s">
        <v>37</v>
      </c>
      <c r="B67" s="2">
        <v>44800</v>
      </c>
      <c r="C67" s="3">
        <v>0.35416666666666669</v>
      </c>
      <c r="D67" t="s">
        <v>40</v>
      </c>
      <c r="E67" t="s">
        <v>15</v>
      </c>
      <c r="F67">
        <v>0.65700000000000003</v>
      </c>
      <c r="G67">
        <v>0.70699999999999996</v>
      </c>
      <c r="H67">
        <f t="shared" si="3"/>
        <v>7.6103500761034906E-2</v>
      </c>
      <c r="I67">
        <f t="shared" si="4"/>
        <v>4.9952366384280237E-6</v>
      </c>
      <c r="J67">
        <f t="shared" ref="J67:J130" si="5">I67*10^6</f>
        <v>4.9952366384280236</v>
      </c>
    </row>
    <row r="68" spans="1:10" x14ac:dyDescent="0.35">
      <c r="A68" t="s">
        <v>37</v>
      </c>
      <c r="B68" s="2">
        <v>44800</v>
      </c>
      <c r="C68" s="3">
        <v>0.375</v>
      </c>
      <c r="D68" t="s">
        <v>40</v>
      </c>
      <c r="E68" t="s">
        <v>15</v>
      </c>
      <c r="F68">
        <v>0.61899999999999999</v>
      </c>
      <c r="G68">
        <v>0.70699999999999996</v>
      </c>
      <c r="H68">
        <f t="shared" si="3"/>
        <v>0.14216478190630044</v>
      </c>
      <c r="I68">
        <f t="shared" si="4"/>
        <v>1.0780376827723512E-5</v>
      </c>
      <c r="J68">
        <f t="shared" si="5"/>
        <v>10.780376827723511</v>
      </c>
    </row>
    <row r="69" spans="1:10" x14ac:dyDescent="0.35">
      <c r="A69" t="s">
        <v>37</v>
      </c>
      <c r="B69" s="2">
        <v>44800</v>
      </c>
      <c r="C69" s="3">
        <v>0.39583333333333331</v>
      </c>
      <c r="D69" t="s">
        <v>40</v>
      </c>
      <c r="E69" t="s">
        <v>15</v>
      </c>
      <c r="F69">
        <v>0.58599999999999997</v>
      </c>
      <c r="G69">
        <v>0.70699999999999996</v>
      </c>
      <c r="H69">
        <f t="shared" si="3"/>
        <v>0.20648464163822527</v>
      </c>
      <c r="I69">
        <f t="shared" si="4"/>
        <v>1.7067652301858962E-5</v>
      </c>
      <c r="J69">
        <f t="shared" si="5"/>
        <v>17.067652301858963</v>
      </c>
    </row>
    <row r="70" spans="1:10" x14ac:dyDescent="0.35">
      <c r="A70" t="s">
        <v>37</v>
      </c>
      <c r="B70" s="2">
        <v>44800</v>
      </c>
      <c r="C70" s="3">
        <v>0.41666666666666669</v>
      </c>
      <c r="D70" t="s">
        <v>40</v>
      </c>
      <c r="E70" t="s">
        <v>15</v>
      </c>
      <c r="F70">
        <v>0.55500000000000005</v>
      </c>
      <c r="G70">
        <v>0.70699999999999996</v>
      </c>
      <c r="H70">
        <f t="shared" si="3"/>
        <v>0.27387387387387369</v>
      </c>
      <c r="I70">
        <f t="shared" si="4"/>
        <v>2.4164162961959923E-5</v>
      </c>
      <c r="J70">
        <f t="shared" si="5"/>
        <v>24.164162961959924</v>
      </c>
    </row>
    <row r="71" spans="1:10" x14ac:dyDescent="0.35">
      <c r="A71" t="s">
        <v>37</v>
      </c>
      <c r="B71" s="2">
        <v>44800</v>
      </c>
      <c r="C71" s="3">
        <v>0.4375</v>
      </c>
      <c r="D71" t="s">
        <v>40</v>
      </c>
      <c r="E71" t="s">
        <v>15</v>
      </c>
      <c r="F71">
        <v>0.54400000000000004</v>
      </c>
      <c r="G71">
        <v>0.70699999999999996</v>
      </c>
      <c r="H71">
        <f t="shared" si="3"/>
        <v>0.29963235294117629</v>
      </c>
      <c r="I71">
        <f t="shared" si="4"/>
        <v>2.699153956417131E-5</v>
      </c>
      <c r="J71">
        <f t="shared" si="5"/>
        <v>26.991539564171308</v>
      </c>
    </row>
    <row r="72" spans="1:10" x14ac:dyDescent="0.35">
      <c r="A72" t="s">
        <v>37</v>
      </c>
      <c r="B72" s="2">
        <v>44800</v>
      </c>
      <c r="C72" s="3">
        <v>0.45833333333333331</v>
      </c>
      <c r="D72" t="s">
        <v>40</v>
      </c>
      <c r="E72" t="s">
        <v>15</v>
      </c>
      <c r="F72">
        <v>0.55000000000000004</v>
      </c>
      <c r="G72">
        <v>0.70699999999999996</v>
      </c>
      <c r="H72">
        <f t="shared" si="3"/>
        <v>0.28545454545454529</v>
      </c>
      <c r="I72">
        <f t="shared" si="4"/>
        <v>2.5428044497113816E-5</v>
      </c>
      <c r="J72">
        <f t="shared" si="5"/>
        <v>25.428044497113817</v>
      </c>
    </row>
    <row r="73" spans="1:10" x14ac:dyDescent="0.35">
      <c r="A73" t="s">
        <v>37</v>
      </c>
      <c r="B73" s="2">
        <v>44800</v>
      </c>
      <c r="C73" s="3">
        <v>0.47916666666666669</v>
      </c>
      <c r="D73" t="s">
        <v>40</v>
      </c>
      <c r="E73" t="s">
        <v>15</v>
      </c>
      <c r="F73">
        <v>0.55600000000000005</v>
      </c>
      <c r="G73">
        <v>0.70699999999999996</v>
      </c>
      <c r="H73">
        <f t="shared" si="3"/>
        <v>0.27158273381294945</v>
      </c>
      <c r="I73">
        <f t="shared" si="4"/>
        <v>2.3915557820914423E-5</v>
      </c>
      <c r="J73">
        <f t="shared" si="5"/>
        <v>23.915557820914422</v>
      </c>
    </row>
    <row r="74" spans="1:10" x14ac:dyDescent="0.35">
      <c r="A74" t="s">
        <v>37</v>
      </c>
      <c r="B74" s="2">
        <v>44800</v>
      </c>
      <c r="C74" s="3">
        <v>0.5</v>
      </c>
      <c r="D74" t="s">
        <v>40</v>
      </c>
      <c r="E74" t="s">
        <v>15</v>
      </c>
      <c r="F74">
        <v>0.56200000000000006</v>
      </c>
      <c r="G74">
        <v>0.70699999999999996</v>
      </c>
      <c r="H74">
        <f t="shared" si="3"/>
        <v>0.25800711743772226</v>
      </c>
      <c r="I74">
        <f t="shared" si="4"/>
        <v>2.2452544596303425E-5</v>
      </c>
      <c r="J74">
        <f t="shared" si="5"/>
        <v>22.452544596303426</v>
      </c>
    </row>
    <row r="75" spans="1:10" x14ac:dyDescent="0.35">
      <c r="A75" t="s">
        <v>37</v>
      </c>
      <c r="B75" s="2">
        <v>44800</v>
      </c>
      <c r="C75" s="3">
        <v>0.52083333333333337</v>
      </c>
      <c r="D75" t="s">
        <v>40</v>
      </c>
      <c r="E75" t="s">
        <v>15</v>
      </c>
      <c r="F75">
        <v>0.57299999999999995</v>
      </c>
      <c r="G75">
        <v>0.70699999999999996</v>
      </c>
      <c r="H75">
        <f t="shared" si="3"/>
        <v>0.23385689354275746</v>
      </c>
      <c r="I75">
        <f t="shared" si="4"/>
        <v>1.989411520340468E-5</v>
      </c>
      <c r="J75">
        <f t="shared" si="5"/>
        <v>19.894115203404681</v>
      </c>
    </row>
    <row r="76" spans="1:10" x14ac:dyDescent="0.35">
      <c r="A76" t="s">
        <v>37</v>
      </c>
      <c r="B76" s="2">
        <v>44800</v>
      </c>
      <c r="C76" s="3">
        <v>0.54166666666666663</v>
      </c>
      <c r="D76" t="s">
        <v>40</v>
      </c>
      <c r="E76" t="s">
        <v>15</v>
      </c>
      <c r="F76">
        <v>0.58099999999999996</v>
      </c>
      <c r="G76">
        <v>0.70699999999999996</v>
      </c>
      <c r="H76">
        <f t="shared" si="3"/>
        <v>0.21686746987951808</v>
      </c>
      <c r="I76">
        <f t="shared" si="4"/>
        <v>1.8130186995911652E-5</v>
      </c>
      <c r="J76">
        <f t="shared" si="5"/>
        <v>18.130186995911654</v>
      </c>
    </row>
    <row r="77" spans="1:10" x14ac:dyDescent="0.35">
      <c r="A77" t="s">
        <v>37</v>
      </c>
      <c r="B77" s="2">
        <v>44800</v>
      </c>
      <c r="C77" s="3">
        <v>0.5625</v>
      </c>
      <c r="D77" t="s">
        <v>40</v>
      </c>
      <c r="E77" t="s">
        <v>15</v>
      </c>
      <c r="F77">
        <v>0.57799999999999996</v>
      </c>
      <c r="G77">
        <v>0.70699999999999996</v>
      </c>
      <c r="H77">
        <f t="shared" si="3"/>
        <v>0.22318339100346024</v>
      </c>
      <c r="I77">
        <f t="shared" si="4"/>
        <v>1.8782341199965641E-5</v>
      </c>
      <c r="J77">
        <f t="shared" si="5"/>
        <v>18.782341199965639</v>
      </c>
    </row>
    <row r="78" spans="1:10" x14ac:dyDescent="0.35">
      <c r="A78" t="s">
        <v>37</v>
      </c>
      <c r="B78" s="2">
        <v>44800</v>
      </c>
      <c r="C78" s="3">
        <v>0.58333333333333337</v>
      </c>
      <c r="D78" t="s">
        <v>40</v>
      </c>
      <c r="E78" t="s">
        <v>15</v>
      </c>
      <c r="F78">
        <v>0.58799999999999997</v>
      </c>
      <c r="G78">
        <v>0.70699999999999996</v>
      </c>
      <c r="H78">
        <f t="shared" si="3"/>
        <v>0.20238095238095238</v>
      </c>
      <c r="I78">
        <f t="shared" si="4"/>
        <v>1.6651056040460674E-5</v>
      </c>
      <c r="J78">
        <f t="shared" si="5"/>
        <v>16.651056040460674</v>
      </c>
    </row>
    <row r="79" spans="1:10" x14ac:dyDescent="0.35">
      <c r="A79" t="s">
        <v>37</v>
      </c>
      <c r="B79" s="2">
        <v>44800</v>
      </c>
      <c r="C79" s="3">
        <v>0.60416666666666663</v>
      </c>
      <c r="D79" t="s">
        <v>40</v>
      </c>
      <c r="E79" t="s">
        <v>15</v>
      </c>
      <c r="F79">
        <v>0.59699999999999998</v>
      </c>
      <c r="G79">
        <v>0.70699999999999996</v>
      </c>
      <c r="H79">
        <f t="shared" si="3"/>
        <v>0.18425460636515911</v>
      </c>
      <c r="I79">
        <f t="shared" si="4"/>
        <v>1.483463807600163E-5</v>
      </c>
      <c r="J79">
        <f t="shared" si="5"/>
        <v>14.83463807600163</v>
      </c>
    </row>
    <row r="80" spans="1:10" x14ac:dyDescent="0.35">
      <c r="A80" t="s">
        <v>37</v>
      </c>
      <c r="B80" s="2">
        <v>44800</v>
      </c>
      <c r="C80" s="3">
        <v>0.625</v>
      </c>
      <c r="D80" t="s">
        <v>40</v>
      </c>
      <c r="E80" t="s">
        <v>15</v>
      </c>
      <c r="F80">
        <v>0.61</v>
      </c>
      <c r="G80">
        <v>0.70699999999999996</v>
      </c>
      <c r="H80">
        <f t="shared" si="3"/>
        <v>0.15901639344262292</v>
      </c>
      <c r="I80">
        <f t="shared" si="4"/>
        <v>1.2374337001413526E-5</v>
      </c>
      <c r="J80">
        <f t="shared" si="5"/>
        <v>12.374337001413526</v>
      </c>
    </row>
    <row r="81" spans="1:10" x14ac:dyDescent="0.35">
      <c r="A81" t="s">
        <v>37</v>
      </c>
      <c r="B81" s="2">
        <v>44800</v>
      </c>
      <c r="C81" s="3">
        <v>0.64583333333333337</v>
      </c>
      <c r="D81" t="s">
        <v>40</v>
      </c>
      <c r="E81" t="s">
        <v>15</v>
      </c>
      <c r="F81">
        <v>0.60799999999999998</v>
      </c>
      <c r="G81">
        <v>0.70699999999999996</v>
      </c>
      <c r="H81">
        <f t="shared" si="3"/>
        <v>0.16282894736842102</v>
      </c>
      <c r="I81">
        <f t="shared" si="4"/>
        <v>1.2740561830881321E-5</v>
      </c>
      <c r="J81">
        <f t="shared" si="5"/>
        <v>12.740561830881321</v>
      </c>
    </row>
    <row r="82" spans="1:10" x14ac:dyDescent="0.35">
      <c r="A82" t="s">
        <v>37</v>
      </c>
      <c r="B82" s="2">
        <v>44800</v>
      </c>
      <c r="C82" s="3">
        <v>0.66666666666666663</v>
      </c>
      <c r="D82" t="s">
        <v>40</v>
      </c>
      <c r="E82" t="s">
        <v>15</v>
      </c>
      <c r="F82">
        <v>0.60399999999999998</v>
      </c>
      <c r="G82">
        <v>0.70699999999999996</v>
      </c>
      <c r="H82">
        <f t="shared" si="3"/>
        <v>0.17052980132450329</v>
      </c>
      <c r="I82">
        <f t="shared" si="4"/>
        <v>1.3486309232833011E-5</v>
      </c>
      <c r="J82">
        <f t="shared" si="5"/>
        <v>13.48630923283301</v>
      </c>
    </row>
    <row r="83" spans="1:10" x14ac:dyDescent="0.35">
      <c r="A83" t="s">
        <v>37</v>
      </c>
      <c r="B83" s="2">
        <v>44800</v>
      </c>
      <c r="C83" s="3">
        <v>0.6875</v>
      </c>
      <c r="D83" t="s">
        <v>40</v>
      </c>
      <c r="E83" t="s">
        <v>15</v>
      </c>
      <c r="F83">
        <v>0.60299999999999998</v>
      </c>
      <c r="G83">
        <v>0.70699999999999996</v>
      </c>
      <c r="H83">
        <f t="shared" si="3"/>
        <v>0.17247097844112766</v>
      </c>
      <c r="I83">
        <f t="shared" si="4"/>
        <v>1.367553706164619E-5</v>
      </c>
      <c r="J83">
        <f t="shared" si="5"/>
        <v>13.675537061646191</v>
      </c>
    </row>
    <row r="84" spans="1:10" x14ac:dyDescent="0.35">
      <c r="A84" t="s">
        <v>37</v>
      </c>
      <c r="B84" s="2">
        <v>44800</v>
      </c>
      <c r="C84" s="3">
        <v>0.70833333333333337</v>
      </c>
      <c r="D84" t="s">
        <v>40</v>
      </c>
      <c r="E84" t="s">
        <v>15</v>
      </c>
      <c r="F84">
        <v>0.60499999999999998</v>
      </c>
      <c r="G84">
        <v>0.70699999999999996</v>
      </c>
      <c r="H84">
        <f t="shared" si="3"/>
        <v>0.16859504132231401</v>
      </c>
      <c r="I84">
        <f t="shared" si="4"/>
        <v>1.3298201418994046E-5</v>
      </c>
      <c r="J84">
        <f t="shared" si="5"/>
        <v>13.298201418994047</v>
      </c>
    </row>
    <row r="85" spans="1:10" x14ac:dyDescent="0.35">
      <c r="A85" t="s">
        <v>37</v>
      </c>
      <c r="B85" s="2">
        <v>44800</v>
      </c>
      <c r="C85" s="3">
        <v>0.72916666666666663</v>
      </c>
      <c r="D85" t="s">
        <v>40</v>
      </c>
      <c r="E85" t="s">
        <v>15</v>
      </c>
      <c r="F85">
        <v>0.61699999999999999</v>
      </c>
      <c r="G85">
        <v>0.70699999999999996</v>
      </c>
      <c r="H85">
        <f t="shared" si="3"/>
        <v>0.14586709886547808</v>
      </c>
      <c r="I85">
        <f t="shared" si="4"/>
        <v>1.1127009365432817E-5</v>
      </c>
      <c r="J85">
        <f t="shared" si="5"/>
        <v>11.127009365432817</v>
      </c>
    </row>
    <row r="86" spans="1:10" x14ac:dyDescent="0.35">
      <c r="A86" t="s">
        <v>37</v>
      </c>
      <c r="B86" s="2">
        <v>44800</v>
      </c>
      <c r="C86" s="3">
        <v>0.75</v>
      </c>
      <c r="D86" t="s">
        <v>40</v>
      </c>
      <c r="E86" t="s">
        <v>15</v>
      </c>
      <c r="F86">
        <v>0.63</v>
      </c>
      <c r="G86">
        <v>0.70699999999999996</v>
      </c>
      <c r="H86">
        <f t="shared" si="3"/>
        <v>0.12222222222222215</v>
      </c>
      <c r="I86">
        <f t="shared" si="4"/>
        <v>8.9501193710899229E-6</v>
      </c>
      <c r="J86">
        <f t="shared" si="5"/>
        <v>8.9501193710899223</v>
      </c>
    </row>
    <row r="87" spans="1:10" x14ac:dyDescent="0.35">
      <c r="A87" t="s">
        <v>37</v>
      </c>
      <c r="B87" s="2">
        <v>44800</v>
      </c>
      <c r="C87" s="3">
        <v>0.77083333333333337</v>
      </c>
      <c r="D87" t="s">
        <v>40</v>
      </c>
      <c r="E87" t="s">
        <v>15</v>
      </c>
      <c r="F87">
        <v>0.64500000000000002</v>
      </c>
      <c r="G87">
        <v>0.70699999999999996</v>
      </c>
      <c r="H87">
        <f t="shared" si="3"/>
        <v>9.6124031007751853E-2</v>
      </c>
      <c r="I87">
        <f t="shared" si="4"/>
        <v>6.6590629811062185E-6</v>
      </c>
      <c r="J87">
        <f t="shared" si="5"/>
        <v>6.659062981106219</v>
      </c>
    </row>
    <row r="88" spans="1:10" x14ac:dyDescent="0.35">
      <c r="A88" t="s">
        <v>37</v>
      </c>
      <c r="B88" s="2">
        <v>44800</v>
      </c>
      <c r="C88" s="3">
        <v>0.79166666666666663</v>
      </c>
      <c r="D88" t="s">
        <v>40</v>
      </c>
      <c r="E88" t="s">
        <v>15</v>
      </c>
      <c r="F88">
        <v>0.65800000000000003</v>
      </c>
      <c r="G88">
        <v>0.70699999999999996</v>
      </c>
      <c r="H88">
        <f t="shared" si="3"/>
        <v>7.4468085106382878E-2</v>
      </c>
      <c r="I88">
        <f t="shared" si="4"/>
        <v>4.8634254251066576E-6</v>
      </c>
      <c r="J88">
        <f t="shared" si="5"/>
        <v>4.8634254251066578</v>
      </c>
    </row>
    <row r="89" spans="1:10" x14ac:dyDescent="0.35">
      <c r="A89" t="s">
        <v>37</v>
      </c>
      <c r="B89" s="2">
        <v>44800</v>
      </c>
      <c r="C89" s="3">
        <v>0.8125</v>
      </c>
      <c r="D89" t="s">
        <v>40</v>
      </c>
      <c r="E89" t="s">
        <v>15</v>
      </c>
      <c r="F89">
        <v>0.66800000000000004</v>
      </c>
      <c r="G89">
        <v>0.70699999999999996</v>
      </c>
      <c r="H89">
        <f t="shared" si="3"/>
        <v>5.8383233532934016E-2</v>
      </c>
      <c r="I89">
        <f t="shared" si="4"/>
        <v>3.60452189023467E-6</v>
      </c>
      <c r="J89">
        <f t="shared" si="5"/>
        <v>3.6045218902346701</v>
      </c>
    </row>
    <row r="90" spans="1:10" x14ac:dyDescent="0.35">
      <c r="A90" t="s">
        <v>37</v>
      </c>
      <c r="B90" s="2">
        <v>44800</v>
      </c>
      <c r="C90" s="3">
        <v>0.83333333333333337</v>
      </c>
      <c r="D90" t="s">
        <v>40</v>
      </c>
      <c r="E90" t="s">
        <v>15</v>
      </c>
      <c r="F90">
        <v>0.67600000000000005</v>
      </c>
      <c r="G90">
        <v>0.70699999999999996</v>
      </c>
      <c r="H90">
        <f t="shared" si="3"/>
        <v>4.5857988165680347E-2</v>
      </c>
      <c r="I90">
        <f t="shared" si="4"/>
        <v>2.6776192635507295E-6</v>
      </c>
      <c r="J90">
        <f t="shared" si="5"/>
        <v>2.6776192635507297</v>
      </c>
    </row>
    <row r="91" spans="1:10" x14ac:dyDescent="0.35">
      <c r="A91" t="s">
        <v>37</v>
      </c>
      <c r="B91" s="2">
        <v>44800</v>
      </c>
      <c r="C91" s="3">
        <v>0.85416666666666663</v>
      </c>
      <c r="D91" t="s">
        <v>40</v>
      </c>
      <c r="E91" t="s">
        <v>15</v>
      </c>
      <c r="F91">
        <v>0.68300000000000005</v>
      </c>
      <c r="G91">
        <v>0.70699999999999996</v>
      </c>
      <c r="H91">
        <f t="shared" si="3"/>
        <v>3.5139092240116999E-2</v>
      </c>
      <c r="I91">
        <f t="shared" si="4"/>
        <v>1.9293681890557147E-6</v>
      </c>
      <c r="J91">
        <f t="shared" si="5"/>
        <v>1.9293681890557146</v>
      </c>
    </row>
    <row r="92" spans="1:10" x14ac:dyDescent="0.35">
      <c r="A92" t="s">
        <v>37</v>
      </c>
      <c r="B92" s="2">
        <v>44800</v>
      </c>
      <c r="C92" s="3">
        <v>0.875</v>
      </c>
      <c r="D92" t="s">
        <v>40</v>
      </c>
      <c r="E92" t="s">
        <v>15</v>
      </c>
      <c r="F92">
        <v>0.68799999999999994</v>
      </c>
      <c r="G92">
        <v>0.70699999999999996</v>
      </c>
      <c r="H92">
        <f t="shared" si="3"/>
        <v>2.761627906976747E-2</v>
      </c>
      <c r="I92">
        <f t="shared" si="4"/>
        <v>1.4342381710283452E-6</v>
      </c>
      <c r="J92">
        <f t="shared" si="5"/>
        <v>1.4342381710283452</v>
      </c>
    </row>
    <row r="93" spans="1:10" x14ac:dyDescent="0.35">
      <c r="A93" t="s">
        <v>37</v>
      </c>
      <c r="B93" s="2">
        <v>44800</v>
      </c>
      <c r="C93" s="3">
        <v>0.89583333333333337</v>
      </c>
      <c r="D93" t="s">
        <v>40</v>
      </c>
      <c r="E93" t="s">
        <v>15</v>
      </c>
      <c r="F93">
        <v>0.69199999999999995</v>
      </c>
      <c r="G93">
        <v>0.70699999999999996</v>
      </c>
      <c r="H93">
        <f t="shared" si="3"/>
        <v>2.1676300578034702E-2</v>
      </c>
      <c r="I93">
        <f t="shared" si="4"/>
        <v>1.0644976303741184E-6</v>
      </c>
      <c r="J93">
        <f t="shared" si="5"/>
        <v>1.0644976303741183</v>
      </c>
    </row>
    <row r="94" spans="1:10" x14ac:dyDescent="0.35">
      <c r="A94" t="s">
        <v>37</v>
      </c>
      <c r="B94" s="2">
        <v>44800</v>
      </c>
      <c r="C94" s="3">
        <v>0.91666666666666663</v>
      </c>
      <c r="D94" t="s">
        <v>40</v>
      </c>
      <c r="E94" t="s">
        <v>15</v>
      </c>
      <c r="F94">
        <v>0.69499999999999995</v>
      </c>
      <c r="G94">
        <v>0.70699999999999996</v>
      </c>
      <c r="H94">
        <f t="shared" si="3"/>
        <v>1.7266187050359729E-2</v>
      </c>
      <c r="I94">
        <f t="shared" si="4"/>
        <v>8.0451802877347698E-7</v>
      </c>
      <c r="J94">
        <f t="shared" si="5"/>
        <v>0.804518028773477</v>
      </c>
    </row>
    <row r="95" spans="1:10" x14ac:dyDescent="0.35">
      <c r="A95" t="s">
        <v>37</v>
      </c>
      <c r="B95" s="2">
        <v>44800</v>
      </c>
      <c r="C95" s="3">
        <v>0.9375</v>
      </c>
      <c r="D95" t="s">
        <v>40</v>
      </c>
      <c r="E95" t="s">
        <v>15</v>
      </c>
      <c r="F95">
        <v>0.69699999999999995</v>
      </c>
      <c r="G95">
        <v>0.70699999999999996</v>
      </c>
      <c r="H95">
        <f t="shared" si="3"/>
        <v>1.4347202295552381E-2</v>
      </c>
      <c r="I95">
        <f t="shared" si="4"/>
        <v>6.4051220778139019E-7</v>
      </c>
      <c r="J95">
        <f t="shared" si="5"/>
        <v>0.64051220778139017</v>
      </c>
    </row>
    <row r="96" spans="1:10" x14ac:dyDescent="0.35">
      <c r="A96" t="s">
        <v>37</v>
      </c>
      <c r="B96" s="2">
        <v>44800</v>
      </c>
      <c r="C96" s="3">
        <v>0.95833333333333337</v>
      </c>
      <c r="D96" t="s">
        <v>40</v>
      </c>
      <c r="E96" t="s">
        <v>15</v>
      </c>
      <c r="F96">
        <v>0.69899999999999995</v>
      </c>
      <c r="G96">
        <v>0.70699999999999996</v>
      </c>
      <c r="H96">
        <f t="shared" si="3"/>
        <v>1.1444921316165962E-2</v>
      </c>
      <c r="I96">
        <f t="shared" si="4"/>
        <v>4.849526446200464E-7</v>
      </c>
      <c r="J96">
        <f t="shared" si="5"/>
        <v>0.48495264462004639</v>
      </c>
    </row>
    <row r="97" spans="1:10" x14ac:dyDescent="0.35">
      <c r="A97" t="s">
        <v>37</v>
      </c>
      <c r="B97" s="2">
        <v>44800</v>
      </c>
      <c r="C97" s="3">
        <v>0.97916666666666663</v>
      </c>
      <c r="D97" t="s">
        <v>40</v>
      </c>
      <c r="E97" t="s">
        <v>15</v>
      </c>
      <c r="F97">
        <v>0.7</v>
      </c>
      <c r="G97">
        <v>0.70699999999999996</v>
      </c>
      <c r="H97">
        <f t="shared" si="3"/>
        <v>1.0000000000000009E-2</v>
      </c>
      <c r="I97">
        <f t="shared" si="4"/>
        <v>4.107210498096689E-7</v>
      </c>
      <c r="J97">
        <f t="shared" si="5"/>
        <v>0.41072104980966889</v>
      </c>
    </row>
    <row r="98" spans="1:10" x14ac:dyDescent="0.35">
      <c r="A98" t="s">
        <v>37</v>
      </c>
      <c r="B98" s="2">
        <v>44800</v>
      </c>
      <c r="C98" s="3">
        <v>0</v>
      </c>
      <c r="D98" t="s">
        <v>41</v>
      </c>
      <c r="E98" t="s">
        <v>15</v>
      </c>
      <c r="F98">
        <v>0.65800000000000003</v>
      </c>
      <c r="G98">
        <f>MAX(F98:F145)</f>
        <v>0.67300000000000004</v>
      </c>
      <c r="H98">
        <f t="shared" si="3"/>
        <v>2.2796352583586647E-2</v>
      </c>
      <c r="I98">
        <f t="shared" si="4"/>
        <v>1.132606960425241E-6</v>
      </c>
      <c r="J98">
        <f t="shared" si="5"/>
        <v>1.1326069604252411</v>
      </c>
    </row>
    <row r="99" spans="1:10" x14ac:dyDescent="0.35">
      <c r="A99" t="s">
        <v>37</v>
      </c>
      <c r="B99" s="2">
        <v>44800</v>
      </c>
      <c r="C99" s="3">
        <v>2.0833333333333332E-2</v>
      </c>
      <c r="D99" t="s">
        <v>41</v>
      </c>
      <c r="E99" t="s">
        <v>15</v>
      </c>
      <c r="F99">
        <v>0.65900000000000003</v>
      </c>
      <c r="G99">
        <v>0.67300000000000004</v>
      </c>
      <c r="H99">
        <f t="shared" si="3"/>
        <v>2.124430955993932E-2</v>
      </c>
      <c r="I99">
        <f t="shared" si="4"/>
        <v>1.0384429158068637E-6</v>
      </c>
      <c r="J99">
        <f t="shared" si="5"/>
        <v>1.0384429158068638</v>
      </c>
    </row>
    <row r="100" spans="1:10" x14ac:dyDescent="0.35">
      <c r="A100" t="s">
        <v>37</v>
      </c>
      <c r="B100" s="2">
        <v>44800</v>
      </c>
      <c r="C100" s="3">
        <v>4.1666666666666664E-2</v>
      </c>
      <c r="D100" t="s">
        <v>41</v>
      </c>
      <c r="E100" t="s">
        <v>15</v>
      </c>
      <c r="F100">
        <v>0.66300000000000003</v>
      </c>
      <c r="G100">
        <v>0.67300000000000004</v>
      </c>
      <c r="H100">
        <f t="shared" si="3"/>
        <v>1.508295625942686E-2</v>
      </c>
      <c r="I100">
        <f t="shared" si="4"/>
        <v>6.811830109898548E-7</v>
      </c>
      <c r="J100">
        <f t="shared" si="5"/>
        <v>0.68118301098985479</v>
      </c>
    </row>
    <row r="101" spans="1:10" x14ac:dyDescent="0.35">
      <c r="A101" t="s">
        <v>37</v>
      </c>
      <c r="B101" s="2">
        <v>44800</v>
      </c>
      <c r="C101" s="3">
        <v>6.25E-2</v>
      </c>
      <c r="D101" t="s">
        <v>41</v>
      </c>
      <c r="E101" t="s">
        <v>15</v>
      </c>
      <c r="F101">
        <v>0.66700000000000004</v>
      </c>
      <c r="G101">
        <v>0.67300000000000004</v>
      </c>
      <c r="H101">
        <f t="shared" si="3"/>
        <v>8.9955022488755702E-3</v>
      </c>
      <c r="I101">
        <f t="shared" si="4"/>
        <v>3.60538999364938E-7</v>
      </c>
      <c r="J101">
        <f t="shared" si="5"/>
        <v>0.360538999364938</v>
      </c>
    </row>
    <row r="102" spans="1:10" x14ac:dyDescent="0.35">
      <c r="A102" t="s">
        <v>37</v>
      </c>
      <c r="B102" s="2">
        <v>44800</v>
      </c>
      <c r="C102" s="3">
        <v>8.3333333333333329E-2</v>
      </c>
      <c r="D102" t="s">
        <v>41</v>
      </c>
      <c r="E102" t="s">
        <v>15</v>
      </c>
      <c r="F102">
        <v>0.67100000000000004</v>
      </c>
      <c r="G102">
        <v>0.67300000000000004</v>
      </c>
      <c r="H102">
        <f t="shared" si="3"/>
        <v>2.9806259314456062E-3</v>
      </c>
      <c r="I102">
        <f t="shared" si="4"/>
        <v>9.2559172597399345E-8</v>
      </c>
      <c r="J102">
        <f t="shared" si="5"/>
        <v>9.2559172597399347E-2</v>
      </c>
    </row>
    <row r="103" spans="1:10" x14ac:dyDescent="0.35">
      <c r="A103" t="s">
        <v>37</v>
      </c>
      <c r="B103" s="2">
        <v>44800</v>
      </c>
      <c r="C103" s="3">
        <v>0.10416666666666667</v>
      </c>
      <c r="D103" t="s">
        <v>41</v>
      </c>
      <c r="E103" t="s">
        <v>15</v>
      </c>
      <c r="F103">
        <v>0.67</v>
      </c>
      <c r="G103">
        <v>0.67300000000000004</v>
      </c>
      <c r="H103">
        <f t="shared" si="3"/>
        <v>4.4776119402985112E-3</v>
      </c>
      <c r="I103">
        <f t="shared" si="4"/>
        <v>1.5275138047618402E-7</v>
      </c>
      <c r="J103">
        <f t="shared" si="5"/>
        <v>0.15275138047618403</v>
      </c>
    </row>
    <row r="104" spans="1:10" x14ac:dyDescent="0.35">
      <c r="A104" t="s">
        <v>37</v>
      </c>
      <c r="B104" s="2">
        <v>44800</v>
      </c>
      <c r="C104" s="3">
        <v>0.125</v>
      </c>
      <c r="D104" t="s">
        <v>41</v>
      </c>
      <c r="E104" t="s">
        <v>15</v>
      </c>
      <c r="F104">
        <v>0.67</v>
      </c>
      <c r="G104">
        <v>0.67300000000000004</v>
      </c>
      <c r="H104">
        <f t="shared" si="3"/>
        <v>4.4776119402985112E-3</v>
      </c>
      <c r="I104">
        <f t="shared" si="4"/>
        <v>1.5275138047618402E-7</v>
      </c>
      <c r="J104">
        <f t="shared" si="5"/>
        <v>0.15275138047618403</v>
      </c>
    </row>
    <row r="105" spans="1:10" x14ac:dyDescent="0.35">
      <c r="A105" t="s">
        <v>37</v>
      </c>
      <c r="B105" s="2">
        <v>44800</v>
      </c>
      <c r="C105" s="3">
        <v>0.14583333333333334</v>
      </c>
      <c r="D105" t="s">
        <v>41</v>
      </c>
      <c r="E105" t="s">
        <v>15</v>
      </c>
      <c r="F105">
        <v>0.66800000000000004</v>
      </c>
      <c r="G105">
        <v>0.67300000000000004</v>
      </c>
      <c r="H105">
        <f t="shared" si="3"/>
        <v>7.4850299401197666E-3</v>
      </c>
      <c r="I105">
        <f t="shared" si="4"/>
        <v>2.87527382930181E-7</v>
      </c>
      <c r="J105">
        <f t="shared" si="5"/>
        <v>0.28752738293018099</v>
      </c>
    </row>
    <row r="106" spans="1:10" x14ac:dyDescent="0.35">
      <c r="A106" t="s">
        <v>37</v>
      </c>
      <c r="B106" s="2">
        <v>44800</v>
      </c>
      <c r="C106" s="3">
        <v>0.16666666666666666</v>
      </c>
      <c r="D106" t="s">
        <v>41</v>
      </c>
      <c r="E106" t="s">
        <v>15</v>
      </c>
      <c r="F106">
        <v>0.66700000000000004</v>
      </c>
      <c r="G106">
        <v>0.67300000000000004</v>
      </c>
      <c r="H106">
        <f t="shared" si="3"/>
        <v>8.9955022488755702E-3</v>
      </c>
      <c r="I106">
        <f t="shared" si="4"/>
        <v>3.60538999364938E-7</v>
      </c>
      <c r="J106">
        <f t="shared" si="5"/>
        <v>0.360538999364938</v>
      </c>
    </row>
    <row r="107" spans="1:10" x14ac:dyDescent="0.35">
      <c r="A107" t="s">
        <v>37</v>
      </c>
      <c r="B107" s="2">
        <v>44800</v>
      </c>
      <c r="C107" s="3">
        <v>0.1875</v>
      </c>
      <c r="D107" t="s">
        <v>41</v>
      </c>
      <c r="E107" t="s">
        <v>15</v>
      </c>
      <c r="F107">
        <v>0.66800000000000004</v>
      </c>
      <c r="G107">
        <v>0.67300000000000004</v>
      </c>
      <c r="H107">
        <f t="shared" si="3"/>
        <v>7.4850299401197666E-3</v>
      </c>
      <c r="I107">
        <f t="shared" si="4"/>
        <v>2.87527382930181E-7</v>
      </c>
      <c r="J107">
        <f t="shared" si="5"/>
        <v>0.28752738293018099</v>
      </c>
    </row>
    <row r="108" spans="1:10" x14ac:dyDescent="0.35">
      <c r="A108" t="s">
        <v>37</v>
      </c>
      <c r="B108" s="2">
        <v>44800</v>
      </c>
      <c r="C108" s="3">
        <v>0.20833333333333334</v>
      </c>
      <c r="D108" t="s">
        <v>41</v>
      </c>
      <c r="E108" t="s">
        <v>15</v>
      </c>
      <c r="F108">
        <v>0.67200000000000004</v>
      </c>
      <c r="G108">
        <v>0.67300000000000004</v>
      </c>
      <c r="H108">
        <f t="shared" si="3"/>
        <v>1.4880952380952393E-3</v>
      </c>
      <c r="I108">
        <f t="shared" si="4"/>
        <v>3.936002687208949E-8</v>
      </c>
      <c r="J108">
        <f t="shared" si="5"/>
        <v>3.936002687208949E-2</v>
      </c>
    </row>
    <row r="109" spans="1:10" x14ac:dyDescent="0.35">
      <c r="A109" t="s">
        <v>37</v>
      </c>
      <c r="B109" s="2">
        <v>44800</v>
      </c>
      <c r="C109" s="3">
        <v>0.22916666666666666</v>
      </c>
      <c r="D109" t="s">
        <v>41</v>
      </c>
      <c r="E109" t="s">
        <v>15</v>
      </c>
      <c r="F109">
        <v>0.67200000000000004</v>
      </c>
      <c r="G109">
        <v>0.67300000000000004</v>
      </c>
      <c r="H109">
        <f t="shared" si="3"/>
        <v>1.4880952380952393E-3</v>
      </c>
      <c r="I109">
        <f t="shared" si="4"/>
        <v>3.936002687208949E-8</v>
      </c>
      <c r="J109">
        <f t="shared" si="5"/>
        <v>3.936002687208949E-2</v>
      </c>
    </row>
    <row r="110" spans="1:10" x14ac:dyDescent="0.35">
      <c r="A110" t="s">
        <v>37</v>
      </c>
      <c r="B110" s="2">
        <v>44800</v>
      </c>
      <c r="C110" s="3">
        <v>0.25</v>
      </c>
      <c r="D110" t="s">
        <v>41</v>
      </c>
      <c r="E110" t="s">
        <v>15</v>
      </c>
      <c r="F110">
        <v>0.67200000000000004</v>
      </c>
      <c r="G110">
        <v>0.67300000000000004</v>
      </c>
      <c r="H110">
        <f t="shared" si="3"/>
        <v>1.4880952380952393E-3</v>
      </c>
      <c r="I110">
        <f t="shared" si="4"/>
        <v>3.936002687208949E-8</v>
      </c>
      <c r="J110">
        <f t="shared" si="5"/>
        <v>3.936002687208949E-2</v>
      </c>
    </row>
    <row r="111" spans="1:10" x14ac:dyDescent="0.35">
      <c r="A111" t="s">
        <v>37</v>
      </c>
      <c r="B111" s="2">
        <v>44800</v>
      </c>
      <c r="C111" s="3">
        <v>0.27083333333333331</v>
      </c>
      <c r="D111" t="s">
        <v>41</v>
      </c>
      <c r="E111" t="s">
        <v>15</v>
      </c>
      <c r="F111">
        <v>0.67300000000000004</v>
      </c>
      <c r="G111">
        <v>0.67300000000000004</v>
      </c>
      <c r="H111">
        <f t="shared" si="3"/>
        <v>0</v>
      </c>
      <c r="I111">
        <f t="shared" si="4"/>
        <v>0</v>
      </c>
      <c r="J111">
        <f t="shared" si="5"/>
        <v>0</v>
      </c>
    </row>
    <row r="112" spans="1:10" x14ac:dyDescent="0.35">
      <c r="A112" t="s">
        <v>37</v>
      </c>
      <c r="B112" s="2">
        <v>44800</v>
      </c>
      <c r="C112" s="3">
        <v>0.29166666666666669</v>
      </c>
      <c r="D112" t="s">
        <v>41</v>
      </c>
      <c r="E112" t="s">
        <v>15</v>
      </c>
      <c r="F112">
        <v>0.67</v>
      </c>
      <c r="G112">
        <v>0.67300000000000004</v>
      </c>
      <c r="H112">
        <f t="shared" si="3"/>
        <v>4.4776119402985112E-3</v>
      </c>
      <c r="I112">
        <f t="shared" si="4"/>
        <v>1.5275138047618402E-7</v>
      </c>
      <c r="J112">
        <f t="shared" si="5"/>
        <v>0.15275138047618403</v>
      </c>
    </row>
    <row r="113" spans="1:10" x14ac:dyDescent="0.35">
      <c r="A113" t="s">
        <v>37</v>
      </c>
      <c r="B113" s="2">
        <v>44800</v>
      </c>
      <c r="C113" s="3">
        <v>0.3125</v>
      </c>
      <c r="D113" t="s">
        <v>41</v>
      </c>
      <c r="E113" t="s">
        <v>15</v>
      </c>
      <c r="F113">
        <v>0.65200000000000002</v>
      </c>
      <c r="G113">
        <v>0.67300000000000004</v>
      </c>
      <c r="H113">
        <f t="shared" si="3"/>
        <v>3.2208588957055244E-2</v>
      </c>
      <c r="I113">
        <f t="shared" si="4"/>
        <v>1.7332456658004151E-6</v>
      </c>
      <c r="J113">
        <f t="shared" si="5"/>
        <v>1.7332456658004152</v>
      </c>
    </row>
    <row r="114" spans="1:10" x14ac:dyDescent="0.35">
      <c r="A114" t="s">
        <v>37</v>
      </c>
      <c r="B114" s="2">
        <v>44800</v>
      </c>
      <c r="C114" s="3">
        <v>0.33333333333333331</v>
      </c>
      <c r="D114" t="s">
        <v>41</v>
      </c>
      <c r="E114" t="s">
        <v>15</v>
      </c>
      <c r="F114">
        <v>0.59399999999999997</v>
      </c>
      <c r="G114">
        <v>0.67300000000000004</v>
      </c>
      <c r="H114">
        <f t="shared" si="3"/>
        <v>0.13299663299663311</v>
      </c>
      <c r="I114">
        <f t="shared" si="4"/>
        <v>9.9310415061232186E-6</v>
      </c>
      <c r="J114">
        <f t="shared" si="5"/>
        <v>9.9310415061232185</v>
      </c>
    </row>
    <row r="115" spans="1:10" x14ac:dyDescent="0.35">
      <c r="A115" t="s">
        <v>37</v>
      </c>
      <c r="B115" s="2">
        <v>44800</v>
      </c>
      <c r="C115" s="3">
        <v>0.35416666666666669</v>
      </c>
      <c r="D115" t="s">
        <v>41</v>
      </c>
      <c r="E115" t="s">
        <v>15</v>
      </c>
      <c r="F115">
        <v>0.496</v>
      </c>
      <c r="G115">
        <v>0.67300000000000004</v>
      </c>
      <c r="H115">
        <f t="shared" si="3"/>
        <v>0.35685483870967749</v>
      </c>
      <c r="I115">
        <f t="shared" si="4"/>
        <v>3.3470647078026066E-5</v>
      </c>
      <c r="J115">
        <f t="shared" si="5"/>
        <v>33.470647078026069</v>
      </c>
    </row>
    <row r="116" spans="1:10" x14ac:dyDescent="0.35">
      <c r="A116" t="s">
        <v>37</v>
      </c>
      <c r="B116" s="2">
        <v>44800</v>
      </c>
      <c r="C116" s="3">
        <v>0.375</v>
      </c>
      <c r="D116" t="s">
        <v>41</v>
      </c>
      <c r="E116" t="s">
        <v>15</v>
      </c>
      <c r="F116">
        <v>0.41899999999999998</v>
      </c>
      <c r="G116">
        <v>0.67300000000000004</v>
      </c>
      <c r="H116">
        <f t="shared" si="3"/>
        <v>0.60620525059665886</v>
      </c>
      <c r="I116">
        <f t="shared" si="4"/>
        <v>6.4261639916813861E-5</v>
      </c>
      <c r="J116">
        <f t="shared" si="5"/>
        <v>64.261639916813863</v>
      </c>
    </row>
    <row r="117" spans="1:10" x14ac:dyDescent="0.35">
      <c r="A117" t="s">
        <v>37</v>
      </c>
      <c r="B117" s="2">
        <v>44800</v>
      </c>
      <c r="C117" s="3">
        <v>0.39583333333333331</v>
      </c>
      <c r="D117" t="s">
        <v>41</v>
      </c>
      <c r="E117" t="s">
        <v>15</v>
      </c>
      <c r="F117">
        <v>0.39500000000000002</v>
      </c>
      <c r="G117">
        <v>0.67300000000000004</v>
      </c>
      <c r="H117">
        <f t="shared" si="3"/>
        <v>0.70379746835443036</v>
      </c>
      <c r="I117">
        <f t="shared" si="4"/>
        <v>7.7224495619438994E-5</v>
      </c>
      <c r="J117">
        <f t="shared" si="5"/>
        <v>77.224495619438997</v>
      </c>
    </row>
    <row r="118" spans="1:10" x14ac:dyDescent="0.35">
      <c r="A118" t="s">
        <v>37</v>
      </c>
      <c r="B118" s="2">
        <v>44800</v>
      </c>
      <c r="C118" s="3">
        <v>0.41666666666666669</v>
      </c>
      <c r="D118" t="s">
        <v>41</v>
      </c>
      <c r="E118" t="s">
        <v>15</v>
      </c>
      <c r="F118">
        <v>0.39900000000000002</v>
      </c>
      <c r="G118">
        <v>0.67300000000000004</v>
      </c>
      <c r="H118">
        <f t="shared" si="3"/>
        <v>0.68671679197994984</v>
      </c>
      <c r="I118">
        <f t="shared" si="4"/>
        <v>7.4923881728826319E-5</v>
      </c>
      <c r="J118">
        <f t="shared" si="5"/>
        <v>74.923881728826316</v>
      </c>
    </row>
    <row r="119" spans="1:10" x14ac:dyDescent="0.35">
      <c r="A119" t="s">
        <v>37</v>
      </c>
      <c r="B119" s="2">
        <v>44800</v>
      </c>
      <c r="C119" s="3">
        <v>0.4375</v>
      </c>
      <c r="D119" t="s">
        <v>41</v>
      </c>
      <c r="E119" t="s">
        <v>15</v>
      </c>
      <c r="F119">
        <v>0.41599999999999998</v>
      </c>
      <c r="G119">
        <v>0.67300000000000004</v>
      </c>
      <c r="H119">
        <f t="shared" si="3"/>
        <v>0.61778846153846168</v>
      </c>
      <c r="I119">
        <f t="shared" si="4"/>
        <v>6.5776497799940566E-5</v>
      </c>
      <c r="J119">
        <f t="shared" si="5"/>
        <v>65.776497799940572</v>
      </c>
    </row>
    <row r="120" spans="1:10" x14ac:dyDescent="0.35">
      <c r="A120" t="s">
        <v>37</v>
      </c>
      <c r="B120" s="2">
        <v>44800</v>
      </c>
      <c r="C120" s="3">
        <v>0.45833333333333331</v>
      </c>
      <c r="D120" t="s">
        <v>41</v>
      </c>
      <c r="E120" t="s">
        <v>15</v>
      </c>
      <c r="F120">
        <v>0.41499999999999998</v>
      </c>
      <c r="G120">
        <v>0.67300000000000004</v>
      </c>
      <c r="H120">
        <f t="shared" si="3"/>
        <v>0.62168674698795201</v>
      </c>
      <c r="I120">
        <f t="shared" si="4"/>
        <v>6.6287801030967316E-5</v>
      </c>
      <c r="J120">
        <f t="shared" si="5"/>
        <v>66.287801030967316</v>
      </c>
    </row>
    <row r="121" spans="1:10" x14ac:dyDescent="0.35">
      <c r="A121" t="s">
        <v>37</v>
      </c>
      <c r="B121" s="2">
        <v>44800</v>
      </c>
      <c r="C121" s="3">
        <v>0.47916666666666669</v>
      </c>
      <c r="D121" t="s">
        <v>41</v>
      </c>
      <c r="E121" t="s">
        <v>15</v>
      </c>
      <c r="F121">
        <v>0.42099999999999999</v>
      </c>
      <c r="G121">
        <v>0.67300000000000004</v>
      </c>
      <c r="H121">
        <f t="shared" si="3"/>
        <v>0.5985748218527317</v>
      </c>
      <c r="I121">
        <f t="shared" si="4"/>
        <v>6.3267367922548157E-5</v>
      </c>
      <c r="J121">
        <f t="shared" si="5"/>
        <v>63.267367922548154</v>
      </c>
    </row>
    <row r="122" spans="1:10" x14ac:dyDescent="0.35">
      <c r="A122" t="s">
        <v>37</v>
      </c>
      <c r="B122" s="2">
        <v>44800</v>
      </c>
      <c r="C122" s="3">
        <v>0.5</v>
      </c>
      <c r="D122" t="s">
        <v>41</v>
      </c>
      <c r="E122" t="s">
        <v>15</v>
      </c>
      <c r="F122">
        <v>0.437</v>
      </c>
      <c r="G122">
        <v>0.67300000000000004</v>
      </c>
      <c r="H122">
        <f t="shared" si="3"/>
        <v>0.54004576659038916</v>
      </c>
      <c r="I122">
        <f t="shared" si="4"/>
        <v>5.5740259742404565E-5</v>
      </c>
      <c r="J122">
        <f t="shared" si="5"/>
        <v>55.740259742404568</v>
      </c>
    </row>
    <row r="123" spans="1:10" x14ac:dyDescent="0.35">
      <c r="A123" t="s">
        <v>37</v>
      </c>
      <c r="B123" s="2">
        <v>44800</v>
      </c>
      <c r="C123" s="3">
        <v>0.52083333333333337</v>
      </c>
      <c r="D123" t="s">
        <v>41</v>
      </c>
      <c r="E123" t="s">
        <v>15</v>
      </c>
      <c r="F123">
        <v>0.45500000000000002</v>
      </c>
      <c r="G123">
        <v>0.67300000000000004</v>
      </c>
      <c r="H123">
        <f t="shared" si="3"/>
        <v>0.47912087912087914</v>
      </c>
      <c r="I123">
        <f t="shared" si="4"/>
        <v>4.810330052188774E-5</v>
      </c>
      <c r="J123">
        <f t="shared" si="5"/>
        <v>48.103300521887739</v>
      </c>
    </row>
    <row r="124" spans="1:10" x14ac:dyDescent="0.35">
      <c r="A124" t="s">
        <v>37</v>
      </c>
      <c r="B124" s="2">
        <v>44800</v>
      </c>
      <c r="C124" s="3">
        <v>0.54166666666666663</v>
      </c>
      <c r="D124" t="s">
        <v>41</v>
      </c>
      <c r="E124" t="s">
        <v>15</v>
      </c>
      <c r="F124">
        <v>0.45800000000000002</v>
      </c>
      <c r="G124">
        <v>0.67300000000000004</v>
      </c>
      <c r="H124">
        <f t="shared" si="3"/>
        <v>0.46943231441048039</v>
      </c>
      <c r="I124">
        <f t="shared" si="4"/>
        <v>4.6908689716534447E-5</v>
      </c>
      <c r="J124">
        <f t="shared" si="5"/>
        <v>46.908689716534447</v>
      </c>
    </row>
    <row r="125" spans="1:10" x14ac:dyDescent="0.35">
      <c r="A125" t="s">
        <v>37</v>
      </c>
      <c r="B125" s="2">
        <v>44800</v>
      </c>
      <c r="C125" s="3">
        <v>0.5625</v>
      </c>
      <c r="D125" t="s">
        <v>41</v>
      </c>
      <c r="E125" t="s">
        <v>15</v>
      </c>
      <c r="F125">
        <v>0.45900000000000002</v>
      </c>
      <c r="G125">
        <v>0.67300000000000004</v>
      </c>
      <c r="H125">
        <f t="shared" si="3"/>
        <v>0.46623093681917216</v>
      </c>
      <c r="I125">
        <f t="shared" si="4"/>
        <v>4.6515200842825035E-5</v>
      </c>
      <c r="J125">
        <f t="shared" si="5"/>
        <v>46.515200842825031</v>
      </c>
    </row>
    <row r="126" spans="1:10" x14ac:dyDescent="0.35">
      <c r="A126" t="s">
        <v>37</v>
      </c>
      <c r="B126" s="2">
        <v>44800</v>
      </c>
      <c r="C126" s="3">
        <v>0.58333333333333337</v>
      </c>
      <c r="D126" t="s">
        <v>41</v>
      </c>
      <c r="E126" t="s">
        <v>15</v>
      </c>
      <c r="F126">
        <v>0.46500000000000002</v>
      </c>
      <c r="G126">
        <v>0.67300000000000004</v>
      </c>
      <c r="H126">
        <f t="shared" si="3"/>
        <v>0.44731182795698926</v>
      </c>
      <c r="I126">
        <f t="shared" si="4"/>
        <v>4.420265357635905E-5</v>
      </c>
      <c r="J126">
        <f t="shared" si="5"/>
        <v>44.202653576359047</v>
      </c>
    </row>
    <row r="127" spans="1:10" x14ac:dyDescent="0.35">
      <c r="A127" t="s">
        <v>37</v>
      </c>
      <c r="B127" s="2">
        <v>44800</v>
      </c>
      <c r="C127" s="3">
        <v>0.60416666666666663</v>
      </c>
      <c r="D127" t="s">
        <v>41</v>
      </c>
      <c r="E127" t="s">
        <v>15</v>
      </c>
      <c r="F127">
        <v>0.44900000000000001</v>
      </c>
      <c r="G127">
        <v>0.67300000000000004</v>
      </c>
      <c r="H127">
        <f t="shared" si="3"/>
        <v>0.49888641425389763</v>
      </c>
      <c r="I127">
        <f t="shared" si="4"/>
        <v>5.0557667129255685E-5</v>
      </c>
      <c r="J127">
        <f t="shared" si="5"/>
        <v>50.557667129255684</v>
      </c>
    </row>
    <row r="128" spans="1:10" x14ac:dyDescent="0.35">
      <c r="A128" t="s">
        <v>37</v>
      </c>
      <c r="B128" s="2">
        <v>44800</v>
      </c>
      <c r="C128" s="3">
        <v>0.625</v>
      </c>
      <c r="D128" t="s">
        <v>41</v>
      </c>
      <c r="E128" t="s">
        <v>15</v>
      </c>
      <c r="F128">
        <v>0.45800000000000002</v>
      </c>
      <c r="G128">
        <v>0.67300000000000004</v>
      </c>
      <c r="H128">
        <f t="shared" si="3"/>
        <v>0.46943231441048039</v>
      </c>
      <c r="I128">
        <f t="shared" si="4"/>
        <v>4.6908689716534447E-5</v>
      </c>
      <c r="J128">
        <f t="shared" si="5"/>
        <v>46.908689716534447</v>
      </c>
    </row>
    <row r="129" spans="1:10" x14ac:dyDescent="0.35">
      <c r="A129" t="s">
        <v>37</v>
      </c>
      <c r="B129" s="2">
        <v>44800</v>
      </c>
      <c r="C129" s="3">
        <v>0.64583333333333337</v>
      </c>
      <c r="D129" t="s">
        <v>41</v>
      </c>
      <c r="E129" t="s">
        <v>15</v>
      </c>
      <c r="F129">
        <v>0.45</v>
      </c>
      <c r="G129">
        <v>0.67300000000000004</v>
      </c>
      <c r="H129">
        <f t="shared" si="3"/>
        <v>0.49555555555555564</v>
      </c>
      <c r="I129">
        <f t="shared" si="4"/>
        <v>5.0142460764408502E-5</v>
      </c>
      <c r="J129">
        <f t="shared" si="5"/>
        <v>50.142460764408504</v>
      </c>
    </row>
    <row r="130" spans="1:10" x14ac:dyDescent="0.35">
      <c r="A130" t="s">
        <v>37</v>
      </c>
      <c r="B130" s="2">
        <v>44800</v>
      </c>
      <c r="C130" s="3">
        <v>0.66666666666666663</v>
      </c>
      <c r="D130" t="s">
        <v>41</v>
      </c>
      <c r="E130" t="s">
        <v>15</v>
      </c>
      <c r="F130">
        <v>0.44</v>
      </c>
      <c r="G130">
        <v>0.67300000000000004</v>
      </c>
      <c r="H130">
        <f t="shared" ref="H130:H193" si="6">(G130-F130)/F130</f>
        <v>0.52954545454545465</v>
      </c>
      <c r="I130">
        <f t="shared" ref="I130:I193" si="7">119*10^-6*(H130^1.231)</f>
        <v>5.440913924735662E-5</v>
      </c>
      <c r="J130">
        <f t="shared" si="5"/>
        <v>54.40913924735662</v>
      </c>
    </row>
    <row r="131" spans="1:10" x14ac:dyDescent="0.35">
      <c r="A131" t="s">
        <v>37</v>
      </c>
      <c r="B131" s="2">
        <v>44800</v>
      </c>
      <c r="C131" s="3">
        <v>0.6875</v>
      </c>
      <c r="D131" t="s">
        <v>41</v>
      </c>
      <c r="E131" t="s">
        <v>15</v>
      </c>
      <c r="F131">
        <v>0.46700000000000003</v>
      </c>
      <c r="G131">
        <v>0.67300000000000004</v>
      </c>
      <c r="H131">
        <f t="shared" si="6"/>
        <v>0.4411134903640257</v>
      </c>
      <c r="I131">
        <f t="shared" si="7"/>
        <v>4.3449864826812293E-5</v>
      </c>
      <c r="J131">
        <f t="shared" ref="J131:J194" si="8">I131*10^6</f>
        <v>43.449864826812295</v>
      </c>
    </row>
    <row r="132" spans="1:10" x14ac:dyDescent="0.35">
      <c r="A132" t="s">
        <v>37</v>
      </c>
      <c r="B132" s="2">
        <v>44800</v>
      </c>
      <c r="C132" s="3">
        <v>0.70833333333333337</v>
      </c>
      <c r="D132" t="s">
        <v>41</v>
      </c>
      <c r="E132" t="s">
        <v>15</v>
      </c>
      <c r="F132">
        <v>0.50600000000000001</v>
      </c>
      <c r="G132">
        <v>0.67300000000000004</v>
      </c>
      <c r="H132">
        <f t="shared" si="6"/>
        <v>0.3300395256916997</v>
      </c>
      <c r="I132">
        <f t="shared" si="7"/>
        <v>3.0401964751390062E-5</v>
      </c>
      <c r="J132">
        <f t="shared" si="8"/>
        <v>30.401964751390061</v>
      </c>
    </row>
    <row r="133" spans="1:10" x14ac:dyDescent="0.35">
      <c r="A133" t="s">
        <v>37</v>
      </c>
      <c r="B133" s="2">
        <v>44800</v>
      </c>
      <c r="C133" s="3">
        <v>0.72916666666666663</v>
      </c>
      <c r="D133" t="s">
        <v>41</v>
      </c>
      <c r="E133" t="s">
        <v>15</v>
      </c>
      <c r="F133">
        <v>0.54400000000000004</v>
      </c>
      <c r="G133">
        <v>0.67300000000000004</v>
      </c>
      <c r="H133">
        <f t="shared" si="6"/>
        <v>0.23713235294117646</v>
      </c>
      <c r="I133">
        <f t="shared" si="7"/>
        <v>2.0237676491953031E-5</v>
      </c>
      <c r="J133">
        <f t="shared" si="8"/>
        <v>20.237676491953032</v>
      </c>
    </row>
    <row r="134" spans="1:10" x14ac:dyDescent="0.35">
      <c r="A134" t="s">
        <v>37</v>
      </c>
      <c r="B134" s="2">
        <v>44800</v>
      </c>
      <c r="C134" s="3">
        <v>0.75</v>
      </c>
      <c r="D134" t="s">
        <v>41</v>
      </c>
      <c r="E134" t="s">
        <v>15</v>
      </c>
      <c r="F134">
        <v>0.58299999999999996</v>
      </c>
      <c r="G134">
        <v>0.67300000000000004</v>
      </c>
      <c r="H134">
        <f t="shared" si="6"/>
        <v>0.15437392795883376</v>
      </c>
      <c r="I134">
        <f t="shared" si="7"/>
        <v>1.193112785324485E-5</v>
      </c>
      <c r="J134">
        <f t="shared" si="8"/>
        <v>11.931127853244851</v>
      </c>
    </row>
    <row r="135" spans="1:10" x14ac:dyDescent="0.35">
      <c r="A135" t="s">
        <v>37</v>
      </c>
      <c r="B135" s="2">
        <v>44800</v>
      </c>
      <c r="C135" s="3">
        <v>0.77083333333333337</v>
      </c>
      <c r="D135" t="s">
        <v>41</v>
      </c>
      <c r="E135" t="s">
        <v>15</v>
      </c>
      <c r="F135">
        <v>0.622</v>
      </c>
      <c r="G135">
        <v>0.67300000000000004</v>
      </c>
      <c r="H135">
        <f t="shared" si="6"/>
        <v>8.1993569131832866E-2</v>
      </c>
      <c r="I135">
        <f t="shared" si="7"/>
        <v>5.4753247709226228E-6</v>
      </c>
      <c r="J135">
        <f t="shared" si="8"/>
        <v>5.4753247709226232</v>
      </c>
    </row>
    <row r="136" spans="1:10" x14ac:dyDescent="0.35">
      <c r="A136" t="s">
        <v>37</v>
      </c>
      <c r="B136" s="2">
        <v>44800</v>
      </c>
      <c r="C136" s="3">
        <v>0.79166666666666663</v>
      </c>
      <c r="D136" t="s">
        <v>41</v>
      </c>
      <c r="E136" t="s">
        <v>15</v>
      </c>
      <c r="F136">
        <v>0.64600000000000002</v>
      </c>
      <c r="G136">
        <v>0.67300000000000004</v>
      </c>
      <c r="H136">
        <f t="shared" si="6"/>
        <v>4.1795665634674961E-2</v>
      </c>
      <c r="I136">
        <f t="shared" si="7"/>
        <v>2.3886885369015226E-6</v>
      </c>
      <c r="J136">
        <f t="shared" si="8"/>
        <v>2.3886885369015225</v>
      </c>
    </row>
    <row r="137" spans="1:10" x14ac:dyDescent="0.35">
      <c r="A137" t="s">
        <v>37</v>
      </c>
      <c r="B137" s="2">
        <v>44800</v>
      </c>
      <c r="C137" s="3">
        <v>0.8125</v>
      </c>
      <c r="D137" t="s">
        <v>41</v>
      </c>
      <c r="E137" t="s">
        <v>15</v>
      </c>
      <c r="F137">
        <v>0.65900000000000003</v>
      </c>
      <c r="G137">
        <v>0.67300000000000004</v>
      </c>
      <c r="H137">
        <f t="shared" si="6"/>
        <v>2.124430955993932E-2</v>
      </c>
      <c r="I137">
        <f t="shared" si="7"/>
        <v>1.0384429158068637E-6</v>
      </c>
      <c r="J137">
        <f t="shared" si="8"/>
        <v>1.0384429158068638</v>
      </c>
    </row>
    <row r="138" spans="1:10" x14ac:dyDescent="0.35">
      <c r="A138" t="s">
        <v>37</v>
      </c>
      <c r="B138" s="2">
        <v>44800</v>
      </c>
      <c r="C138" s="3">
        <v>0.83333333333333337</v>
      </c>
      <c r="D138" t="s">
        <v>41</v>
      </c>
      <c r="E138" t="s">
        <v>15</v>
      </c>
      <c r="F138">
        <v>0.66300000000000003</v>
      </c>
      <c r="G138">
        <v>0.67300000000000004</v>
      </c>
      <c r="H138">
        <f t="shared" si="6"/>
        <v>1.508295625942686E-2</v>
      </c>
      <c r="I138">
        <f t="shared" si="7"/>
        <v>6.811830109898548E-7</v>
      </c>
      <c r="J138">
        <f t="shared" si="8"/>
        <v>0.68118301098985479</v>
      </c>
    </row>
    <row r="139" spans="1:10" x14ac:dyDescent="0.35">
      <c r="A139" t="s">
        <v>37</v>
      </c>
      <c r="B139" s="2">
        <v>44800</v>
      </c>
      <c r="C139" s="3">
        <v>0.85416666666666663</v>
      </c>
      <c r="D139" t="s">
        <v>41</v>
      </c>
      <c r="E139" t="s">
        <v>15</v>
      </c>
      <c r="F139">
        <v>0.66700000000000004</v>
      </c>
      <c r="G139">
        <v>0.67300000000000004</v>
      </c>
      <c r="H139">
        <f t="shared" si="6"/>
        <v>8.9955022488755702E-3</v>
      </c>
      <c r="I139">
        <f t="shared" si="7"/>
        <v>3.60538999364938E-7</v>
      </c>
      <c r="J139">
        <f t="shared" si="8"/>
        <v>0.360538999364938</v>
      </c>
    </row>
    <row r="140" spans="1:10" x14ac:dyDescent="0.35">
      <c r="A140" t="s">
        <v>37</v>
      </c>
      <c r="B140" s="2">
        <v>44800</v>
      </c>
      <c r="C140" s="3">
        <v>0.875</v>
      </c>
      <c r="D140" t="s">
        <v>41</v>
      </c>
      <c r="E140" t="s">
        <v>15</v>
      </c>
      <c r="F140">
        <v>0.67</v>
      </c>
      <c r="G140">
        <v>0.67300000000000004</v>
      </c>
      <c r="H140">
        <f t="shared" si="6"/>
        <v>4.4776119402985112E-3</v>
      </c>
      <c r="I140">
        <f t="shared" si="7"/>
        <v>1.5275138047618402E-7</v>
      </c>
      <c r="J140">
        <f t="shared" si="8"/>
        <v>0.15275138047618403</v>
      </c>
    </row>
    <row r="141" spans="1:10" x14ac:dyDescent="0.35">
      <c r="A141" t="s">
        <v>37</v>
      </c>
      <c r="B141" s="2">
        <v>44800</v>
      </c>
      <c r="C141" s="3">
        <v>0.89583333333333337</v>
      </c>
      <c r="D141" t="s">
        <v>41</v>
      </c>
      <c r="E141" t="s">
        <v>15</v>
      </c>
      <c r="F141">
        <v>0.67100000000000004</v>
      </c>
      <c r="G141">
        <v>0.67300000000000004</v>
      </c>
      <c r="H141">
        <f t="shared" si="6"/>
        <v>2.9806259314456062E-3</v>
      </c>
      <c r="I141">
        <f t="shared" si="7"/>
        <v>9.2559172597399345E-8</v>
      </c>
      <c r="J141">
        <f t="shared" si="8"/>
        <v>9.2559172597399347E-2</v>
      </c>
    </row>
    <row r="142" spans="1:10" x14ac:dyDescent="0.35">
      <c r="A142" t="s">
        <v>37</v>
      </c>
      <c r="B142" s="2">
        <v>44800</v>
      </c>
      <c r="C142" s="3">
        <v>0.91666666666666663</v>
      </c>
      <c r="D142" t="s">
        <v>41</v>
      </c>
      <c r="E142" t="s">
        <v>15</v>
      </c>
      <c r="F142">
        <v>0.67100000000000004</v>
      </c>
      <c r="G142">
        <v>0.67300000000000004</v>
      </c>
      <c r="H142">
        <f t="shared" si="6"/>
        <v>2.9806259314456062E-3</v>
      </c>
      <c r="I142">
        <f t="shared" si="7"/>
        <v>9.2559172597399345E-8</v>
      </c>
      <c r="J142">
        <f t="shared" si="8"/>
        <v>9.2559172597399347E-2</v>
      </c>
    </row>
    <row r="143" spans="1:10" x14ac:dyDescent="0.35">
      <c r="A143" t="s">
        <v>37</v>
      </c>
      <c r="B143" s="2">
        <v>44800</v>
      </c>
      <c r="C143" s="3">
        <v>0.9375</v>
      </c>
      <c r="D143" t="s">
        <v>41</v>
      </c>
      <c r="E143" t="s">
        <v>15</v>
      </c>
      <c r="F143">
        <v>0.67200000000000004</v>
      </c>
      <c r="G143">
        <v>0.67300000000000004</v>
      </c>
      <c r="H143">
        <f t="shared" si="6"/>
        <v>1.4880952380952393E-3</v>
      </c>
      <c r="I143">
        <f t="shared" si="7"/>
        <v>3.936002687208949E-8</v>
      </c>
      <c r="J143">
        <f t="shared" si="8"/>
        <v>3.936002687208949E-2</v>
      </c>
    </row>
    <row r="144" spans="1:10" x14ac:dyDescent="0.35">
      <c r="A144" t="s">
        <v>37</v>
      </c>
      <c r="B144" s="2">
        <v>44800</v>
      </c>
      <c r="C144" s="3">
        <v>0.95833333333333337</v>
      </c>
      <c r="D144" t="s">
        <v>41</v>
      </c>
      <c r="E144" t="s">
        <v>15</v>
      </c>
      <c r="F144">
        <v>0.67100000000000004</v>
      </c>
      <c r="G144">
        <v>0.67300000000000004</v>
      </c>
      <c r="H144">
        <f t="shared" si="6"/>
        <v>2.9806259314456062E-3</v>
      </c>
      <c r="I144">
        <f t="shared" si="7"/>
        <v>9.2559172597399345E-8</v>
      </c>
      <c r="J144">
        <f t="shared" si="8"/>
        <v>9.2559172597399347E-2</v>
      </c>
    </row>
    <row r="145" spans="1:10" x14ac:dyDescent="0.35">
      <c r="A145" t="s">
        <v>37</v>
      </c>
      <c r="B145" s="2">
        <v>44800</v>
      </c>
      <c r="C145" s="3">
        <v>0.97916666666666663</v>
      </c>
      <c r="D145" t="s">
        <v>41</v>
      </c>
      <c r="E145" t="s">
        <v>15</v>
      </c>
      <c r="F145">
        <v>0.67200000000000004</v>
      </c>
      <c r="G145">
        <v>0.67300000000000004</v>
      </c>
      <c r="H145">
        <f t="shared" si="6"/>
        <v>1.4880952380952393E-3</v>
      </c>
      <c r="I145">
        <f t="shared" si="7"/>
        <v>3.936002687208949E-8</v>
      </c>
      <c r="J145">
        <f t="shared" si="8"/>
        <v>3.936002687208949E-2</v>
      </c>
    </row>
    <row r="146" spans="1:10" x14ac:dyDescent="0.35">
      <c r="A146" t="s">
        <v>37</v>
      </c>
      <c r="B146" s="2">
        <v>44800</v>
      </c>
      <c r="C146" s="3">
        <v>0</v>
      </c>
      <c r="D146" t="s">
        <v>42</v>
      </c>
      <c r="E146" t="s">
        <v>7</v>
      </c>
      <c r="F146">
        <v>0.754</v>
      </c>
      <c r="G146">
        <f>MAX(F146:F193)</f>
        <v>0.76900000000000002</v>
      </c>
      <c r="H146">
        <f t="shared" si="6"/>
        <v>1.9893899204244048E-2</v>
      </c>
      <c r="I146">
        <f t="shared" si="7"/>
        <v>9.5779193222040255E-7</v>
      </c>
      <c r="J146">
        <f t="shared" si="8"/>
        <v>0.9577919322204026</v>
      </c>
    </row>
    <row r="147" spans="1:10" x14ac:dyDescent="0.35">
      <c r="A147" t="s">
        <v>37</v>
      </c>
      <c r="B147" s="2">
        <v>44800</v>
      </c>
      <c r="C147" s="3">
        <v>2.0833333333333332E-2</v>
      </c>
      <c r="D147" t="s">
        <v>42</v>
      </c>
      <c r="E147" t="s">
        <v>7</v>
      </c>
      <c r="F147">
        <v>0.75600000000000001</v>
      </c>
      <c r="G147">
        <v>0.76900000000000002</v>
      </c>
      <c r="H147">
        <f t="shared" si="6"/>
        <v>1.7195767195767212E-2</v>
      </c>
      <c r="I147">
        <f t="shared" si="7"/>
        <v>8.0048075990556555E-7</v>
      </c>
      <c r="J147">
        <f t="shared" si="8"/>
        <v>0.80048075990556555</v>
      </c>
    </row>
    <row r="148" spans="1:10" x14ac:dyDescent="0.35">
      <c r="A148" t="s">
        <v>37</v>
      </c>
      <c r="B148" s="2">
        <v>44800</v>
      </c>
      <c r="C148" s="3">
        <v>4.1666666666666664E-2</v>
      </c>
      <c r="D148" t="s">
        <v>42</v>
      </c>
      <c r="E148" t="s">
        <v>7</v>
      </c>
      <c r="F148">
        <v>0.75800000000000001</v>
      </c>
      <c r="G148">
        <v>0.76900000000000002</v>
      </c>
      <c r="H148">
        <f t="shared" si="6"/>
        <v>1.4511873350923495E-2</v>
      </c>
      <c r="I148">
        <f t="shared" si="7"/>
        <v>6.4957389721582406E-7</v>
      </c>
      <c r="J148">
        <f t="shared" si="8"/>
        <v>0.64957389721582404</v>
      </c>
    </row>
    <row r="149" spans="1:10" x14ac:dyDescent="0.35">
      <c r="A149" t="s">
        <v>37</v>
      </c>
      <c r="B149" s="2">
        <v>44800</v>
      </c>
      <c r="C149" s="3">
        <v>6.25E-2</v>
      </c>
      <c r="D149" t="s">
        <v>42</v>
      </c>
      <c r="E149" t="s">
        <v>7</v>
      </c>
      <c r="F149">
        <v>0.76100000000000001</v>
      </c>
      <c r="G149">
        <v>0.76900000000000002</v>
      </c>
      <c r="H149">
        <f t="shared" si="6"/>
        <v>1.0512483574244424E-2</v>
      </c>
      <c r="I149">
        <f t="shared" si="7"/>
        <v>4.3678349885644503E-7</v>
      </c>
      <c r="J149">
        <f t="shared" si="8"/>
        <v>0.43678349885644502</v>
      </c>
    </row>
    <row r="150" spans="1:10" x14ac:dyDescent="0.35">
      <c r="A150" t="s">
        <v>37</v>
      </c>
      <c r="B150" s="2">
        <v>44800</v>
      </c>
      <c r="C150" s="3">
        <v>8.3333333333333329E-2</v>
      </c>
      <c r="D150" t="s">
        <v>42</v>
      </c>
      <c r="E150" t="s">
        <v>7</v>
      </c>
      <c r="F150">
        <v>0.76300000000000001</v>
      </c>
      <c r="G150">
        <v>0.76900000000000002</v>
      </c>
      <c r="H150">
        <f t="shared" si="6"/>
        <v>7.8636959370904386E-3</v>
      </c>
      <c r="I150">
        <f t="shared" si="7"/>
        <v>3.0553674273628636E-7</v>
      </c>
      <c r="J150">
        <f t="shared" si="8"/>
        <v>0.30553674273628634</v>
      </c>
    </row>
    <row r="151" spans="1:10" x14ac:dyDescent="0.35">
      <c r="A151" t="s">
        <v>37</v>
      </c>
      <c r="B151" s="2">
        <v>44800</v>
      </c>
      <c r="C151" s="3">
        <v>0.10416666666666667</v>
      </c>
      <c r="D151" t="s">
        <v>42</v>
      </c>
      <c r="E151" t="s">
        <v>7</v>
      </c>
      <c r="F151">
        <v>0.76400000000000001</v>
      </c>
      <c r="G151">
        <v>0.76900000000000002</v>
      </c>
      <c r="H151">
        <f t="shared" si="6"/>
        <v>6.5445026178010532E-3</v>
      </c>
      <c r="I151">
        <f t="shared" si="7"/>
        <v>2.4371996794004098E-7</v>
      </c>
      <c r="J151">
        <f t="shared" si="8"/>
        <v>0.24371996794004097</v>
      </c>
    </row>
    <row r="152" spans="1:10" x14ac:dyDescent="0.35">
      <c r="A152" t="s">
        <v>37</v>
      </c>
      <c r="B152" s="2">
        <v>44800</v>
      </c>
      <c r="C152" s="3">
        <v>0.125</v>
      </c>
      <c r="D152" t="s">
        <v>42</v>
      </c>
      <c r="E152" t="s">
        <v>7</v>
      </c>
      <c r="F152">
        <v>0.76400000000000001</v>
      </c>
      <c r="G152">
        <v>0.76900000000000002</v>
      </c>
      <c r="H152">
        <f t="shared" si="6"/>
        <v>6.5445026178010532E-3</v>
      </c>
      <c r="I152">
        <f t="shared" si="7"/>
        <v>2.4371996794004098E-7</v>
      </c>
      <c r="J152">
        <f t="shared" si="8"/>
        <v>0.24371996794004097</v>
      </c>
    </row>
    <row r="153" spans="1:10" x14ac:dyDescent="0.35">
      <c r="A153" t="s">
        <v>37</v>
      </c>
      <c r="B153" s="2">
        <v>44800</v>
      </c>
      <c r="C153" s="3">
        <v>0.14583333333333334</v>
      </c>
      <c r="D153" t="s">
        <v>42</v>
      </c>
      <c r="E153" t="s">
        <v>7</v>
      </c>
      <c r="F153">
        <v>0.76400000000000001</v>
      </c>
      <c r="G153">
        <v>0.76900000000000002</v>
      </c>
      <c r="H153">
        <f t="shared" si="6"/>
        <v>6.5445026178010532E-3</v>
      </c>
      <c r="I153">
        <f t="shared" si="7"/>
        <v>2.4371996794004098E-7</v>
      </c>
      <c r="J153">
        <f t="shared" si="8"/>
        <v>0.24371996794004097</v>
      </c>
    </row>
    <row r="154" spans="1:10" x14ac:dyDescent="0.35">
      <c r="A154" t="s">
        <v>37</v>
      </c>
      <c r="B154" s="2">
        <v>44800</v>
      </c>
      <c r="C154" s="3">
        <v>0.16666666666666666</v>
      </c>
      <c r="D154" t="s">
        <v>42</v>
      </c>
      <c r="E154" t="s">
        <v>7</v>
      </c>
      <c r="F154">
        <v>0.76500000000000001</v>
      </c>
      <c r="G154">
        <v>0.76900000000000002</v>
      </c>
      <c r="H154">
        <f t="shared" si="6"/>
        <v>5.2287581699346454E-3</v>
      </c>
      <c r="I154">
        <f t="shared" si="7"/>
        <v>1.8488240590081452E-7</v>
      </c>
      <c r="J154">
        <f t="shared" si="8"/>
        <v>0.18488240590081453</v>
      </c>
    </row>
    <row r="155" spans="1:10" x14ac:dyDescent="0.35">
      <c r="A155" t="s">
        <v>37</v>
      </c>
      <c r="B155" s="2">
        <v>44800</v>
      </c>
      <c r="C155" s="3">
        <v>0.1875</v>
      </c>
      <c r="D155" t="s">
        <v>42</v>
      </c>
      <c r="E155" t="s">
        <v>7</v>
      </c>
      <c r="F155">
        <v>0.76600000000000001</v>
      </c>
      <c r="G155">
        <v>0.76900000000000002</v>
      </c>
      <c r="H155">
        <f t="shared" si="6"/>
        <v>3.916449086161883E-3</v>
      </c>
      <c r="I155">
        <f t="shared" si="7"/>
        <v>1.2953812618360004E-7</v>
      </c>
      <c r="J155">
        <f t="shared" si="8"/>
        <v>0.12953812618360006</v>
      </c>
    </row>
    <row r="156" spans="1:10" x14ac:dyDescent="0.35">
      <c r="A156" t="s">
        <v>37</v>
      </c>
      <c r="B156" s="2">
        <v>44800</v>
      </c>
      <c r="C156" s="3">
        <v>0.20833333333333334</v>
      </c>
      <c r="D156" t="s">
        <v>42</v>
      </c>
      <c r="E156" t="s">
        <v>7</v>
      </c>
      <c r="F156">
        <v>0.76700000000000002</v>
      </c>
      <c r="G156">
        <v>0.76900000000000002</v>
      </c>
      <c r="H156">
        <f t="shared" si="6"/>
        <v>2.60756192959583E-3</v>
      </c>
      <c r="I156">
        <f t="shared" si="7"/>
        <v>7.8511232119676599E-8</v>
      </c>
      <c r="J156">
        <f t="shared" si="8"/>
        <v>7.8511232119676602E-2</v>
      </c>
    </row>
    <row r="157" spans="1:10" x14ac:dyDescent="0.35">
      <c r="A157" t="s">
        <v>37</v>
      </c>
      <c r="B157" s="2">
        <v>44800</v>
      </c>
      <c r="C157" s="3">
        <v>0.22916666666666666</v>
      </c>
      <c r="D157" t="s">
        <v>42</v>
      </c>
      <c r="E157" t="s">
        <v>7</v>
      </c>
      <c r="F157">
        <v>0.76900000000000002</v>
      </c>
      <c r="G157">
        <v>0.76900000000000002</v>
      </c>
      <c r="H157">
        <f t="shared" si="6"/>
        <v>0</v>
      </c>
      <c r="I157">
        <f t="shared" si="7"/>
        <v>0</v>
      </c>
      <c r="J157">
        <f t="shared" si="8"/>
        <v>0</v>
      </c>
    </row>
    <row r="158" spans="1:10" x14ac:dyDescent="0.35">
      <c r="A158" t="s">
        <v>37</v>
      </c>
      <c r="B158" s="2">
        <v>44800</v>
      </c>
      <c r="C158" s="3">
        <v>0.25</v>
      </c>
      <c r="D158" t="s">
        <v>42</v>
      </c>
      <c r="E158" t="s">
        <v>7</v>
      </c>
      <c r="F158">
        <v>0.76800000000000002</v>
      </c>
      <c r="G158">
        <v>0.76900000000000002</v>
      </c>
      <c r="H158">
        <f t="shared" si="6"/>
        <v>1.3020833333333346E-3</v>
      </c>
      <c r="I158">
        <f t="shared" si="7"/>
        <v>3.3393912089145645E-8</v>
      </c>
      <c r="J158">
        <f t="shared" si="8"/>
        <v>3.3393912089145647E-2</v>
      </c>
    </row>
    <row r="159" spans="1:10" x14ac:dyDescent="0.35">
      <c r="A159" t="s">
        <v>37</v>
      </c>
      <c r="B159" s="2">
        <v>44800</v>
      </c>
      <c r="C159" s="3">
        <v>0.27083333333333331</v>
      </c>
      <c r="D159" t="s">
        <v>42</v>
      </c>
      <c r="E159" t="s">
        <v>7</v>
      </c>
      <c r="F159">
        <v>0.76800000000000002</v>
      </c>
      <c r="G159">
        <v>0.76900000000000002</v>
      </c>
      <c r="H159">
        <f t="shared" si="6"/>
        <v>1.3020833333333346E-3</v>
      </c>
      <c r="I159">
        <f t="shared" si="7"/>
        <v>3.3393912089145645E-8</v>
      </c>
      <c r="J159">
        <f t="shared" si="8"/>
        <v>3.3393912089145647E-2</v>
      </c>
    </row>
    <row r="160" spans="1:10" x14ac:dyDescent="0.35">
      <c r="A160" t="s">
        <v>37</v>
      </c>
      <c r="B160" s="2">
        <v>44800</v>
      </c>
      <c r="C160" s="3">
        <v>0.29166666666666669</v>
      </c>
      <c r="D160" t="s">
        <v>42</v>
      </c>
      <c r="E160" t="s">
        <v>7</v>
      </c>
      <c r="F160">
        <v>0.76800000000000002</v>
      </c>
      <c r="G160">
        <v>0.76900000000000002</v>
      </c>
      <c r="H160">
        <f t="shared" si="6"/>
        <v>1.3020833333333346E-3</v>
      </c>
      <c r="I160">
        <f t="shared" si="7"/>
        <v>3.3393912089145645E-8</v>
      </c>
      <c r="J160">
        <f t="shared" si="8"/>
        <v>3.3393912089145647E-2</v>
      </c>
    </row>
    <row r="161" spans="1:10" x14ac:dyDescent="0.35">
      <c r="A161" t="s">
        <v>37</v>
      </c>
      <c r="B161" s="2">
        <v>44800</v>
      </c>
      <c r="C161" s="3">
        <v>0.3125</v>
      </c>
      <c r="D161" t="s">
        <v>42</v>
      </c>
      <c r="E161" t="s">
        <v>7</v>
      </c>
      <c r="F161">
        <v>0.76400000000000001</v>
      </c>
      <c r="G161">
        <v>0.76900000000000002</v>
      </c>
      <c r="H161">
        <f t="shared" si="6"/>
        <v>6.5445026178010532E-3</v>
      </c>
      <c r="I161">
        <f t="shared" si="7"/>
        <v>2.4371996794004098E-7</v>
      </c>
      <c r="J161">
        <f t="shared" si="8"/>
        <v>0.24371996794004097</v>
      </c>
    </row>
    <row r="162" spans="1:10" x14ac:dyDescent="0.35">
      <c r="A162" t="s">
        <v>37</v>
      </c>
      <c r="B162" s="2">
        <v>44800</v>
      </c>
      <c r="C162" s="3">
        <v>0.33333333333333331</v>
      </c>
      <c r="D162" t="s">
        <v>42</v>
      </c>
      <c r="E162" t="s">
        <v>7</v>
      </c>
      <c r="F162">
        <v>0.751</v>
      </c>
      <c r="G162">
        <v>0.76900000000000002</v>
      </c>
      <c r="H162">
        <f t="shared" si="6"/>
        <v>2.3968042609853552E-2</v>
      </c>
      <c r="I162">
        <f t="shared" si="7"/>
        <v>1.2046881897445647E-6</v>
      </c>
      <c r="J162">
        <f t="shared" si="8"/>
        <v>1.2046881897445647</v>
      </c>
    </row>
    <row r="163" spans="1:10" x14ac:dyDescent="0.35">
      <c r="A163" t="s">
        <v>37</v>
      </c>
      <c r="B163" s="2">
        <v>44800</v>
      </c>
      <c r="C163" s="3">
        <v>0.35416666666666669</v>
      </c>
      <c r="D163" t="s">
        <v>42</v>
      </c>
      <c r="E163" t="s">
        <v>7</v>
      </c>
      <c r="F163">
        <v>0.71599999999999997</v>
      </c>
      <c r="G163">
        <v>0.76900000000000002</v>
      </c>
      <c r="H163">
        <f t="shared" si="6"/>
        <v>7.4022346368715158E-2</v>
      </c>
      <c r="I163">
        <f t="shared" si="7"/>
        <v>4.8276149820165515E-6</v>
      </c>
      <c r="J163">
        <f t="shared" si="8"/>
        <v>4.8276149820165513</v>
      </c>
    </row>
    <row r="164" spans="1:10" x14ac:dyDescent="0.35">
      <c r="A164" t="s">
        <v>37</v>
      </c>
      <c r="B164" s="2">
        <v>44800</v>
      </c>
      <c r="C164" s="3">
        <v>0.375</v>
      </c>
      <c r="D164" t="s">
        <v>42</v>
      </c>
      <c r="E164" t="s">
        <v>7</v>
      </c>
      <c r="F164">
        <v>0.66800000000000004</v>
      </c>
      <c r="G164">
        <v>0.76900000000000002</v>
      </c>
      <c r="H164">
        <f t="shared" si="6"/>
        <v>0.15119760479041913</v>
      </c>
      <c r="I164">
        <f t="shared" si="7"/>
        <v>1.1629652747211621E-5</v>
      </c>
      <c r="J164">
        <f t="shared" si="8"/>
        <v>11.629652747211621</v>
      </c>
    </row>
    <row r="165" spans="1:10" x14ac:dyDescent="0.35">
      <c r="A165" t="s">
        <v>37</v>
      </c>
      <c r="B165" s="2">
        <v>44800</v>
      </c>
      <c r="C165" s="3">
        <v>0.39583333333333331</v>
      </c>
      <c r="D165" t="s">
        <v>42</v>
      </c>
      <c r="E165" t="s">
        <v>7</v>
      </c>
      <c r="F165">
        <v>0.628</v>
      </c>
      <c r="G165">
        <v>0.76900000000000002</v>
      </c>
      <c r="H165">
        <f t="shared" si="6"/>
        <v>0.22452229299363061</v>
      </c>
      <c r="I165">
        <f t="shared" si="7"/>
        <v>1.8921142984552032E-5</v>
      </c>
      <c r="J165">
        <f t="shared" si="8"/>
        <v>18.921142984552031</v>
      </c>
    </row>
    <row r="166" spans="1:10" x14ac:dyDescent="0.35">
      <c r="A166" t="s">
        <v>37</v>
      </c>
      <c r="B166" s="2">
        <v>44800</v>
      </c>
      <c r="C166" s="3">
        <v>0.41666666666666669</v>
      </c>
      <c r="D166" t="s">
        <v>42</v>
      </c>
      <c r="E166" t="s">
        <v>7</v>
      </c>
      <c r="F166">
        <v>0.60699999999999998</v>
      </c>
      <c r="G166">
        <v>0.76900000000000002</v>
      </c>
      <c r="H166">
        <f t="shared" si="6"/>
        <v>0.26688632619439873</v>
      </c>
      <c r="I166">
        <f t="shared" si="7"/>
        <v>2.3407480247763718E-5</v>
      </c>
      <c r="J166">
        <f t="shared" si="8"/>
        <v>23.407480247763718</v>
      </c>
    </row>
    <row r="167" spans="1:10" x14ac:dyDescent="0.35">
      <c r="A167" t="s">
        <v>37</v>
      </c>
      <c r="B167" s="2">
        <v>44800</v>
      </c>
      <c r="C167" s="3">
        <v>0.4375</v>
      </c>
      <c r="D167" t="s">
        <v>42</v>
      </c>
      <c r="E167" t="s">
        <v>7</v>
      </c>
      <c r="F167">
        <v>0.58599999999999997</v>
      </c>
      <c r="G167">
        <v>0.76900000000000002</v>
      </c>
      <c r="H167">
        <f t="shared" si="6"/>
        <v>0.31228668941979532</v>
      </c>
      <c r="I167">
        <f t="shared" si="7"/>
        <v>2.840156605106561E-5</v>
      </c>
      <c r="J167">
        <f t="shared" si="8"/>
        <v>28.401566051065611</v>
      </c>
    </row>
    <row r="168" spans="1:10" x14ac:dyDescent="0.35">
      <c r="A168" t="s">
        <v>37</v>
      </c>
      <c r="B168" s="2">
        <v>44800</v>
      </c>
      <c r="C168" s="3">
        <v>0.45833333333333331</v>
      </c>
      <c r="D168" t="s">
        <v>42</v>
      </c>
      <c r="E168" t="s">
        <v>7</v>
      </c>
      <c r="F168">
        <v>0.56200000000000006</v>
      </c>
      <c r="G168">
        <v>0.76900000000000002</v>
      </c>
      <c r="H168">
        <f t="shared" si="6"/>
        <v>0.36832740213523119</v>
      </c>
      <c r="I168">
        <f t="shared" si="7"/>
        <v>3.4800144894334567E-5</v>
      </c>
      <c r="J168">
        <f t="shared" si="8"/>
        <v>34.800144894334565</v>
      </c>
    </row>
    <row r="169" spans="1:10" x14ac:dyDescent="0.35">
      <c r="A169" t="s">
        <v>37</v>
      </c>
      <c r="B169" s="2">
        <v>44800</v>
      </c>
      <c r="C169" s="3">
        <v>0.47916666666666669</v>
      </c>
      <c r="D169" t="s">
        <v>42</v>
      </c>
      <c r="E169" t="s">
        <v>7</v>
      </c>
      <c r="F169">
        <v>0.55400000000000005</v>
      </c>
      <c r="G169">
        <v>0.76900000000000002</v>
      </c>
      <c r="H169">
        <f t="shared" si="6"/>
        <v>0.38808664259927789</v>
      </c>
      <c r="I169">
        <f t="shared" si="7"/>
        <v>3.7112326917386154E-5</v>
      </c>
      <c r="J169">
        <f t="shared" si="8"/>
        <v>37.112326917386156</v>
      </c>
    </row>
    <row r="170" spans="1:10" x14ac:dyDescent="0.35">
      <c r="A170" t="s">
        <v>37</v>
      </c>
      <c r="B170" s="2">
        <v>44800</v>
      </c>
      <c r="C170" s="3">
        <v>0.5</v>
      </c>
      <c r="D170" t="s">
        <v>42</v>
      </c>
      <c r="E170" t="s">
        <v>7</v>
      </c>
      <c r="F170">
        <v>0.55800000000000005</v>
      </c>
      <c r="G170">
        <v>0.76900000000000002</v>
      </c>
      <c r="H170">
        <f t="shared" si="6"/>
        <v>0.37813620071684578</v>
      </c>
      <c r="I170">
        <f t="shared" si="7"/>
        <v>3.594446012069846E-5</v>
      </c>
      <c r="J170">
        <f t="shared" si="8"/>
        <v>35.944460120698459</v>
      </c>
    </row>
    <row r="171" spans="1:10" x14ac:dyDescent="0.35">
      <c r="A171" t="s">
        <v>37</v>
      </c>
      <c r="B171" s="2">
        <v>44800</v>
      </c>
      <c r="C171" s="3">
        <v>0.52083333333333337</v>
      </c>
      <c r="D171" t="s">
        <v>42</v>
      </c>
      <c r="E171" t="s">
        <v>7</v>
      </c>
      <c r="F171">
        <v>0.56200000000000006</v>
      </c>
      <c r="G171">
        <v>0.76900000000000002</v>
      </c>
      <c r="H171">
        <f t="shared" si="6"/>
        <v>0.36832740213523119</v>
      </c>
      <c r="I171">
        <f t="shared" si="7"/>
        <v>3.4800144894334567E-5</v>
      </c>
      <c r="J171">
        <f t="shared" si="8"/>
        <v>34.800144894334565</v>
      </c>
    </row>
    <row r="172" spans="1:10" x14ac:dyDescent="0.35">
      <c r="A172" t="s">
        <v>37</v>
      </c>
      <c r="B172" s="2">
        <v>44800</v>
      </c>
      <c r="C172" s="3">
        <v>0.54166666666666663</v>
      </c>
      <c r="D172" t="s">
        <v>42</v>
      </c>
      <c r="E172" t="s">
        <v>7</v>
      </c>
      <c r="F172">
        <v>0.56999999999999995</v>
      </c>
      <c r="G172">
        <v>0.76900000000000002</v>
      </c>
      <c r="H172">
        <f t="shared" si="6"/>
        <v>0.349122807017544</v>
      </c>
      <c r="I172">
        <f t="shared" si="7"/>
        <v>3.2580155374178045E-5</v>
      </c>
      <c r="J172">
        <f t="shared" si="8"/>
        <v>32.580155374178048</v>
      </c>
    </row>
    <row r="173" spans="1:10" x14ac:dyDescent="0.35">
      <c r="A173" t="s">
        <v>37</v>
      </c>
      <c r="B173" s="2">
        <v>44800</v>
      </c>
      <c r="C173" s="3">
        <v>0.5625</v>
      </c>
      <c r="D173" t="s">
        <v>42</v>
      </c>
      <c r="E173" t="s">
        <v>7</v>
      </c>
      <c r="F173">
        <v>0.57899999999999996</v>
      </c>
      <c r="G173">
        <v>0.76900000000000002</v>
      </c>
      <c r="H173">
        <f t="shared" si="6"/>
        <v>0.3281519861830744</v>
      </c>
      <c r="I173">
        <f t="shared" si="7"/>
        <v>3.0188068877807554E-5</v>
      </c>
      <c r="J173">
        <f t="shared" si="8"/>
        <v>30.188068877807552</v>
      </c>
    </row>
    <row r="174" spans="1:10" x14ac:dyDescent="0.35">
      <c r="A174" t="s">
        <v>37</v>
      </c>
      <c r="B174" s="2">
        <v>44800</v>
      </c>
      <c r="C174" s="3">
        <v>0.58333333333333337</v>
      </c>
      <c r="D174" t="s">
        <v>42</v>
      </c>
      <c r="E174" t="s">
        <v>7</v>
      </c>
      <c r="F174">
        <v>0.58899999999999997</v>
      </c>
      <c r="G174">
        <v>0.76900000000000002</v>
      </c>
      <c r="H174">
        <f t="shared" si="6"/>
        <v>0.30560271646859094</v>
      </c>
      <c r="I174">
        <f t="shared" si="7"/>
        <v>2.7655116179884498E-5</v>
      </c>
      <c r="J174">
        <f t="shared" si="8"/>
        <v>27.655116179884498</v>
      </c>
    </row>
    <row r="175" spans="1:10" x14ac:dyDescent="0.35">
      <c r="A175" t="s">
        <v>37</v>
      </c>
      <c r="B175" s="2">
        <v>44800</v>
      </c>
      <c r="C175" s="3">
        <v>0.60416666666666663</v>
      </c>
      <c r="D175" t="s">
        <v>42</v>
      </c>
      <c r="E175" t="s">
        <v>7</v>
      </c>
      <c r="F175">
        <v>0.59299999999999997</v>
      </c>
      <c r="G175">
        <v>0.76900000000000002</v>
      </c>
      <c r="H175">
        <f t="shared" si="6"/>
        <v>0.29679595278246212</v>
      </c>
      <c r="I175">
        <f t="shared" si="7"/>
        <v>2.6677352535956762E-5</v>
      </c>
      <c r="J175">
        <f t="shared" si="8"/>
        <v>26.677352535956761</v>
      </c>
    </row>
    <row r="176" spans="1:10" x14ac:dyDescent="0.35">
      <c r="A176" t="s">
        <v>37</v>
      </c>
      <c r="B176" s="2">
        <v>44800</v>
      </c>
      <c r="C176" s="3">
        <v>0.625</v>
      </c>
      <c r="D176" t="s">
        <v>42</v>
      </c>
      <c r="E176" t="s">
        <v>7</v>
      </c>
      <c r="F176">
        <v>0.60399999999999998</v>
      </c>
      <c r="G176">
        <v>0.76900000000000002</v>
      </c>
      <c r="H176">
        <f t="shared" si="6"/>
        <v>0.27317880794701993</v>
      </c>
      <c r="I176">
        <f t="shared" si="7"/>
        <v>2.4088692362805868E-5</v>
      </c>
      <c r="J176">
        <f t="shared" si="8"/>
        <v>24.088692362805869</v>
      </c>
    </row>
    <row r="177" spans="1:10" x14ac:dyDescent="0.35">
      <c r="A177" t="s">
        <v>37</v>
      </c>
      <c r="B177" s="2">
        <v>44800</v>
      </c>
      <c r="C177" s="3">
        <v>0.64583333333333337</v>
      </c>
      <c r="D177" t="s">
        <v>42</v>
      </c>
      <c r="E177" t="s">
        <v>7</v>
      </c>
      <c r="F177">
        <v>0.61399999999999999</v>
      </c>
      <c r="G177">
        <v>0.76900000000000002</v>
      </c>
      <c r="H177">
        <f t="shared" si="6"/>
        <v>0.25244299674267107</v>
      </c>
      <c r="I177">
        <f t="shared" si="7"/>
        <v>2.1857979633501219E-5</v>
      </c>
      <c r="J177">
        <f t="shared" si="8"/>
        <v>21.85797963350122</v>
      </c>
    </row>
    <row r="178" spans="1:10" x14ac:dyDescent="0.35">
      <c r="A178" t="s">
        <v>37</v>
      </c>
      <c r="B178" s="2">
        <v>44800</v>
      </c>
      <c r="C178" s="3">
        <v>0.66666666666666663</v>
      </c>
      <c r="D178" t="s">
        <v>42</v>
      </c>
      <c r="E178" t="s">
        <v>7</v>
      </c>
      <c r="F178">
        <v>0.62</v>
      </c>
      <c r="G178">
        <v>0.76900000000000002</v>
      </c>
      <c r="H178">
        <f t="shared" si="6"/>
        <v>0.24032258064516132</v>
      </c>
      <c r="I178">
        <f t="shared" si="7"/>
        <v>2.0573353483634515E-5</v>
      </c>
      <c r="J178">
        <f t="shared" si="8"/>
        <v>20.573353483634516</v>
      </c>
    </row>
    <row r="179" spans="1:10" x14ac:dyDescent="0.35">
      <c r="A179" t="s">
        <v>37</v>
      </c>
      <c r="B179" s="2">
        <v>44800</v>
      </c>
      <c r="C179" s="3">
        <v>0.6875</v>
      </c>
      <c r="D179" t="s">
        <v>42</v>
      </c>
      <c r="E179" t="s">
        <v>7</v>
      </c>
      <c r="F179">
        <v>0.63300000000000001</v>
      </c>
      <c r="G179">
        <v>0.76900000000000002</v>
      </c>
      <c r="H179">
        <f t="shared" si="6"/>
        <v>0.21484992101105846</v>
      </c>
      <c r="I179">
        <f t="shared" si="7"/>
        <v>1.7922780687334971E-5</v>
      </c>
      <c r="J179">
        <f t="shared" si="8"/>
        <v>17.922780687334971</v>
      </c>
    </row>
    <row r="180" spans="1:10" x14ac:dyDescent="0.35">
      <c r="A180" t="s">
        <v>37</v>
      </c>
      <c r="B180" s="2">
        <v>44800</v>
      </c>
      <c r="C180" s="3">
        <v>0.70833333333333337</v>
      </c>
      <c r="D180" t="s">
        <v>42</v>
      </c>
      <c r="E180" t="s">
        <v>7</v>
      </c>
      <c r="F180">
        <v>0.64</v>
      </c>
      <c r="G180">
        <v>0.76900000000000002</v>
      </c>
      <c r="H180">
        <f t="shared" si="6"/>
        <v>0.20156250000000001</v>
      </c>
      <c r="I180">
        <f t="shared" si="7"/>
        <v>1.6568200700931573E-5</v>
      </c>
      <c r="J180">
        <f t="shared" si="8"/>
        <v>16.568200700931573</v>
      </c>
    </row>
    <row r="181" spans="1:10" x14ac:dyDescent="0.35">
      <c r="A181" t="s">
        <v>37</v>
      </c>
      <c r="B181" s="2">
        <v>44800</v>
      </c>
      <c r="C181" s="3">
        <v>0.72916666666666663</v>
      </c>
      <c r="D181" t="s">
        <v>42</v>
      </c>
      <c r="E181" t="s">
        <v>7</v>
      </c>
      <c r="F181">
        <v>0.65100000000000002</v>
      </c>
      <c r="G181">
        <v>0.76900000000000002</v>
      </c>
      <c r="H181">
        <f t="shared" si="6"/>
        <v>0.1812596006144393</v>
      </c>
      <c r="I181">
        <f t="shared" si="7"/>
        <v>1.4538363239485437E-5</v>
      </c>
      <c r="J181">
        <f t="shared" si="8"/>
        <v>14.538363239485436</v>
      </c>
    </row>
    <row r="182" spans="1:10" x14ac:dyDescent="0.35">
      <c r="A182" t="s">
        <v>37</v>
      </c>
      <c r="B182" s="2">
        <v>44800</v>
      </c>
      <c r="C182" s="3">
        <v>0.75</v>
      </c>
      <c r="D182" t="s">
        <v>42</v>
      </c>
      <c r="E182" t="s">
        <v>7</v>
      </c>
      <c r="F182">
        <v>0.67100000000000004</v>
      </c>
      <c r="G182">
        <v>0.76900000000000002</v>
      </c>
      <c r="H182">
        <f t="shared" si="6"/>
        <v>0.14605067064083452</v>
      </c>
      <c r="I182">
        <f t="shared" si="7"/>
        <v>1.1144249798516787E-5</v>
      </c>
      <c r="J182">
        <f t="shared" si="8"/>
        <v>11.144249798516787</v>
      </c>
    </row>
    <row r="183" spans="1:10" x14ac:dyDescent="0.35">
      <c r="A183" t="s">
        <v>37</v>
      </c>
      <c r="B183" s="2">
        <v>44800</v>
      </c>
      <c r="C183" s="3">
        <v>0.77083333333333337</v>
      </c>
      <c r="D183" t="s">
        <v>42</v>
      </c>
      <c r="E183" t="s">
        <v>7</v>
      </c>
      <c r="F183">
        <v>0.69199999999999995</v>
      </c>
      <c r="G183">
        <v>0.76900000000000002</v>
      </c>
      <c r="H183">
        <f t="shared" si="6"/>
        <v>0.11127167630057815</v>
      </c>
      <c r="I183">
        <f t="shared" si="7"/>
        <v>7.9734530588852517E-6</v>
      </c>
      <c r="J183">
        <f t="shared" si="8"/>
        <v>7.9734530588852515</v>
      </c>
    </row>
    <row r="184" spans="1:10" x14ac:dyDescent="0.35">
      <c r="A184" t="s">
        <v>37</v>
      </c>
      <c r="B184" s="2">
        <v>44800</v>
      </c>
      <c r="C184" s="3">
        <v>0.79166666666666663</v>
      </c>
      <c r="D184" t="s">
        <v>42</v>
      </c>
      <c r="E184" t="s">
        <v>7</v>
      </c>
      <c r="F184">
        <v>0.70799999999999996</v>
      </c>
      <c r="G184">
        <v>0.76900000000000002</v>
      </c>
      <c r="H184">
        <f t="shared" si="6"/>
        <v>8.6158192090395561E-2</v>
      </c>
      <c r="I184">
        <f t="shared" si="7"/>
        <v>5.8196524331608796E-6</v>
      </c>
      <c r="J184">
        <f t="shared" si="8"/>
        <v>5.8196524331608792</v>
      </c>
    </row>
    <row r="185" spans="1:10" x14ac:dyDescent="0.35">
      <c r="A185" t="s">
        <v>37</v>
      </c>
      <c r="B185" s="2">
        <v>44800</v>
      </c>
      <c r="C185" s="3">
        <v>0.8125</v>
      </c>
      <c r="D185" t="s">
        <v>42</v>
      </c>
      <c r="E185" t="s">
        <v>7</v>
      </c>
      <c r="F185">
        <v>0.72</v>
      </c>
      <c r="G185">
        <v>0.76900000000000002</v>
      </c>
      <c r="H185">
        <f t="shared" si="6"/>
        <v>6.8055555555555619E-2</v>
      </c>
      <c r="I185">
        <f t="shared" si="7"/>
        <v>4.3531339679484075E-6</v>
      </c>
      <c r="J185">
        <f t="shared" si="8"/>
        <v>4.3531339679484073</v>
      </c>
    </row>
    <row r="186" spans="1:10" x14ac:dyDescent="0.35">
      <c r="A186" t="s">
        <v>37</v>
      </c>
      <c r="B186" s="2">
        <v>44800</v>
      </c>
      <c r="C186" s="3">
        <v>0.83333333333333337</v>
      </c>
      <c r="D186" t="s">
        <v>42</v>
      </c>
      <c r="E186" t="s">
        <v>7</v>
      </c>
      <c r="F186">
        <v>0.72899999999999998</v>
      </c>
      <c r="G186">
        <v>0.76900000000000002</v>
      </c>
      <c r="H186">
        <f t="shared" si="6"/>
        <v>5.4869684499314182E-2</v>
      </c>
      <c r="I186">
        <f t="shared" si="7"/>
        <v>3.3393752447535859E-6</v>
      </c>
      <c r="J186">
        <f t="shared" si="8"/>
        <v>3.3393752447535858</v>
      </c>
    </row>
    <row r="187" spans="1:10" x14ac:dyDescent="0.35">
      <c r="A187" t="s">
        <v>37</v>
      </c>
      <c r="B187" s="2">
        <v>44800</v>
      </c>
      <c r="C187" s="3">
        <v>0.85416666666666663</v>
      </c>
      <c r="D187" t="s">
        <v>42</v>
      </c>
      <c r="E187" t="s">
        <v>7</v>
      </c>
      <c r="F187">
        <v>0.73799999999999999</v>
      </c>
      <c r="G187">
        <v>0.76900000000000002</v>
      </c>
      <c r="H187">
        <f t="shared" si="6"/>
        <v>4.2005420054200583E-2</v>
      </c>
      <c r="I187">
        <f t="shared" si="7"/>
        <v>2.4034540584924141E-6</v>
      </c>
      <c r="J187">
        <f t="shared" si="8"/>
        <v>2.403454058492414</v>
      </c>
    </row>
    <row r="188" spans="1:10" x14ac:dyDescent="0.35">
      <c r="A188" t="s">
        <v>37</v>
      </c>
      <c r="B188" s="2">
        <v>44800</v>
      </c>
      <c r="C188" s="3">
        <v>0.875</v>
      </c>
      <c r="D188" t="s">
        <v>42</v>
      </c>
      <c r="E188" t="s">
        <v>7</v>
      </c>
      <c r="F188">
        <v>0.745</v>
      </c>
      <c r="G188">
        <v>0.76900000000000002</v>
      </c>
      <c r="H188">
        <f t="shared" si="6"/>
        <v>3.2214765100671172E-2</v>
      </c>
      <c r="I188">
        <f t="shared" si="7"/>
        <v>1.7336548072514355E-6</v>
      </c>
      <c r="J188">
        <f t="shared" si="8"/>
        <v>1.7336548072514355</v>
      </c>
    </row>
    <row r="189" spans="1:10" x14ac:dyDescent="0.35">
      <c r="A189" t="s">
        <v>37</v>
      </c>
      <c r="B189" s="2">
        <v>44800</v>
      </c>
      <c r="C189" s="3">
        <v>0.89583333333333337</v>
      </c>
      <c r="D189" t="s">
        <v>42</v>
      </c>
      <c r="E189" t="s">
        <v>7</v>
      </c>
      <c r="F189">
        <v>0.751</v>
      </c>
      <c r="G189">
        <v>0.76900000000000002</v>
      </c>
      <c r="H189">
        <f t="shared" si="6"/>
        <v>2.3968042609853552E-2</v>
      </c>
      <c r="I189">
        <f t="shared" si="7"/>
        <v>1.2046881897445647E-6</v>
      </c>
      <c r="J189">
        <f t="shared" si="8"/>
        <v>1.2046881897445647</v>
      </c>
    </row>
    <row r="190" spans="1:10" x14ac:dyDescent="0.35">
      <c r="A190" t="s">
        <v>37</v>
      </c>
      <c r="B190" s="2">
        <v>44800</v>
      </c>
      <c r="C190" s="3">
        <v>0.91666666666666663</v>
      </c>
      <c r="D190" t="s">
        <v>42</v>
      </c>
      <c r="E190" t="s">
        <v>7</v>
      </c>
      <c r="F190">
        <v>0.755</v>
      </c>
      <c r="G190">
        <v>0.76900000000000002</v>
      </c>
      <c r="H190">
        <f t="shared" si="6"/>
        <v>1.854304635761591E-2</v>
      </c>
      <c r="I190">
        <f t="shared" si="7"/>
        <v>8.7837077152359118E-7</v>
      </c>
      <c r="J190">
        <f t="shared" si="8"/>
        <v>0.87837077152359122</v>
      </c>
    </row>
    <row r="191" spans="1:10" x14ac:dyDescent="0.35">
      <c r="A191" t="s">
        <v>37</v>
      </c>
      <c r="B191" s="2">
        <v>44800</v>
      </c>
      <c r="C191" s="3">
        <v>0.9375</v>
      </c>
      <c r="D191" t="s">
        <v>42</v>
      </c>
      <c r="E191" t="s">
        <v>7</v>
      </c>
      <c r="F191">
        <v>0.75800000000000001</v>
      </c>
      <c r="G191">
        <v>0.76900000000000002</v>
      </c>
      <c r="H191">
        <f t="shared" si="6"/>
        <v>1.4511873350923495E-2</v>
      </c>
      <c r="I191">
        <f t="shared" si="7"/>
        <v>6.4957389721582406E-7</v>
      </c>
      <c r="J191">
        <f t="shared" si="8"/>
        <v>0.64957389721582404</v>
      </c>
    </row>
    <row r="192" spans="1:10" x14ac:dyDescent="0.35">
      <c r="A192" t="s">
        <v>37</v>
      </c>
      <c r="B192" s="2">
        <v>44800</v>
      </c>
      <c r="C192" s="3">
        <v>0.95833333333333337</v>
      </c>
      <c r="D192" t="s">
        <v>42</v>
      </c>
      <c r="E192" t="s">
        <v>7</v>
      </c>
      <c r="F192">
        <v>0.76100000000000001</v>
      </c>
      <c r="G192">
        <v>0.76900000000000002</v>
      </c>
      <c r="H192">
        <f t="shared" si="6"/>
        <v>1.0512483574244424E-2</v>
      </c>
      <c r="I192">
        <f t="shared" si="7"/>
        <v>4.3678349885644503E-7</v>
      </c>
      <c r="J192">
        <f t="shared" si="8"/>
        <v>0.43678349885644502</v>
      </c>
    </row>
    <row r="193" spans="1:10" x14ac:dyDescent="0.35">
      <c r="A193" t="s">
        <v>37</v>
      </c>
      <c r="B193" s="2">
        <v>44800</v>
      </c>
      <c r="C193" s="3">
        <v>0.97916666666666663</v>
      </c>
      <c r="D193" t="s">
        <v>42</v>
      </c>
      <c r="E193" t="s">
        <v>7</v>
      </c>
      <c r="F193">
        <v>0.76300000000000001</v>
      </c>
      <c r="G193">
        <v>0.76900000000000002</v>
      </c>
      <c r="H193">
        <f t="shared" si="6"/>
        <v>7.8636959370904386E-3</v>
      </c>
      <c r="I193">
        <f t="shared" si="7"/>
        <v>3.0553674273628636E-7</v>
      </c>
      <c r="J193">
        <f t="shared" si="8"/>
        <v>0.30553674273628634</v>
      </c>
    </row>
    <row r="194" spans="1:10" x14ac:dyDescent="0.35">
      <c r="A194" t="s">
        <v>37</v>
      </c>
      <c r="B194" s="2">
        <v>44800</v>
      </c>
      <c r="C194" s="3">
        <v>0</v>
      </c>
      <c r="D194" t="s">
        <v>43</v>
      </c>
      <c r="E194" t="s">
        <v>13</v>
      </c>
      <c r="F194">
        <v>0.67300000000000004</v>
      </c>
      <c r="G194">
        <f>MAX(F194:F241)</f>
        <v>0.71799999999999997</v>
      </c>
      <c r="H194">
        <f t="shared" ref="H194:H257" si="9">(G194-F194)/F194</f>
        <v>6.6864784546805237E-2</v>
      </c>
      <c r="I194">
        <f t="shared" ref="I194:I257" si="10">119*10^-6*(H194^1.231)</f>
        <v>4.2595627630251225E-6</v>
      </c>
      <c r="J194">
        <f t="shared" si="8"/>
        <v>4.2595627630251229</v>
      </c>
    </row>
    <row r="195" spans="1:10" x14ac:dyDescent="0.35">
      <c r="A195" t="s">
        <v>37</v>
      </c>
      <c r="B195" s="2">
        <v>44800</v>
      </c>
      <c r="C195" s="3">
        <v>2.0833333333333332E-2</v>
      </c>
      <c r="D195" t="s">
        <v>43</v>
      </c>
      <c r="E195" t="s">
        <v>13</v>
      </c>
      <c r="F195">
        <v>0.67400000000000004</v>
      </c>
      <c r="G195">
        <v>0.71799999999999997</v>
      </c>
      <c r="H195">
        <f t="shared" si="9"/>
        <v>6.528189910979218E-2</v>
      </c>
      <c r="I195">
        <f t="shared" si="10"/>
        <v>4.1357747129455073E-6</v>
      </c>
      <c r="J195">
        <f t="shared" ref="J195:J258" si="11">I195*10^6</f>
        <v>4.1357747129455076</v>
      </c>
    </row>
    <row r="196" spans="1:10" x14ac:dyDescent="0.35">
      <c r="A196" t="s">
        <v>37</v>
      </c>
      <c r="B196" s="2">
        <v>44800</v>
      </c>
      <c r="C196" s="3">
        <v>4.1666666666666664E-2</v>
      </c>
      <c r="D196" t="s">
        <v>43</v>
      </c>
      <c r="E196" t="s">
        <v>13</v>
      </c>
      <c r="F196">
        <v>0.67500000000000004</v>
      </c>
      <c r="G196">
        <v>0.71799999999999997</v>
      </c>
      <c r="H196">
        <f t="shared" si="9"/>
        <v>6.3703703703703596E-2</v>
      </c>
      <c r="I196">
        <f t="shared" si="10"/>
        <v>4.0130418228268463E-6</v>
      </c>
      <c r="J196">
        <f t="shared" si="11"/>
        <v>4.0130418228268461</v>
      </c>
    </row>
    <row r="197" spans="1:10" x14ac:dyDescent="0.35">
      <c r="A197" t="s">
        <v>37</v>
      </c>
      <c r="B197" s="2">
        <v>44800</v>
      </c>
      <c r="C197" s="3">
        <v>6.25E-2</v>
      </c>
      <c r="D197" t="s">
        <v>43</v>
      </c>
      <c r="E197" t="s">
        <v>13</v>
      </c>
      <c r="F197">
        <v>0.68100000000000005</v>
      </c>
      <c r="G197">
        <v>0.71799999999999997</v>
      </c>
      <c r="H197">
        <f t="shared" si="9"/>
        <v>5.433186490455201E-2</v>
      </c>
      <c r="I197">
        <f t="shared" si="10"/>
        <v>3.2991281767557546E-6</v>
      </c>
      <c r="J197">
        <f t="shared" si="11"/>
        <v>3.2991281767557545</v>
      </c>
    </row>
    <row r="198" spans="1:10" x14ac:dyDescent="0.35">
      <c r="A198" t="s">
        <v>37</v>
      </c>
      <c r="B198" s="2">
        <v>44800</v>
      </c>
      <c r="C198" s="3">
        <v>8.3333333333333329E-2</v>
      </c>
      <c r="D198" t="s">
        <v>43</v>
      </c>
      <c r="E198" t="s">
        <v>13</v>
      </c>
      <c r="F198">
        <v>0.68899999999999995</v>
      </c>
      <c r="G198">
        <v>0.71799999999999997</v>
      </c>
      <c r="H198">
        <f t="shared" si="9"/>
        <v>4.2089985486211942E-2</v>
      </c>
      <c r="I198">
        <f t="shared" si="10"/>
        <v>2.4094118093571723E-6</v>
      </c>
      <c r="J198">
        <f t="shared" si="11"/>
        <v>2.4094118093571724</v>
      </c>
    </row>
    <row r="199" spans="1:10" x14ac:dyDescent="0.35">
      <c r="A199" t="s">
        <v>37</v>
      </c>
      <c r="B199" s="2">
        <v>44800</v>
      </c>
      <c r="C199" s="3">
        <v>0.10416666666666667</v>
      </c>
      <c r="D199" t="s">
        <v>43</v>
      </c>
      <c r="E199" t="s">
        <v>13</v>
      </c>
      <c r="F199">
        <v>0.69499999999999995</v>
      </c>
      <c r="G199">
        <v>0.71799999999999997</v>
      </c>
      <c r="H199">
        <f t="shared" si="9"/>
        <v>3.3093525179856149E-2</v>
      </c>
      <c r="I199">
        <f t="shared" si="10"/>
        <v>1.7920521058048725E-6</v>
      </c>
      <c r="J199">
        <f t="shared" si="11"/>
        <v>1.7920521058048724</v>
      </c>
    </row>
    <row r="200" spans="1:10" x14ac:dyDescent="0.35">
      <c r="A200" t="s">
        <v>37</v>
      </c>
      <c r="B200" s="2">
        <v>44800</v>
      </c>
      <c r="C200" s="3">
        <v>0.125</v>
      </c>
      <c r="D200" t="s">
        <v>43</v>
      </c>
      <c r="E200" t="s">
        <v>13</v>
      </c>
      <c r="F200">
        <v>0.69799999999999995</v>
      </c>
      <c r="G200">
        <v>0.71799999999999997</v>
      </c>
      <c r="H200">
        <f t="shared" si="9"/>
        <v>2.8653295128939854E-2</v>
      </c>
      <c r="I200">
        <f t="shared" si="10"/>
        <v>1.5008208719000861E-6</v>
      </c>
      <c r="J200">
        <f t="shared" si="11"/>
        <v>1.5008208719000862</v>
      </c>
    </row>
    <row r="201" spans="1:10" x14ac:dyDescent="0.35">
      <c r="A201" t="s">
        <v>37</v>
      </c>
      <c r="B201" s="2">
        <v>44800</v>
      </c>
      <c r="C201" s="3">
        <v>0.14583333333333334</v>
      </c>
      <c r="D201" t="s">
        <v>43</v>
      </c>
      <c r="E201" t="s">
        <v>13</v>
      </c>
      <c r="F201">
        <v>0.69799999999999995</v>
      </c>
      <c r="G201">
        <v>0.71799999999999997</v>
      </c>
      <c r="H201">
        <f t="shared" si="9"/>
        <v>2.8653295128939854E-2</v>
      </c>
      <c r="I201">
        <f t="shared" si="10"/>
        <v>1.5008208719000861E-6</v>
      </c>
      <c r="J201">
        <f t="shared" si="11"/>
        <v>1.5008208719000862</v>
      </c>
    </row>
    <row r="202" spans="1:10" x14ac:dyDescent="0.35">
      <c r="A202" t="s">
        <v>37</v>
      </c>
      <c r="B202" s="2">
        <v>44800</v>
      </c>
      <c r="C202" s="3">
        <v>0.16666666666666666</v>
      </c>
      <c r="D202" t="s">
        <v>43</v>
      </c>
      <c r="E202" t="s">
        <v>13</v>
      </c>
      <c r="F202">
        <v>0.70199999999999996</v>
      </c>
      <c r="G202">
        <v>0.71799999999999997</v>
      </c>
      <c r="H202">
        <f t="shared" si="9"/>
        <v>2.2792022792022814E-2</v>
      </c>
      <c r="I202">
        <f t="shared" si="10"/>
        <v>1.1323421534772981E-6</v>
      </c>
      <c r="J202">
        <f t="shared" si="11"/>
        <v>1.1323421534772979</v>
      </c>
    </row>
    <row r="203" spans="1:10" x14ac:dyDescent="0.35">
      <c r="A203" t="s">
        <v>37</v>
      </c>
      <c r="B203" s="2">
        <v>44800</v>
      </c>
      <c r="C203" s="3">
        <v>0.1875</v>
      </c>
      <c r="D203" t="s">
        <v>43</v>
      </c>
      <c r="E203" t="s">
        <v>13</v>
      </c>
      <c r="F203">
        <v>0.70399999999999996</v>
      </c>
      <c r="G203">
        <v>0.71799999999999997</v>
      </c>
      <c r="H203">
        <f t="shared" si="9"/>
        <v>1.9886363636363657E-2</v>
      </c>
      <c r="I203">
        <f t="shared" si="10"/>
        <v>9.5734534499295097E-7</v>
      </c>
      <c r="J203">
        <f t="shared" si="11"/>
        <v>0.95734534499295099</v>
      </c>
    </row>
    <row r="204" spans="1:10" x14ac:dyDescent="0.35">
      <c r="A204" t="s">
        <v>37</v>
      </c>
      <c r="B204" s="2">
        <v>44800</v>
      </c>
      <c r="C204" s="3">
        <v>0.20833333333333334</v>
      </c>
      <c r="D204" t="s">
        <v>43</v>
      </c>
      <c r="E204" t="s">
        <v>13</v>
      </c>
      <c r="F204">
        <v>0.71199999999999997</v>
      </c>
      <c r="G204">
        <v>0.71799999999999997</v>
      </c>
      <c r="H204">
        <f t="shared" si="9"/>
        <v>8.4269662921348399E-3</v>
      </c>
      <c r="I204">
        <f t="shared" si="10"/>
        <v>3.3269653552671239E-7</v>
      </c>
      <c r="J204">
        <f t="shared" si="11"/>
        <v>0.33269653552671241</v>
      </c>
    </row>
    <row r="205" spans="1:10" x14ac:dyDescent="0.35">
      <c r="A205" t="s">
        <v>37</v>
      </c>
      <c r="B205" s="2">
        <v>44800</v>
      </c>
      <c r="C205" s="3">
        <v>0.22916666666666666</v>
      </c>
      <c r="D205" t="s">
        <v>43</v>
      </c>
      <c r="E205" t="s">
        <v>13</v>
      </c>
      <c r="F205">
        <v>0.71799999999999997</v>
      </c>
      <c r="G205">
        <v>0.71799999999999997</v>
      </c>
      <c r="H205">
        <f t="shared" si="9"/>
        <v>0</v>
      </c>
      <c r="I205">
        <f t="shared" si="10"/>
        <v>0</v>
      </c>
      <c r="J205">
        <f t="shared" si="11"/>
        <v>0</v>
      </c>
    </row>
    <row r="206" spans="1:10" x14ac:dyDescent="0.35">
      <c r="A206" t="s">
        <v>37</v>
      </c>
      <c r="B206" s="2">
        <v>44800</v>
      </c>
      <c r="C206" s="3">
        <v>0.25</v>
      </c>
      <c r="D206" t="s">
        <v>43</v>
      </c>
      <c r="E206" t="s">
        <v>13</v>
      </c>
      <c r="F206">
        <v>0.71599999999999997</v>
      </c>
      <c r="G206">
        <v>0.71799999999999997</v>
      </c>
      <c r="H206">
        <f t="shared" si="9"/>
        <v>2.7932960893854776E-3</v>
      </c>
      <c r="I206">
        <f t="shared" si="10"/>
        <v>8.5450961853924612E-8</v>
      </c>
      <c r="J206">
        <f t="shared" si="11"/>
        <v>8.5450961853924617E-2</v>
      </c>
    </row>
    <row r="207" spans="1:10" x14ac:dyDescent="0.35">
      <c r="A207" t="s">
        <v>37</v>
      </c>
      <c r="B207" s="2">
        <v>44800</v>
      </c>
      <c r="C207" s="3">
        <v>0.27083333333333331</v>
      </c>
      <c r="D207" t="s">
        <v>43</v>
      </c>
      <c r="E207" t="s">
        <v>13</v>
      </c>
      <c r="F207">
        <v>0.71399999999999997</v>
      </c>
      <c r="G207">
        <v>0.71799999999999997</v>
      </c>
      <c r="H207">
        <f t="shared" si="9"/>
        <v>5.6022408963585487E-3</v>
      </c>
      <c r="I207">
        <f t="shared" si="10"/>
        <v>2.0127058645117965E-7</v>
      </c>
      <c r="J207">
        <f t="shared" si="11"/>
        <v>0.20127058645117965</v>
      </c>
    </row>
    <row r="208" spans="1:10" x14ac:dyDescent="0.35">
      <c r="A208" t="s">
        <v>37</v>
      </c>
      <c r="B208" s="2">
        <v>44800</v>
      </c>
      <c r="C208" s="3">
        <v>0.29166666666666669</v>
      </c>
      <c r="D208" t="s">
        <v>43</v>
      </c>
      <c r="E208" t="s">
        <v>13</v>
      </c>
      <c r="F208">
        <v>0.71099999999999997</v>
      </c>
      <c r="G208">
        <v>0.71799999999999997</v>
      </c>
      <c r="H208">
        <f t="shared" si="9"/>
        <v>9.8452883263009938E-3</v>
      </c>
      <c r="I208">
        <f t="shared" si="10"/>
        <v>4.0291289796036974E-7</v>
      </c>
      <c r="J208">
        <f t="shared" si="11"/>
        <v>0.40291289796036972</v>
      </c>
    </row>
    <row r="209" spans="1:10" x14ac:dyDescent="0.35">
      <c r="A209" t="s">
        <v>37</v>
      </c>
      <c r="B209" s="2">
        <v>44800</v>
      </c>
      <c r="C209" s="3">
        <v>0.3125</v>
      </c>
      <c r="D209" t="s">
        <v>43</v>
      </c>
      <c r="E209" t="s">
        <v>13</v>
      </c>
      <c r="F209">
        <v>0.67900000000000005</v>
      </c>
      <c r="G209">
        <v>0.71799999999999997</v>
      </c>
      <c r="H209">
        <f t="shared" si="9"/>
        <v>5.7437407952871757E-2</v>
      </c>
      <c r="I209">
        <f t="shared" si="10"/>
        <v>3.5327735528932569E-6</v>
      </c>
      <c r="J209">
        <f t="shared" si="11"/>
        <v>3.5327735528932567</v>
      </c>
    </row>
    <row r="210" spans="1:10" x14ac:dyDescent="0.35">
      <c r="A210" t="s">
        <v>37</v>
      </c>
      <c r="B210" s="2">
        <v>44800</v>
      </c>
      <c r="C210" s="3">
        <v>0.33333333333333331</v>
      </c>
      <c r="D210" t="s">
        <v>43</v>
      </c>
      <c r="E210" t="s">
        <v>13</v>
      </c>
      <c r="F210">
        <v>0.61199999999999999</v>
      </c>
      <c r="G210">
        <v>0.71799999999999997</v>
      </c>
      <c r="H210">
        <f t="shared" si="9"/>
        <v>0.17320261437908493</v>
      </c>
      <c r="I210">
        <f t="shared" si="10"/>
        <v>1.3746985699024332E-5</v>
      </c>
      <c r="J210">
        <f t="shared" si="11"/>
        <v>13.746985699024332</v>
      </c>
    </row>
    <row r="211" spans="1:10" x14ac:dyDescent="0.35">
      <c r="A211" t="s">
        <v>37</v>
      </c>
      <c r="B211" s="2">
        <v>44800</v>
      </c>
      <c r="C211" s="3">
        <v>0.35416666666666669</v>
      </c>
      <c r="D211" t="s">
        <v>43</v>
      </c>
      <c r="E211" t="s">
        <v>13</v>
      </c>
      <c r="F211">
        <v>0.54500000000000004</v>
      </c>
      <c r="G211">
        <v>0.71799999999999997</v>
      </c>
      <c r="H211">
        <f t="shared" si="9"/>
        <v>0.31743119266055031</v>
      </c>
      <c r="I211">
        <f t="shared" si="10"/>
        <v>2.8978614667840131E-5</v>
      </c>
      <c r="J211">
        <f t="shared" si="11"/>
        <v>28.97861466784013</v>
      </c>
    </row>
    <row r="212" spans="1:10" x14ac:dyDescent="0.35">
      <c r="A212" t="s">
        <v>37</v>
      </c>
      <c r="B212" s="2">
        <v>44800</v>
      </c>
      <c r="C212" s="3">
        <v>0.375</v>
      </c>
      <c r="D212" t="s">
        <v>43</v>
      </c>
      <c r="E212" t="s">
        <v>13</v>
      </c>
      <c r="F212">
        <v>0.51100000000000001</v>
      </c>
      <c r="G212">
        <v>0.71799999999999997</v>
      </c>
      <c r="H212">
        <f t="shared" si="9"/>
        <v>0.40508806262230912</v>
      </c>
      <c r="I212">
        <f t="shared" si="10"/>
        <v>3.9123736800129668E-5</v>
      </c>
      <c r="J212">
        <f t="shared" si="11"/>
        <v>39.12373680012967</v>
      </c>
    </row>
    <row r="213" spans="1:10" x14ac:dyDescent="0.35">
      <c r="A213" t="s">
        <v>37</v>
      </c>
      <c r="B213" s="2">
        <v>44800</v>
      </c>
      <c r="C213" s="3">
        <v>0.39583333333333331</v>
      </c>
      <c r="D213" t="s">
        <v>43</v>
      </c>
      <c r="E213" t="s">
        <v>13</v>
      </c>
      <c r="F213">
        <v>0.49399999999999999</v>
      </c>
      <c r="G213">
        <v>0.71799999999999997</v>
      </c>
      <c r="H213">
        <f t="shared" si="9"/>
        <v>0.45344129554655865</v>
      </c>
      <c r="I213">
        <f t="shared" si="10"/>
        <v>4.4949451629936966E-5</v>
      </c>
      <c r="J213">
        <f t="shared" si="11"/>
        <v>44.949451629936966</v>
      </c>
    </row>
    <row r="214" spans="1:10" x14ac:dyDescent="0.35">
      <c r="A214" t="s">
        <v>37</v>
      </c>
      <c r="B214" s="2">
        <v>44800</v>
      </c>
      <c r="C214" s="3">
        <v>0.41666666666666669</v>
      </c>
      <c r="D214" t="s">
        <v>43</v>
      </c>
      <c r="E214" t="s">
        <v>13</v>
      </c>
      <c r="F214">
        <v>0.48299999999999998</v>
      </c>
      <c r="G214">
        <v>0.71799999999999997</v>
      </c>
      <c r="H214">
        <f t="shared" si="9"/>
        <v>0.48654244306418221</v>
      </c>
      <c r="I214">
        <f t="shared" si="10"/>
        <v>4.9022175667484281E-5</v>
      </c>
      <c r="J214">
        <f t="shared" si="11"/>
        <v>49.022175667484284</v>
      </c>
    </row>
    <row r="215" spans="1:10" x14ac:dyDescent="0.35">
      <c r="A215" t="s">
        <v>37</v>
      </c>
      <c r="B215" s="2">
        <v>44800</v>
      </c>
      <c r="C215" s="3">
        <v>0.4375</v>
      </c>
      <c r="D215" t="s">
        <v>43</v>
      </c>
      <c r="E215" t="s">
        <v>13</v>
      </c>
      <c r="F215">
        <v>0.495</v>
      </c>
      <c r="G215">
        <v>0.71799999999999997</v>
      </c>
      <c r="H215">
        <f t="shared" si="9"/>
        <v>0.45050505050505046</v>
      </c>
      <c r="I215">
        <f t="shared" si="10"/>
        <v>4.4591414391257698E-5</v>
      </c>
      <c r="J215">
        <f t="shared" si="11"/>
        <v>44.5914143912577</v>
      </c>
    </row>
    <row r="216" spans="1:10" x14ac:dyDescent="0.35">
      <c r="A216" t="s">
        <v>37</v>
      </c>
      <c r="B216" s="2">
        <v>44800</v>
      </c>
      <c r="C216" s="3">
        <v>0.45833333333333331</v>
      </c>
      <c r="D216" t="s">
        <v>43</v>
      </c>
      <c r="E216" t="s">
        <v>13</v>
      </c>
      <c r="F216">
        <v>0.498</v>
      </c>
      <c r="G216">
        <v>0.71799999999999997</v>
      </c>
      <c r="H216">
        <f t="shared" si="9"/>
        <v>0.44176706827309231</v>
      </c>
      <c r="I216">
        <f t="shared" si="10"/>
        <v>4.3529127331919574E-5</v>
      </c>
      <c r="J216">
        <f t="shared" si="11"/>
        <v>43.529127331919575</v>
      </c>
    </row>
    <row r="217" spans="1:10" x14ac:dyDescent="0.35">
      <c r="A217" t="s">
        <v>37</v>
      </c>
      <c r="B217" s="2">
        <v>44800</v>
      </c>
      <c r="C217" s="3">
        <v>0.47916666666666669</v>
      </c>
      <c r="D217" t="s">
        <v>43</v>
      </c>
      <c r="E217" t="s">
        <v>13</v>
      </c>
      <c r="F217">
        <v>0.501</v>
      </c>
      <c r="G217">
        <v>0.71799999999999997</v>
      </c>
      <c r="H217">
        <f t="shared" si="9"/>
        <v>0.43313373253493009</v>
      </c>
      <c r="I217">
        <f t="shared" si="10"/>
        <v>4.248431822441061E-5</v>
      </c>
      <c r="J217">
        <f t="shared" si="11"/>
        <v>42.484318224410607</v>
      </c>
    </row>
    <row r="218" spans="1:10" x14ac:dyDescent="0.35">
      <c r="A218" t="s">
        <v>37</v>
      </c>
      <c r="B218" s="2">
        <v>44800</v>
      </c>
      <c r="C218" s="3">
        <v>0.5</v>
      </c>
      <c r="D218" t="s">
        <v>43</v>
      </c>
      <c r="E218" t="s">
        <v>13</v>
      </c>
      <c r="F218">
        <v>0.498</v>
      </c>
      <c r="G218">
        <v>0.71799999999999997</v>
      </c>
      <c r="H218">
        <f t="shared" si="9"/>
        <v>0.44176706827309231</v>
      </c>
      <c r="I218">
        <f t="shared" si="10"/>
        <v>4.3529127331919574E-5</v>
      </c>
      <c r="J218">
        <f t="shared" si="11"/>
        <v>43.529127331919575</v>
      </c>
    </row>
    <row r="219" spans="1:10" x14ac:dyDescent="0.35">
      <c r="A219" t="s">
        <v>37</v>
      </c>
      <c r="B219" s="2">
        <v>44800</v>
      </c>
      <c r="C219" s="3">
        <v>0.52083333333333337</v>
      </c>
      <c r="D219" t="s">
        <v>43</v>
      </c>
      <c r="E219" t="s">
        <v>13</v>
      </c>
      <c r="F219">
        <v>0.496</v>
      </c>
      <c r="G219">
        <v>0.71799999999999997</v>
      </c>
      <c r="H219">
        <f t="shared" si="9"/>
        <v>0.44758064516129026</v>
      </c>
      <c r="I219">
        <f t="shared" si="10"/>
        <v>4.4235356246351292E-5</v>
      </c>
      <c r="J219">
        <f t="shared" si="11"/>
        <v>44.235356246351294</v>
      </c>
    </row>
    <row r="220" spans="1:10" x14ac:dyDescent="0.35">
      <c r="A220" t="s">
        <v>37</v>
      </c>
      <c r="B220" s="2">
        <v>44800</v>
      </c>
      <c r="C220" s="3">
        <v>0.54166666666666663</v>
      </c>
      <c r="D220" t="s">
        <v>43</v>
      </c>
      <c r="E220" t="s">
        <v>13</v>
      </c>
      <c r="F220">
        <v>0.504</v>
      </c>
      <c r="G220">
        <v>0.71799999999999997</v>
      </c>
      <c r="H220">
        <f t="shared" si="9"/>
        <v>0.42460317460317454</v>
      </c>
      <c r="I220">
        <f t="shared" si="10"/>
        <v>4.1456661551330275E-5</v>
      </c>
      <c r="J220">
        <f t="shared" si="11"/>
        <v>41.456661551330278</v>
      </c>
    </row>
    <row r="221" spans="1:10" x14ac:dyDescent="0.35">
      <c r="A221" t="s">
        <v>37</v>
      </c>
      <c r="B221" s="2">
        <v>44800</v>
      </c>
      <c r="C221" s="3">
        <v>0.5625</v>
      </c>
      <c r="D221" t="s">
        <v>43</v>
      </c>
      <c r="E221" t="s">
        <v>13</v>
      </c>
      <c r="F221">
        <v>0.51400000000000001</v>
      </c>
      <c r="G221">
        <v>0.71799999999999997</v>
      </c>
      <c r="H221">
        <f t="shared" si="9"/>
        <v>0.39688715953307385</v>
      </c>
      <c r="I221">
        <f t="shared" si="10"/>
        <v>3.8151015109772606E-5</v>
      </c>
      <c r="J221">
        <f t="shared" si="11"/>
        <v>38.151015109772608</v>
      </c>
    </row>
    <row r="222" spans="1:10" x14ac:dyDescent="0.35">
      <c r="A222" t="s">
        <v>37</v>
      </c>
      <c r="B222" s="2">
        <v>44800</v>
      </c>
      <c r="C222" s="3">
        <v>0.58333333333333337</v>
      </c>
      <c r="D222" t="s">
        <v>43</v>
      </c>
      <c r="E222" t="s">
        <v>13</v>
      </c>
      <c r="F222">
        <v>0.51100000000000001</v>
      </c>
      <c r="G222">
        <v>0.71799999999999997</v>
      </c>
      <c r="H222">
        <f t="shared" si="9"/>
        <v>0.40508806262230912</v>
      </c>
      <c r="I222">
        <f t="shared" si="10"/>
        <v>3.9123736800129668E-5</v>
      </c>
      <c r="J222">
        <f t="shared" si="11"/>
        <v>39.12373680012967</v>
      </c>
    </row>
    <row r="223" spans="1:10" x14ac:dyDescent="0.35">
      <c r="A223" t="s">
        <v>37</v>
      </c>
      <c r="B223" s="2">
        <v>44800</v>
      </c>
      <c r="C223" s="3">
        <v>0.60416666666666663</v>
      </c>
      <c r="D223" t="s">
        <v>43</v>
      </c>
      <c r="E223" t="s">
        <v>13</v>
      </c>
      <c r="F223">
        <v>0.504</v>
      </c>
      <c r="G223">
        <v>0.71799999999999997</v>
      </c>
      <c r="H223">
        <f t="shared" si="9"/>
        <v>0.42460317460317454</v>
      </c>
      <c r="I223">
        <f t="shared" si="10"/>
        <v>4.1456661551330275E-5</v>
      </c>
      <c r="J223">
        <f t="shared" si="11"/>
        <v>41.456661551330278</v>
      </c>
    </row>
    <row r="224" spans="1:10" x14ac:dyDescent="0.35">
      <c r="A224" t="s">
        <v>37</v>
      </c>
      <c r="B224" s="2">
        <v>44800</v>
      </c>
      <c r="C224" s="3">
        <v>0.625</v>
      </c>
      <c r="D224" t="s">
        <v>43</v>
      </c>
      <c r="E224" t="s">
        <v>13</v>
      </c>
      <c r="F224">
        <v>0.504</v>
      </c>
      <c r="G224">
        <v>0.71799999999999997</v>
      </c>
      <c r="H224">
        <f t="shared" si="9"/>
        <v>0.42460317460317454</v>
      </c>
      <c r="I224">
        <f t="shared" si="10"/>
        <v>4.1456661551330275E-5</v>
      </c>
      <c r="J224">
        <f t="shared" si="11"/>
        <v>41.456661551330278</v>
      </c>
    </row>
    <row r="225" spans="1:10" x14ac:dyDescent="0.35">
      <c r="A225" t="s">
        <v>37</v>
      </c>
      <c r="B225" s="2">
        <v>44800</v>
      </c>
      <c r="C225" s="3">
        <v>0.64583333333333337</v>
      </c>
      <c r="D225" t="s">
        <v>43</v>
      </c>
      <c r="E225" t="s">
        <v>13</v>
      </c>
      <c r="F225">
        <v>0.505</v>
      </c>
      <c r="G225">
        <v>0.71799999999999997</v>
      </c>
      <c r="H225">
        <f t="shared" si="9"/>
        <v>0.42178217821782171</v>
      </c>
      <c r="I225">
        <f t="shared" si="10"/>
        <v>4.111786598967133E-5</v>
      </c>
      <c r="J225">
        <f t="shared" si="11"/>
        <v>41.11786598967133</v>
      </c>
    </row>
    <row r="226" spans="1:10" x14ac:dyDescent="0.35">
      <c r="A226" t="s">
        <v>37</v>
      </c>
      <c r="B226" s="2">
        <v>44800</v>
      </c>
      <c r="C226" s="3">
        <v>0.66666666666666663</v>
      </c>
      <c r="D226" t="s">
        <v>43</v>
      </c>
      <c r="E226" t="s">
        <v>13</v>
      </c>
      <c r="F226">
        <v>0.50600000000000001</v>
      </c>
      <c r="G226">
        <v>0.71799999999999997</v>
      </c>
      <c r="H226">
        <f t="shared" si="9"/>
        <v>0.41897233201581019</v>
      </c>
      <c r="I226">
        <f t="shared" si="10"/>
        <v>4.078092947624725E-5</v>
      </c>
      <c r="J226">
        <f t="shared" si="11"/>
        <v>40.780929476247252</v>
      </c>
    </row>
    <row r="227" spans="1:10" x14ac:dyDescent="0.35">
      <c r="A227" t="s">
        <v>37</v>
      </c>
      <c r="B227" s="2">
        <v>44800</v>
      </c>
      <c r="C227" s="3">
        <v>0.6875</v>
      </c>
      <c r="D227" t="s">
        <v>43</v>
      </c>
      <c r="E227" t="s">
        <v>13</v>
      </c>
      <c r="F227">
        <v>0.54500000000000004</v>
      </c>
      <c r="G227">
        <v>0.71799999999999997</v>
      </c>
      <c r="H227">
        <f t="shared" si="9"/>
        <v>0.31743119266055031</v>
      </c>
      <c r="I227">
        <f t="shared" si="10"/>
        <v>2.8978614667840131E-5</v>
      </c>
      <c r="J227">
        <f t="shared" si="11"/>
        <v>28.97861466784013</v>
      </c>
    </row>
    <row r="228" spans="1:10" x14ac:dyDescent="0.35">
      <c r="A228" t="s">
        <v>37</v>
      </c>
      <c r="B228" s="2">
        <v>44800</v>
      </c>
      <c r="C228" s="3">
        <v>0.70833333333333337</v>
      </c>
      <c r="D228" t="s">
        <v>43</v>
      </c>
      <c r="E228" t="s">
        <v>13</v>
      </c>
      <c r="F228">
        <v>0.54500000000000004</v>
      </c>
      <c r="G228">
        <v>0.71799999999999997</v>
      </c>
      <c r="H228">
        <f t="shared" si="9"/>
        <v>0.31743119266055031</v>
      </c>
      <c r="I228">
        <f t="shared" si="10"/>
        <v>2.8978614667840131E-5</v>
      </c>
      <c r="J228">
        <f t="shared" si="11"/>
        <v>28.97861466784013</v>
      </c>
    </row>
    <row r="229" spans="1:10" x14ac:dyDescent="0.35">
      <c r="A229" t="s">
        <v>37</v>
      </c>
      <c r="B229" s="2">
        <v>44800</v>
      </c>
      <c r="C229" s="3">
        <v>0.72916666666666663</v>
      </c>
      <c r="D229" t="s">
        <v>43</v>
      </c>
      <c r="E229" t="s">
        <v>13</v>
      </c>
      <c r="F229">
        <v>0.57199999999999995</v>
      </c>
      <c r="G229">
        <v>0.71799999999999997</v>
      </c>
      <c r="H229">
        <f t="shared" si="9"/>
        <v>0.25524475524475532</v>
      </c>
      <c r="I229">
        <f t="shared" si="10"/>
        <v>2.2156992741208936E-5</v>
      </c>
      <c r="J229">
        <f t="shared" si="11"/>
        <v>22.156992741208935</v>
      </c>
    </row>
    <row r="230" spans="1:10" x14ac:dyDescent="0.35">
      <c r="A230" t="s">
        <v>37</v>
      </c>
      <c r="B230" s="2">
        <v>44800</v>
      </c>
      <c r="C230" s="3">
        <v>0.75</v>
      </c>
      <c r="D230" t="s">
        <v>43</v>
      </c>
      <c r="E230" t="s">
        <v>13</v>
      </c>
      <c r="F230">
        <v>0.61699999999999999</v>
      </c>
      <c r="G230">
        <v>0.71799999999999997</v>
      </c>
      <c r="H230">
        <f t="shared" si="9"/>
        <v>0.16369529983792541</v>
      </c>
      <c r="I230">
        <f t="shared" si="10"/>
        <v>1.2824059831900864E-5</v>
      </c>
      <c r="J230">
        <f t="shared" si="11"/>
        <v>12.824059831900863</v>
      </c>
    </row>
    <row r="231" spans="1:10" x14ac:dyDescent="0.35">
      <c r="A231" t="s">
        <v>37</v>
      </c>
      <c r="B231" s="2">
        <v>44800</v>
      </c>
      <c r="C231" s="3">
        <v>0.77083333333333337</v>
      </c>
      <c r="D231" t="s">
        <v>43</v>
      </c>
      <c r="E231" t="s">
        <v>13</v>
      </c>
      <c r="F231">
        <v>0.65400000000000003</v>
      </c>
      <c r="G231">
        <v>0.71799999999999997</v>
      </c>
      <c r="H231">
        <f t="shared" si="9"/>
        <v>9.78593272171253E-2</v>
      </c>
      <c r="I231">
        <f t="shared" si="10"/>
        <v>6.8073534600489564E-6</v>
      </c>
      <c r="J231">
        <f t="shared" si="11"/>
        <v>6.8073534600489563</v>
      </c>
    </row>
    <row r="232" spans="1:10" x14ac:dyDescent="0.35">
      <c r="A232" t="s">
        <v>37</v>
      </c>
      <c r="B232" s="2">
        <v>44800</v>
      </c>
      <c r="C232" s="3">
        <v>0.79166666666666663</v>
      </c>
      <c r="D232" t="s">
        <v>43</v>
      </c>
      <c r="E232" t="s">
        <v>13</v>
      </c>
      <c r="F232">
        <v>0.67100000000000004</v>
      </c>
      <c r="G232">
        <v>0.71799999999999997</v>
      </c>
      <c r="H232">
        <f t="shared" si="9"/>
        <v>7.0044709388971574E-2</v>
      </c>
      <c r="I232">
        <f t="shared" si="10"/>
        <v>4.5102851749170322E-6</v>
      </c>
      <c r="J232">
        <f t="shared" si="11"/>
        <v>4.5102851749170325</v>
      </c>
    </row>
    <row r="233" spans="1:10" x14ac:dyDescent="0.35">
      <c r="A233" t="s">
        <v>37</v>
      </c>
      <c r="B233" s="2">
        <v>44800</v>
      </c>
      <c r="C233" s="3">
        <v>0.8125</v>
      </c>
      <c r="D233" t="s">
        <v>43</v>
      </c>
      <c r="E233" t="s">
        <v>13</v>
      </c>
      <c r="F233">
        <v>0.67900000000000005</v>
      </c>
      <c r="G233">
        <v>0.71799999999999997</v>
      </c>
      <c r="H233">
        <f t="shared" si="9"/>
        <v>5.7437407952871757E-2</v>
      </c>
      <c r="I233">
        <f t="shared" si="10"/>
        <v>3.5327735528932569E-6</v>
      </c>
      <c r="J233">
        <f t="shared" si="11"/>
        <v>3.5327735528932567</v>
      </c>
    </row>
    <row r="234" spans="1:10" x14ac:dyDescent="0.35">
      <c r="A234" t="s">
        <v>37</v>
      </c>
      <c r="B234" s="2">
        <v>44800</v>
      </c>
      <c r="C234" s="3">
        <v>0.83333333333333337</v>
      </c>
      <c r="D234" t="s">
        <v>43</v>
      </c>
      <c r="E234" t="s">
        <v>13</v>
      </c>
      <c r="F234">
        <v>0.68400000000000005</v>
      </c>
      <c r="G234">
        <v>0.71799999999999997</v>
      </c>
      <c r="H234">
        <f t="shared" si="9"/>
        <v>4.9707602339181166E-2</v>
      </c>
      <c r="I234">
        <f t="shared" si="10"/>
        <v>2.9569463647950332E-6</v>
      </c>
      <c r="J234">
        <f t="shared" si="11"/>
        <v>2.9569463647950331</v>
      </c>
    </row>
    <row r="235" spans="1:10" x14ac:dyDescent="0.35">
      <c r="A235" t="s">
        <v>37</v>
      </c>
      <c r="B235" s="2">
        <v>44800</v>
      </c>
      <c r="C235" s="3">
        <v>0.85416666666666663</v>
      </c>
      <c r="D235" t="s">
        <v>43</v>
      </c>
      <c r="E235" t="s">
        <v>13</v>
      </c>
      <c r="F235">
        <v>0.68899999999999995</v>
      </c>
      <c r="G235">
        <v>0.71799999999999997</v>
      </c>
      <c r="H235">
        <f t="shared" si="9"/>
        <v>4.2089985486211942E-2</v>
      </c>
      <c r="I235">
        <f t="shared" si="10"/>
        <v>2.4094118093571723E-6</v>
      </c>
      <c r="J235">
        <f t="shared" si="11"/>
        <v>2.4094118093571724</v>
      </c>
    </row>
    <row r="236" spans="1:10" x14ac:dyDescent="0.35">
      <c r="A236" t="s">
        <v>37</v>
      </c>
      <c r="B236" s="2">
        <v>44800</v>
      </c>
      <c r="C236" s="3">
        <v>0.875</v>
      </c>
      <c r="D236" t="s">
        <v>43</v>
      </c>
      <c r="E236" t="s">
        <v>13</v>
      </c>
      <c r="F236">
        <v>0.69</v>
      </c>
      <c r="G236">
        <v>0.71799999999999997</v>
      </c>
      <c r="H236">
        <f t="shared" si="9"/>
        <v>4.0579710144927575E-2</v>
      </c>
      <c r="I236">
        <f t="shared" si="10"/>
        <v>2.3034313178143229E-6</v>
      </c>
      <c r="J236">
        <f t="shared" si="11"/>
        <v>2.3034313178143231</v>
      </c>
    </row>
    <row r="237" spans="1:10" x14ac:dyDescent="0.35">
      <c r="A237" t="s">
        <v>37</v>
      </c>
      <c r="B237" s="2">
        <v>44800</v>
      </c>
      <c r="C237" s="3">
        <v>0.89583333333333337</v>
      </c>
      <c r="D237" t="s">
        <v>43</v>
      </c>
      <c r="E237" t="s">
        <v>13</v>
      </c>
      <c r="F237">
        <v>0.69</v>
      </c>
      <c r="G237">
        <v>0.71799999999999997</v>
      </c>
      <c r="H237">
        <f t="shared" si="9"/>
        <v>4.0579710144927575E-2</v>
      </c>
      <c r="I237">
        <f t="shared" si="10"/>
        <v>2.3034313178143229E-6</v>
      </c>
      <c r="J237">
        <f t="shared" si="11"/>
        <v>2.3034313178143231</v>
      </c>
    </row>
    <row r="238" spans="1:10" x14ac:dyDescent="0.35">
      <c r="A238" t="s">
        <v>37</v>
      </c>
      <c r="B238" s="2">
        <v>44800</v>
      </c>
      <c r="C238" s="3">
        <v>0.91666666666666663</v>
      </c>
      <c r="D238" t="s">
        <v>43</v>
      </c>
      <c r="E238" t="s">
        <v>13</v>
      </c>
      <c r="F238">
        <v>0.68799999999999994</v>
      </c>
      <c r="G238">
        <v>0.71799999999999997</v>
      </c>
      <c r="H238">
        <f t="shared" si="9"/>
        <v>4.360465116279074E-2</v>
      </c>
      <c r="I238">
        <f t="shared" si="10"/>
        <v>2.5165864764972687E-6</v>
      </c>
      <c r="J238">
        <f t="shared" si="11"/>
        <v>2.5165864764972685</v>
      </c>
    </row>
    <row r="239" spans="1:10" x14ac:dyDescent="0.35">
      <c r="A239" t="s">
        <v>37</v>
      </c>
      <c r="B239" s="2">
        <v>44800</v>
      </c>
      <c r="C239" s="3">
        <v>0.9375</v>
      </c>
      <c r="D239" t="s">
        <v>43</v>
      </c>
      <c r="E239" t="s">
        <v>13</v>
      </c>
      <c r="F239">
        <v>0.68700000000000006</v>
      </c>
      <c r="G239">
        <v>0.71799999999999997</v>
      </c>
      <c r="H239">
        <f t="shared" si="9"/>
        <v>4.5123726346433642E-2</v>
      </c>
      <c r="I239">
        <f t="shared" si="10"/>
        <v>2.6249404973409374E-6</v>
      </c>
      <c r="J239">
        <f t="shared" si="11"/>
        <v>2.6249404973409374</v>
      </c>
    </row>
    <row r="240" spans="1:10" x14ac:dyDescent="0.35">
      <c r="A240" t="s">
        <v>37</v>
      </c>
      <c r="B240" s="2">
        <v>44800</v>
      </c>
      <c r="C240" s="3">
        <v>0.95833333333333337</v>
      </c>
      <c r="D240" t="s">
        <v>43</v>
      </c>
      <c r="E240" t="s">
        <v>13</v>
      </c>
      <c r="F240">
        <v>0.68799999999999994</v>
      </c>
      <c r="G240">
        <v>0.71799999999999997</v>
      </c>
      <c r="H240">
        <f t="shared" si="9"/>
        <v>4.360465116279074E-2</v>
      </c>
      <c r="I240">
        <f t="shared" si="10"/>
        <v>2.5165864764972687E-6</v>
      </c>
      <c r="J240">
        <f t="shared" si="11"/>
        <v>2.5165864764972685</v>
      </c>
    </row>
    <row r="241" spans="1:10" x14ac:dyDescent="0.35">
      <c r="A241" t="s">
        <v>37</v>
      </c>
      <c r="B241" s="2">
        <v>44800</v>
      </c>
      <c r="C241" s="3">
        <v>0.97916666666666663</v>
      </c>
      <c r="D241" t="s">
        <v>43</v>
      </c>
      <c r="E241" t="s">
        <v>13</v>
      </c>
      <c r="F241">
        <v>0.68899999999999995</v>
      </c>
      <c r="G241">
        <v>0.71799999999999997</v>
      </c>
      <c r="H241">
        <f t="shared" si="9"/>
        <v>4.2089985486211942E-2</v>
      </c>
      <c r="I241">
        <f t="shared" si="10"/>
        <v>2.4094118093571723E-6</v>
      </c>
      <c r="J241">
        <f t="shared" si="11"/>
        <v>2.4094118093571724</v>
      </c>
    </row>
    <row r="242" spans="1:10" x14ac:dyDescent="0.35">
      <c r="A242" t="s">
        <v>37</v>
      </c>
      <c r="B242" s="2">
        <v>44800</v>
      </c>
      <c r="C242" s="3">
        <v>0</v>
      </c>
      <c r="D242" t="s">
        <v>44</v>
      </c>
      <c r="E242" t="s">
        <v>16</v>
      </c>
      <c r="F242">
        <v>0.78300000000000003</v>
      </c>
      <c r="G242">
        <f>MAX(F242:F289)</f>
        <v>0.83799999999999997</v>
      </c>
      <c r="H242">
        <f t="shared" si="9"/>
        <v>7.0242656449552923E-2</v>
      </c>
      <c r="I242">
        <f t="shared" si="10"/>
        <v>4.5259807561980215E-6</v>
      </c>
      <c r="J242">
        <f t="shared" si="11"/>
        <v>4.5259807561980212</v>
      </c>
    </row>
    <row r="243" spans="1:10" x14ac:dyDescent="0.35">
      <c r="A243" t="s">
        <v>37</v>
      </c>
      <c r="B243" s="2">
        <v>44800</v>
      </c>
      <c r="C243" s="3">
        <v>2.0833333333333332E-2</v>
      </c>
      <c r="D243" t="s">
        <v>44</v>
      </c>
      <c r="E243" t="s">
        <v>16</v>
      </c>
      <c r="F243">
        <v>0.78300000000000003</v>
      </c>
      <c r="G243">
        <v>0.83799999999999997</v>
      </c>
      <c r="H243">
        <f t="shared" si="9"/>
        <v>7.0242656449552923E-2</v>
      </c>
      <c r="I243">
        <f t="shared" si="10"/>
        <v>4.5259807561980215E-6</v>
      </c>
      <c r="J243">
        <f t="shared" si="11"/>
        <v>4.5259807561980212</v>
      </c>
    </row>
    <row r="244" spans="1:10" x14ac:dyDescent="0.35">
      <c r="A244" t="s">
        <v>37</v>
      </c>
      <c r="B244" s="2">
        <v>44800</v>
      </c>
      <c r="C244" s="3">
        <v>4.1666666666666664E-2</v>
      </c>
      <c r="D244" t="s">
        <v>44</v>
      </c>
      <c r="E244" t="s">
        <v>16</v>
      </c>
      <c r="F244">
        <v>0.78400000000000003</v>
      </c>
      <c r="G244">
        <v>0.83799999999999997</v>
      </c>
      <c r="H244">
        <f t="shared" si="9"/>
        <v>6.8877551020408087E-2</v>
      </c>
      <c r="I244">
        <f t="shared" si="10"/>
        <v>4.4179480684067469E-6</v>
      </c>
      <c r="J244">
        <f t="shared" si="11"/>
        <v>4.4179480684067469</v>
      </c>
    </row>
    <row r="245" spans="1:10" x14ac:dyDescent="0.35">
      <c r="A245" t="s">
        <v>37</v>
      </c>
      <c r="B245" s="2">
        <v>44800</v>
      </c>
      <c r="C245" s="3">
        <v>6.25E-2</v>
      </c>
      <c r="D245" t="s">
        <v>44</v>
      </c>
      <c r="E245" t="s">
        <v>16</v>
      </c>
      <c r="F245">
        <v>0.78200000000000003</v>
      </c>
      <c r="G245">
        <v>0.83799999999999997</v>
      </c>
      <c r="H245">
        <f t="shared" si="9"/>
        <v>7.161125319693086E-2</v>
      </c>
      <c r="I245">
        <f t="shared" si="10"/>
        <v>4.6347777096988373E-6</v>
      </c>
      <c r="J245">
        <f t="shared" si="11"/>
        <v>4.6347777096988372</v>
      </c>
    </row>
    <row r="246" spans="1:10" x14ac:dyDescent="0.35">
      <c r="A246" t="s">
        <v>37</v>
      </c>
      <c r="B246" s="2">
        <v>44800</v>
      </c>
      <c r="C246" s="3">
        <v>8.3333333333333329E-2</v>
      </c>
      <c r="D246" t="s">
        <v>44</v>
      </c>
      <c r="E246" t="s">
        <v>16</v>
      </c>
      <c r="F246">
        <v>0.77900000000000003</v>
      </c>
      <c r="G246">
        <v>0.83799999999999997</v>
      </c>
      <c r="H246">
        <f t="shared" si="9"/>
        <v>7.5738125802310582E-2</v>
      </c>
      <c r="I246">
        <f t="shared" si="10"/>
        <v>4.9657308600582753E-6</v>
      </c>
      <c r="J246">
        <f t="shared" si="11"/>
        <v>4.965730860058275</v>
      </c>
    </row>
    <row r="247" spans="1:10" x14ac:dyDescent="0.35">
      <c r="A247" t="s">
        <v>37</v>
      </c>
      <c r="B247" s="2">
        <v>44800</v>
      </c>
      <c r="C247" s="3">
        <v>0.10416666666666667</v>
      </c>
      <c r="D247" t="s">
        <v>44</v>
      </c>
      <c r="E247" t="s">
        <v>16</v>
      </c>
      <c r="F247">
        <v>0.77700000000000002</v>
      </c>
      <c r="G247">
        <v>0.83799999999999997</v>
      </c>
      <c r="H247">
        <f t="shared" si="9"/>
        <v>7.8507078507078429E-2</v>
      </c>
      <c r="I247">
        <f t="shared" si="10"/>
        <v>5.190147665014558E-6</v>
      </c>
      <c r="J247">
        <f t="shared" si="11"/>
        <v>5.1901476650145577</v>
      </c>
    </row>
    <row r="248" spans="1:10" x14ac:dyDescent="0.35">
      <c r="A248" t="s">
        <v>37</v>
      </c>
      <c r="B248" s="2">
        <v>44800</v>
      </c>
      <c r="C248" s="3">
        <v>0.125</v>
      </c>
      <c r="D248" t="s">
        <v>44</v>
      </c>
      <c r="E248" t="s">
        <v>16</v>
      </c>
      <c r="F248">
        <v>0.77700000000000002</v>
      </c>
      <c r="G248">
        <v>0.83799999999999997</v>
      </c>
      <c r="H248">
        <f t="shared" si="9"/>
        <v>7.8507078507078429E-2</v>
      </c>
      <c r="I248">
        <f t="shared" si="10"/>
        <v>5.190147665014558E-6</v>
      </c>
      <c r="J248">
        <f t="shared" si="11"/>
        <v>5.1901476650145577</v>
      </c>
    </row>
    <row r="249" spans="1:10" x14ac:dyDescent="0.35">
      <c r="A249" t="s">
        <v>37</v>
      </c>
      <c r="B249" s="2">
        <v>44800</v>
      </c>
      <c r="C249" s="3">
        <v>0.14583333333333334</v>
      </c>
      <c r="D249" t="s">
        <v>44</v>
      </c>
      <c r="E249" t="s">
        <v>16</v>
      </c>
      <c r="F249">
        <v>0.77900000000000003</v>
      </c>
      <c r="G249">
        <v>0.83799999999999997</v>
      </c>
      <c r="H249">
        <f t="shared" si="9"/>
        <v>7.5738125802310582E-2</v>
      </c>
      <c r="I249">
        <f t="shared" si="10"/>
        <v>4.9657308600582753E-6</v>
      </c>
      <c r="J249">
        <f t="shared" si="11"/>
        <v>4.965730860058275</v>
      </c>
    </row>
    <row r="250" spans="1:10" x14ac:dyDescent="0.35">
      <c r="A250" t="s">
        <v>37</v>
      </c>
      <c r="B250" s="2">
        <v>44800</v>
      </c>
      <c r="C250" s="3">
        <v>0.16666666666666666</v>
      </c>
      <c r="D250" t="s">
        <v>44</v>
      </c>
      <c r="E250" t="s">
        <v>16</v>
      </c>
      <c r="F250">
        <v>0.77900000000000003</v>
      </c>
      <c r="G250">
        <v>0.83799999999999997</v>
      </c>
      <c r="H250">
        <f t="shared" si="9"/>
        <v>7.5738125802310582E-2</v>
      </c>
      <c r="I250">
        <f t="shared" si="10"/>
        <v>4.9657308600582753E-6</v>
      </c>
      <c r="J250">
        <f t="shared" si="11"/>
        <v>4.965730860058275</v>
      </c>
    </row>
    <row r="251" spans="1:10" x14ac:dyDescent="0.35">
      <c r="A251" t="s">
        <v>37</v>
      </c>
      <c r="B251" s="2">
        <v>44800</v>
      </c>
      <c r="C251" s="3">
        <v>0.1875</v>
      </c>
      <c r="D251" t="s">
        <v>44</v>
      </c>
      <c r="E251" t="s">
        <v>16</v>
      </c>
      <c r="F251">
        <v>0.78100000000000003</v>
      </c>
      <c r="G251">
        <v>0.83799999999999997</v>
      </c>
      <c r="H251">
        <f t="shared" si="9"/>
        <v>7.298335467349544E-2</v>
      </c>
      <c r="I251">
        <f t="shared" si="10"/>
        <v>4.7443365165108205E-6</v>
      </c>
      <c r="J251">
        <f t="shared" si="11"/>
        <v>4.7443365165108204</v>
      </c>
    </row>
    <row r="252" spans="1:10" x14ac:dyDescent="0.35">
      <c r="A252" t="s">
        <v>37</v>
      </c>
      <c r="B252" s="2">
        <v>44800</v>
      </c>
      <c r="C252" s="3">
        <v>0.20833333333333334</v>
      </c>
      <c r="D252" t="s">
        <v>44</v>
      </c>
      <c r="E252" t="s">
        <v>16</v>
      </c>
      <c r="F252">
        <v>0.78100000000000003</v>
      </c>
      <c r="G252">
        <v>0.83799999999999997</v>
      </c>
      <c r="H252">
        <f t="shared" si="9"/>
        <v>7.298335467349544E-2</v>
      </c>
      <c r="I252">
        <f t="shared" si="10"/>
        <v>4.7443365165108205E-6</v>
      </c>
      <c r="J252">
        <f t="shared" si="11"/>
        <v>4.7443365165108204</v>
      </c>
    </row>
    <row r="253" spans="1:10" x14ac:dyDescent="0.35">
      <c r="A253" t="s">
        <v>37</v>
      </c>
      <c r="B253" s="2">
        <v>44800</v>
      </c>
      <c r="C253" s="3">
        <v>0.22916666666666666</v>
      </c>
      <c r="D253" t="s">
        <v>44</v>
      </c>
      <c r="E253" t="s">
        <v>16</v>
      </c>
      <c r="F253">
        <v>0.78100000000000003</v>
      </c>
      <c r="G253">
        <v>0.83799999999999997</v>
      </c>
      <c r="H253">
        <f t="shared" si="9"/>
        <v>7.298335467349544E-2</v>
      </c>
      <c r="I253">
        <f t="shared" si="10"/>
        <v>4.7443365165108205E-6</v>
      </c>
      <c r="J253">
        <f t="shared" si="11"/>
        <v>4.7443365165108204</v>
      </c>
    </row>
    <row r="254" spans="1:10" x14ac:dyDescent="0.35">
      <c r="A254" t="s">
        <v>37</v>
      </c>
      <c r="B254" s="2">
        <v>44800</v>
      </c>
      <c r="C254" s="3">
        <v>0.25</v>
      </c>
      <c r="D254" t="s">
        <v>44</v>
      </c>
      <c r="E254" t="s">
        <v>16</v>
      </c>
      <c r="F254">
        <v>0.78100000000000003</v>
      </c>
      <c r="G254">
        <v>0.83799999999999997</v>
      </c>
      <c r="H254">
        <f t="shared" si="9"/>
        <v>7.298335467349544E-2</v>
      </c>
      <c r="I254">
        <f t="shared" si="10"/>
        <v>4.7443365165108205E-6</v>
      </c>
      <c r="J254">
        <f t="shared" si="11"/>
        <v>4.7443365165108204</v>
      </c>
    </row>
    <row r="255" spans="1:10" x14ac:dyDescent="0.35">
      <c r="A255" t="s">
        <v>37</v>
      </c>
      <c r="B255" s="2">
        <v>44800</v>
      </c>
      <c r="C255" s="3">
        <v>0.27083333333333331</v>
      </c>
      <c r="D255" t="s">
        <v>44</v>
      </c>
      <c r="E255" t="s">
        <v>16</v>
      </c>
      <c r="F255">
        <v>0.78400000000000003</v>
      </c>
      <c r="G255">
        <v>0.83799999999999997</v>
      </c>
      <c r="H255">
        <f t="shared" si="9"/>
        <v>6.8877551020408087E-2</v>
      </c>
      <c r="I255">
        <f t="shared" si="10"/>
        <v>4.4179480684067469E-6</v>
      </c>
      <c r="J255">
        <f t="shared" si="11"/>
        <v>4.4179480684067469</v>
      </c>
    </row>
    <row r="256" spans="1:10" x14ac:dyDescent="0.35">
      <c r="A256" t="s">
        <v>37</v>
      </c>
      <c r="B256" s="2">
        <v>44800</v>
      </c>
      <c r="C256" s="3">
        <v>0.29166666666666669</v>
      </c>
      <c r="D256" t="s">
        <v>44</v>
      </c>
      <c r="E256" t="s">
        <v>16</v>
      </c>
      <c r="F256">
        <v>0.78800000000000003</v>
      </c>
      <c r="G256">
        <v>0.83799999999999997</v>
      </c>
      <c r="H256">
        <f t="shared" si="9"/>
        <v>6.3451776649746106E-2</v>
      </c>
      <c r="I256">
        <f t="shared" si="10"/>
        <v>3.9935144756778915E-6</v>
      </c>
      <c r="J256">
        <f t="shared" si="11"/>
        <v>3.9935144756778915</v>
      </c>
    </row>
    <row r="257" spans="1:10" x14ac:dyDescent="0.35">
      <c r="A257" t="s">
        <v>37</v>
      </c>
      <c r="B257" s="2">
        <v>44800</v>
      </c>
      <c r="C257" s="3">
        <v>0.3125</v>
      </c>
      <c r="D257" t="s">
        <v>44</v>
      </c>
      <c r="E257" t="s">
        <v>16</v>
      </c>
      <c r="F257">
        <v>0.79200000000000004</v>
      </c>
      <c r="G257">
        <v>0.83799999999999997</v>
      </c>
      <c r="H257">
        <f t="shared" si="9"/>
        <v>5.808080808080799E-2</v>
      </c>
      <c r="I257">
        <f t="shared" si="10"/>
        <v>3.5815511147938012E-6</v>
      </c>
      <c r="J257">
        <f t="shared" si="11"/>
        <v>3.5815511147938013</v>
      </c>
    </row>
    <row r="258" spans="1:10" x14ac:dyDescent="0.35">
      <c r="A258" t="s">
        <v>37</v>
      </c>
      <c r="B258" s="2">
        <v>44800</v>
      </c>
      <c r="C258" s="3">
        <v>0.33333333333333331</v>
      </c>
      <c r="D258" t="s">
        <v>44</v>
      </c>
      <c r="E258" t="s">
        <v>16</v>
      </c>
      <c r="F258">
        <v>0.79600000000000004</v>
      </c>
      <c r="G258">
        <v>0.83799999999999997</v>
      </c>
      <c r="H258">
        <f t="shared" ref="H258:H321" si="12">(G258-F258)/F258</f>
        <v>5.2763819095477289E-2</v>
      </c>
      <c r="I258">
        <f t="shared" ref="I258:I321" si="13">119*10^-6*(H258^1.231)</f>
        <v>3.1823126962745038E-6</v>
      </c>
      <c r="J258">
        <f t="shared" si="11"/>
        <v>3.1823126962745039</v>
      </c>
    </row>
    <row r="259" spans="1:10" x14ac:dyDescent="0.35">
      <c r="A259" t="s">
        <v>37</v>
      </c>
      <c r="B259" s="2">
        <v>44800</v>
      </c>
      <c r="C259" s="3">
        <v>0.35416666666666669</v>
      </c>
      <c r="D259" t="s">
        <v>44</v>
      </c>
      <c r="E259" t="s">
        <v>16</v>
      </c>
      <c r="F259">
        <v>0.80100000000000005</v>
      </c>
      <c r="G259">
        <v>0.83799999999999997</v>
      </c>
      <c r="H259">
        <f t="shared" si="12"/>
        <v>4.6192259675405641E-2</v>
      </c>
      <c r="I259">
        <f t="shared" si="13"/>
        <v>2.7016659945350038E-6</v>
      </c>
      <c r="J259">
        <f t="shared" ref="J259:J322" si="14">I259*10^6</f>
        <v>2.7016659945350039</v>
      </c>
    </row>
    <row r="260" spans="1:10" x14ac:dyDescent="0.35">
      <c r="A260" t="s">
        <v>37</v>
      </c>
      <c r="B260" s="2">
        <v>44800</v>
      </c>
      <c r="C260" s="3">
        <v>0.375</v>
      </c>
      <c r="D260" t="s">
        <v>44</v>
      </c>
      <c r="E260" t="s">
        <v>16</v>
      </c>
      <c r="F260">
        <v>0.80600000000000005</v>
      </c>
      <c r="G260">
        <v>0.83799999999999997</v>
      </c>
      <c r="H260">
        <f t="shared" si="12"/>
        <v>3.9702233250620243E-2</v>
      </c>
      <c r="I260">
        <f t="shared" si="13"/>
        <v>2.2422712485952499E-6</v>
      </c>
      <c r="J260">
        <f t="shared" si="14"/>
        <v>2.2422712485952498</v>
      </c>
    </row>
    <row r="261" spans="1:10" x14ac:dyDescent="0.35">
      <c r="A261" t="s">
        <v>37</v>
      </c>
      <c r="B261" s="2">
        <v>44800</v>
      </c>
      <c r="C261" s="3">
        <v>0.39583333333333331</v>
      </c>
      <c r="D261" t="s">
        <v>44</v>
      </c>
      <c r="E261" t="s">
        <v>16</v>
      </c>
      <c r="F261">
        <v>0.81599999999999995</v>
      </c>
      <c r="G261">
        <v>0.83799999999999997</v>
      </c>
      <c r="H261">
        <f t="shared" si="12"/>
        <v>2.6960784313725516E-2</v>
      </c>
      <c r="I261">
        <f t="shared" si="13"/>
        <v>1.3924470712670146E-6</v>
      </c>
      <c r="J261">
        <f t="shared" si="14"/>
        <v>1.3924470712670145</v>
      </c>
    </row>
    <row r="262" spans="1:10" x14ac:dyDescent="0.35">
      <c r="A262" t="s">
        <v>37</v>
      </c>
      <c r="B262" s="2">
        <v>44800</v>
      </c>
      <c r="C262" s="3">
        <v>0.41666666666666669</v>
      </c>
      <c r="D262" t="s">
        <v>44</v>
      </c>
      <c r="E262" t="s">
        <v>16</v>
      </c>
      <c r="F262">
        <v>0.81899999999999995</v>
      </c>
      <c r="G262">
        <v>0.83799999999999997</v>
      </c>
      <c r="H262">
        <f t="shared" si="12"/>
        <v>2.3199023199023221E-2</v>
      </c>
      <c r="I262">
        <f t="shared" si="13"/>
        <v>1.1572845656214792E-6</v>
      </c>
      <c r="J262">
        <f t="shared" si="14"/>
        <v>1.1572845656214792</v>
      </c>
    </row>
    <row r="263" spans="1:10" x14ac:dyDescent="0.35">
      <c r="A263" t="s">
        <v>37</v>
      </c>
      <c r="B263" s="2">
        <v>44800</v>
      </c>
      <c r="C263" s="3">
        <v>0.4375</v>
      </c>
      <c r="D263" t="s">
        <v>44</v>
      </c>
      <c r="E263" t="s">
        <v>16</v>
      </c>
      <c r="F263">
        <v>0.81799999999999995</v>
      </c>
      <c r="G263">
        <v>0.83799999999999997</v>
      </c>
      <c r="H263">
        <f t="shared" si="12"/>
        <v>2.4449877750611269E-2</v>
      </c>
      <c r="I263">
        <f t="shared" si="13"/>
        <v>1.2345695730663899E-6</v>
      </c>
      <c r="J263">
        <f t="shared" si="14"/>
        <v>1.2345695730663899</v>
      </c>
    </row>
    <row r="264" spans="1:10" x14ac:dyDescent="0.35">
      <c r="A264" t="s">
        <v>37</v>
      </c>
      <c r="B264" s="2">
        <v>44800</v>
      </c>
      <c r="C264" s="3">
        <v>0.45833333333333331</v>
      </c>
      <c r="D264" t="s">
        <v>44</v>
      </c>
      <c r="E264" t="s">
        <v>16</v>
      </c>
      <c r="F264">
        <v>0.81699999999999995</v>
      </c>
      <c r="G264">
        <v>0.83799999999999997</v>
      </c>
      <c r="H264">
        <f t="shared" si="12"/>
        <v>2.5703794369645067E-2</v>
      </c>
      <c r="I264">
        <f t="shared" si="13"/>
        <v>1.3129662469534371E-6</v>
      </c>
      <c r="J264">
        <f t="shared" si="14"/>
        <v>1.3129662469534371</v>
      </c>
    </row>
    <row r="265" spans="1:10" x14ac:dyDescent="0.35">
      <c r="A265" t="s">
        <v>37</v>
      </c>
      <c r="B265" s="2">
        <v>44800</v>
      </c>
      <c r="C265" s="3">
        <v>0.47916666666666669</v>
      </c>
      <c r="D265" t="s">
        <v>44</v>
      </c>
      <c r="E265" t="s">
        <v>16</v>
      </c>
      <c r="F265">
        <v>0.83099999999999996</v>
      </c>
      <c r="G265">
        <v>0.83799999999999997</v>
      </c>
      <c r="H265">
        <f t="shared" si="12"/>
        <v>8.4235860409145689E-3</v>
      </c>
      <c r="I265">
        <f t="shared" si="13"/>
        <v>3.3253226338111642E-7</v>
      </c>
      <c r="J265">
        <f t="shared" si="14"/>
        <v>0.33253226338111641</v>
      </c>
    </row>
    <row r="266" spans="1:10" x14ac:dyDescent="0.35">
      <c r="A266" t="s">
        <v>37</v>
      </c>
      <c r="B266" s="2">
        <v>44800</v>
      </c>
      <c r="C266" s="3">
        <v>0.5</v>
      </c>
      <c r="D266" t="s">
        <v>44</v>
      </c>
      <c r="E266" t="s">
        <v>16</v>
      </c>
      <c r="F266">
        <v>0.83799999999999997</v>
      </c>
      <c r="G266">
        <v>0.83799999999999997</v>
      </c>
      <c r="H266">
        <f t="shared" si="12"/>
        <v>0</v>
      </c>
      <c r="I266">
        <f t="shared" si="13"/>
        <v>0</v>
      </c>
      <c r="J266">
        <f t="shared" si="14"/>
        <v>0</v>
      </c>
    </row>
    <row r="267" spans="1:10" x14ac:dyDescent="0.35">
      <c r="A267" t="s">
        <v>37</v>
      </c>
      <c r="B267" s="2">
        <v>44800</v>
      </c>
      <c r="C267" s="3">
        <v>0.52083333333333337</v>
      </c>
      <c r="D267" t="s">
        <v>44</v>
      </c>
      <c r="E267" t="s">
        <v>16</v>
      </c>
      <c r="F267">
        <v>0.83599999999999997</v>
      </c>
      <c r="G267">
        <v>0.83799999999999997</v>
      </c>
      <c r="H267">
        <f t="shared" si="12"/>
        <v>2.3923444976076576E-3</v>
      </c>
      <c r="I267">
        <f t="shared" si="13"/>
        <v>7.0612072513523419E-8</v>
      </c>
      <c r="J267">
        <f t="shared" si="14"/>
        <v>7.0612072513523416E-2</v>
      </c>
    </row>
    <row r="268" spans="1:10" x14ac:dyDescent="0.35">
      <c r="A268" t="s">
        <v>37</v>
      </c>
      <c r="B268" s="2">
        <v>44800</v>
      </c>
      <c r="C268" s="3">
        <v>0.54166666666666663</v>
      </c>
      <c r="D268" t="s">
        <v>44</v>
      </c>
      <c r="E268" t="s">
        <v>16</v>
      </c>
      <c r="F268">
        <v>0.83399999999999996</v>
      </c>
      <c r="G268">
        <v>0.83799999999999997</v>
      </c>
      <c r="H268">
        <f t="shared" si="12"/>
        <v>4.7961630695443694E-3</v>
      </c>
      <c r="I268">
        <f t="shared" si="13"/>
        <v>1.6623688884380856E-7</v>
      </c>
      <c r="J268">
        <f t="shared" si="14"/>
        <v>0.16623688884380855</v>
      </c>
    </row>
    <row r="269" spans="1:10" x14ac:dyDescent="0.35">
      <c r="A269" t="s">
        <v>37</v>
      </c>
      <c r="B269" s="2">
        <v>44800</v>
      </c>
      <c r="C269" s="3">
        <v>0.5625</v>
      </c>
      <c r="D269" t="s">
        <v>44</v>
      </c>
      <c r="E269" t="s">
        <v>16</v>
      </c>
      <c r="F269">
        <v>0.81599999999999995</v>
      </c>
      <c r="G269">
        <v>0.83799999999999997</v>
      </c>
      <c r="H269">
        <f t="shared" si="12"/>
        <v>2.6960784313725516E-2</v>
      </c>
      <c r="I269">
        <f t="shared" si="13"/>
        <v>1.3924470712670146E-6</v>
      </c>
      <c r="J269">
        <f t="shared" si="14"/>
        <v>1.3924470712670145</v>
      </c>
    </row>
    <row r="270" spans="1:10" x14ac:dyDescent="0.35">
      <c r="A270" t="s">
        <v>37</v>
      </c>
      <c r="B270" s="2">
        <v>44800</v>
      </c>
      <c r="C270" s="3">
        <v>0.58333333333333337</v>
      </c>
      <c r="D270" t="s">
        <v>44</v>
      </c>
      <c r="E270" t="s">
        <v>16</v>
      </c>
      <c r="F270">
        <v>0.81100000000000005</v>
      </c>
      <c r="G270">
        <v>0.83799999999999997</v>
      </c>
      <c r="H270">
        <f t="shared" si="12"/>
        <v>3.3292231812576956E-2</v>
      </c>
      <c r="I270">
        <f t="shared" si="13"/>
        <v>1.8053070724324109E-6</v>
      </c>
      <c r="J270">
        <f t="shared" si="14"/>
        <v>1.805307072432411</v>
      </c>
    </row>
    <row r="271" spans="1:10" x14ac:dyDescent="0.35">
      <c r="A271" t="s">
        <v>37</v>
      </c>
      <c r="B271" s="2">
        <v>44800</v>
      </c>
      <c r="C271" s="3">
        <v>0.60416666666666663</v>
      </c>
      <c r="D271" t="s">
        <v>44</v>
      </c>
      <c r="E271" t="s">
        <v>16</v>
      </c>
      <c r="F271">
        <v>0.80800000000000005</v>
      </c>
      <c r="G271">
        <v>0.83799999999999997</v>
      </c>
      <c r="H271">
        <f t="shared" si="12"/>
        <v>3.7128712871287023E-2</v>
      </c>
      <c r="I271">
        <f t="shared" si="13"/>
        <v>2.0647137065347106E-6</v>
      </c>
      <c r="J271">
        <f t="shared" si="14"/>
        <v>2.0647137065347105</v>
      </c>
    </row>
    <row r="272" spans="1:10" x14ac:dyDescent="0.35">
      <c r="A272" t="s">
        <v>37</v>
      </c>
      <c r="B272" s="2">
        <v>44800</v>
      </c>
      <c r="C272" s="3">
        <v>0.625</v>
      </c>
      <c r="D272" t="s">
        <v>44</v>
      </c>
      <c r="E272" t="s">
        <v>16</v>
      </c>
      <c r="F272">
        <v>0.80800000000000005</v>
      </c>
      <c r="G272">
        <v>0.83799999999999997</v>
      </c>
      <c r="H272">
        <f t="shared" si="12"/>
        <v>3.7128712871287023E-2</v>
      </c>
      <c r="I272">
        <f t="shared" si="13"/>
        <v>2.0647137065347106E-6</v>
      </c>
      <c r="J272">
        <f t="shared" si="14"/>
        <v>2.0647137065347105</v>
      </c>
    </row>
    <row r="273" spans="1:10" x14ac:dyDescent="0.35">
      <c r="A273" t="s">
        <v>37</v>
      </c>
      <c r="B273" s="2">
        <v>44800</v>
      </c>
      <c r="C273" s="3">
        <v>0.64583333333333337</v>
      </c>
      <c r="D273" t="s">
        <v>44</v>
      </c>
      <c r="E273" t="s">
        <v>16</v>
      </c>
      <c r="F273">
        <v>0.82599999999999996</v>
      </c>
      <c r="G273">
        <v>0.83799999999999997</v>
      </c>
      <c r="H273">
        <f t="shared" si="12"/>
        <v>1.4527845036319625E-2</v>
      </c>
      <c r="I273">
        <f t="shared" si="13"/>
        <v>6.5045407230509873E-7</v>
      </c>
      <c r="J273">
        <f t="shared" si="14"/>
        <v>0.65045407230509877</v>
      </c>
    </row>
    <row r="274" spans="1:10" x14ac:dyDescent="0.35">
      <c r="A274" t="s">
        <v>37</v>
      </c>
      <c r="B274" s="2">
        <v>44800</v>
      </c>
      <c r="C274" s="3">
        <v>0.66666666666666663</v>
      </c>
      <c r="D274" t="s">
        <v>44</v>
      </c>
      <c r="E274" t="s">
        <v>16</v>
      </c>
      <c r="F274">
        <v>0.82299999999999995</v>
      </c>
      <c r="G274">
        <v>0.83799999999999997</v>
      </c>
      <c r="H274">
        <f t="shared" si="12"/>
        <v>1.8226002430133673E-2</v>
      </c>
      <c r="I274">
        <f t="shared" si="13"/>
        <v>8.5992010744890809E-7</v>
      </c>
      <c r="J274">
        <f t="shared" si="14"/>
        <v>0.85992010744890812</v>
      </c>
    </row>
    <row r="275" spans="1:10" x14ac:dyDescent="0.35">
      <c r="A275" t="s">
        <v>37</v>
      </c>
      <c r="B275" s="2">
        <v>44800</v>
      </c>
      <c r="C275" s="3">
        <v>0.6875</v>
      </c>
      <c r="D275" t="s">
        <v>44</v>
      </c>
      <c r="E275" t="s">
        <v>16</v>
      </c>
      <c r="F275">
        <v>0.8</v>
      </c>
      <c r="G275">
        <v>0.83799999999999997</v>
      </c>
      <c r="H275">
        <f t="shared" si="12"/>
        <v>4.7499999999999903E-2</v>
      </c>
      <c r="I275">
        <f t="shared" si="13"/>
        <v>2.7961263669681052E-6</v>
      </c>
      <c r="J275">
        <f t="shared" si="14"/>
        <v>2.7961263669681053</v>
      </c>
    </row>
    <row r="276" spans="1:10" x14ac:dyDescent="0.35">
      <c r="A276" t="s">
        <v>37</v>
      </c>
      <c r="B276" s="2">
        <v>44800</v>
      </c>
      <c r="C276" s="3">
        <v>0.70833333333333337</v>
      </c>
      <c r="D276" t="s">
        <v>44</v>
      </c>
      <c r="E276" t="s">
        <v>16</v>
      </c>
      <c r="F276">
        <v>0.78700000000000003</v>
      </c>
      <c r="G276">
        <v>0.83799999999999997</v>
      </c>
      <c r="H276">
        <f t="shared" si="12"/>
        <v>6.4803049555273107E-2</v>
      </c>
      <c r="I276">
        <f t="shared" si="13"/>
        <v>4.0984623762804117E-6</v>
      </c>
      <c r="J276">
        <f t="shared" si="14"/>
        <v>4.0984623762804118</v>
      </c>
    </row>
    <row r="277" spans="1:10" x14ac:dyDescent="0.35">
      <c r="A277" t="s">
        <v>37</v>
      </c>
      <c r="B277" s="2">
        <v>44800</v>
      </c>
      <c r="C277" s="3">
        <v>0.72916666666666663</v>
      </c>
      <c r="D277" t="s">
        <v>44</v>
      </c>
      <c r="E277" t="s">
        <v>16</v>
      </c>
      <c r="F277">
        <v>0.77900000000000003</v>
      </c>
      <c r="G277">
        <v>0.83799999999999997</v>
      </c>
      <c r="H277">
        <f t="shared" si="12"/>
        <v>7.5738125802310582E-2</v>
      </c>
      <c r="I277">
        <f t="shared" si="13"/>
        <v>4.9657308600582753E-6</v>
      </c>
      <c r="J277">
        <f t="shared" si="14"/>
        <v>4.965730860058275</v>
      </c>
    </row>
    <row r="278" spans="1:10" x14ac:dyDescent="0.35">
      <c r="A278" t="s">
        <v>37</v>
      </c>
      <c r="B278" s="2">
        <v>44800</v>
      </c>
      <c r="C278" s="3">
        <v>0.75</v>
      </c>
      <c r="D278" t="s">
        <v>44</v>
      </c>
      <c r="E278" t="s">
        <v>16</v>
      </c>
      <c r="F278">
        <v>0.77300000000000002</v>
      </c>
      <c r="G278">
        <v>0.83799999999999997</v>
      </c>
      <c r="H278">
        <f t="shared" si="12"/>
        <v>8.4087968952134468E-2</v>
      </c>
      <c r="I278">
        <f t="shared" si="13"/>
        <v>5.6479955570081957E-6</v>
      </c>
      <c r="J278">
        <f t="shared" si="14"/>
        <v>5.6479955570081959</v>
      </c>
    </row>
    <row r="279" spans="1:10" x14ac:dyDescent="0.35">
      <c r="A279" t="s">
        <v>37</v>
      </c>
      <c r="B279" s="2">
        <v>44800</v>
      </c>
      <c r="C279" s="3">
        <v>0.77083333333333337</v>
      </c>
      <c r="D279" t="s">
        <v>44</v>
      </c>
      <c r="E279" t="s">
        <v>16</v>
      </c>
      <c r="F279">
        <v>0.77</v>
      </c>
      <c r="G279">
        <v>0.83799999999999997</v>
      </c>
      <c r="H279">
        <f t="shared" si="12"/>
        <v>8.8311688311688244E-2</v>
      </c>
      <c r="I279">
        <f t="shared" si="13"/>
        <v>5.9992277607666182E-6</v>
      </c>
      <c r="J279">
        <f t="shared" si="14"/>
        <v>5.999227760766618</v>
      </c>
    </row>
    <row r="280" spans="1:10" x14ac:dyDescent="0.35">
      <c r="A280" t="s">
        <v>37</v>
      </c>
      <c r="B280" s="2">
        <v>44800</v>
      </c>
      <c r="C280" s="3">
        <v>0.79166666666666663</v>
      </c>
      <c r="D280" t="s">
        <v>44</v>
      </c>
      <c r="E280" t="s">
        <v>16</v>
      </c>
      <c r="F280">
        <v>0.77200000000000002</v>
      </c>
      <c r="G280">
        <v>0.83799999999999997</v>
      </c>
      <c r="H280">
        <f t="shared" si="12"/>
        <v>8.549222797927454E-2</v>
      </c>
      <c r="I280">
        <f t="shared" si="13"/>
        <v>5.7643275274414037E-6</v>
      </c>
      <c r="J280">
        <f t="shared" si="14"/>
        <v>5.7643275274414041</v>
      </c>
    </row>
    <row r="281" spans="1:10" x14ac:dyDescent="0.35">
      <c r="A281" t="s">
        <v>37</v>
      </c>
      <c r="B281" s="2">
        <v>44800</v>
      </c>
      <c r="C281" s="3">
        <v>0.8125</v>
      </c>
      <c r="D281" t="s">
        <v>44</v>
      </c>
      <c r="E281" t="s">
        <v>16</v>
      </c>
      <c r="F281">
        <v>0.77500000000000002</v>
      </c>
      <c r="G281">
        <v>0.83799999999999997</v>
      </c>
      <c r="H281">
        <f t="shared" si="12"/>
        <v>8.1290322580645086E-2</v>
      </c>
      <c r="I281">
        <f t="shared" si="13"/>
        <v>5.417573124484557E-6</v>
      </c>
      <c r="J281">
        <f t="shared" si="14"/>
        <v>5.4175731244845569</v>
      </c>
    </row>
    <row r="282" spans="1:10" x14ac:dyDescent="0.35">
      <c r="A282" t="s">
        <v>37</v>
      </c>
      <c r="B282" s="2">
        <v>44800</v>
      </c>
      <c r="C282" s="3">
        <v>0.83333333333333337</v>
      </c>
      <c r="D282" t="s">
        <v>44</v>
      </c>
      <c r="E282" t="s">
        <v>16</v>
      </c>
      <c r="F282">
        <v>0.78</v>
      </c>
      <c r="G282">
        <v>0.83799999999999997</v>
      </c>
      <c r="H282">
        <f t="shared" si="12"/>
        <v>7.4358974358974275E-2</v>
      </c>
      <c r="I282">
        <f t="shared" si="13"/>
        <v>4.8546549296432349E-6</v>
      </c>
      <c r="J282">
        <f t="shared" si="14"/>
        <v>4.8546549296432353</v>
      </c>
    </row>
    <row r="283" spans="1:10" x14ac:dyDescent="0.35">
      <c r="A283" t="s">
        <v>37</v>
      </c>
      <c r="B283" s="2">
        <v>44800</v>
      </c>
      <c r="C283" s="3">
        <v>0.85416666666666663</v>
      </c>
      <c r="D283" t="s">
        <v>44</v>
      </c>
      <c r="E283" t="s">
        <v>16</v>
      </c>
      <c r="F283">
        <v>0.78400000000000003</v>
      </c>
      <c r="G283">
        <v>0.83799999999999997</v>
      </c>
      <c r="H283">
        <f t="shared" si="12"/>
        <v>6.8877551020408087E-2</v>
      </c>
      <c r="I283">
        <f t="shared" si="13"/>
        <v>4.4179480684067469E-6</v>
      </c>
      <c r="J283">
        <f t="shared" si="14"/>
        <v>4.4179480684067469</v>
      </c>
    </row>
    <row r="284" spans="1:10" x14ac:dyDescent="0.35">
      <c r="A284" t="s">
        <v>37</v>
      </c>
      <c r="B284" s="2">
        <v>44800</v>
      </c>
      <c r="C284" s="3">
        <v>0.875</v>
      </c>
      <c r="D284" t="s">
        <v>44</v>
      </c>
      <c r="E284" t="s">
        <v>16</v>
      </c>
      <c r="F284">
        <v>0.78600000000000003</v>
      </c>
      <c r="G284">
        <v>0.83799999999999997</v>
      </c>
      <c r="H284">
        <f t="shared" si="12"/>
        <v>6.6157760814249275E-2</v>
      </c>
      <c r="I284">
        <f t="shared" si="13"/>
        <v>4.2041860150988285E-6</v>
      </c>
      <c r="J284">
        <f t="shared" si="14"/>
        <v>4.2041860150988288</v>
      </c>
    </row>
    <row r="285" spans="1:10" x14ac:dyDescent="0.35">
      <c r="A285" t="s">
        <v>37</v>
      </c>
      <c r="B285" s="2">
        <v>44800</v>
      </c>
      <c r="C285" s="3">
        <v>0.89583333333333337</v>
      </c>
      <c r="D285" t="s">
        <v>44</v>
      </c>
      <c r="E285" t="s">
        <v>16</v>
      </c>
      <c r="F285">
        <v>0.78700000000000003</v>
      </c>
      <c r="G285">
        <v>0.83799999999999997</v>
      </c>
      <c r="H285">
        <f t="shared" si="12"/>
        <v>6.4803049555273107E-2</v>
      </c>
      <c r="I285">
        <f t="shared" si="13"/>
        <v>4.0984623762804117E-6</v>
      </c>
      <c r="J285">
        <f t="shared" si="14"/>
        <v>4.0984623762804118</v>
      </c>
    </row>
    <row r="286" spans="1:10" x14ac:dyDescent="0.35">
      <c r="A286" t="s">
        <v>37</v>
      </c>
      <c r="B286" s="2">
        <v>44800</v>
      </c>
      <c r="C286" s="3">
        <v>0.91666666666666663</v>
      </c>
      <c r="D286" t="s">
        <v>44</v>
      </c>
      <c r="E286" t="s">
        <v>16</v>
      </c>
      <c r="F286">
        <v>0.78700000000000003</v>
      </c>
      <c r="G286">
        <v>0.83799999999999997</v>
      </c>
      <c r="H286">
        <f t="shared" si="12"/>
        <v>6.4803049555273107E-2</v>
      </c>
      <c r="I286">
        <f t="shared" si="13"/>
        <v>4.0984623762804117E-6</v>
      </c>
      <c r="J286">
        <f t="shared" si="14"/>
        <v>4.0984623762804118</v>
      </c>
    </row>
    <row r="287" spans="1:10" x14ac:dyDescent="0.35">
      <c r="A287" t="s">
        <v>37</v>
      </c>
      <c r="B287" s="2">
        <v>44800</v>
      </c>
      <c r="C287" s="3">
        <v>0.9375</v>
      </c>
      <c r="D287" t="s">
        <v>44</v>
      </c>
      <c r="E287" t="s">
        <v>16</v>
      </c>
      <c r="F287">
        <v>0.78700000000000003</v>
      </c>
      <c r="G287">
        <v>0.83799999999999997</v>
      </c>
      <c r="H287">
        <f t="shared" si="12"/>
        <v>6.4803049555273107E-2</v>
      </c>
      <c r="I287">
        <f t="shared" si="13"/>
        <v>4.0984623762804117E-6</v>
      </c>
      <c r="J287">
        <f t="shared" si="14"/>
        <v>4.0984623762804118</v>
      </c>
    </row>
    <row r="288" spans="1:10" x14ac:dyDescent="0.35">
      <c r="A288" t="s">
        <v>37</v>
      </c>
      <c r="B288" s="2">
        <v>44800</v>
      </c>
      <c r="C288" s="3">
        <v>0.95833333333333337</v>
      </c>
      <c r="D288" t="s">
        <v>44</v>
      </c>
      <c r="E288" t="s">
        <v>16</v>
      </c>
      <c r="F288">
        <v>0.78800000000000003</v>
      </c>
      <c r="G288">
        <v>0.83799999999999997</v>
      </c>
      <c r="H288">
        <f t="shared" si="12"/>
        <v>6.3451776649746106E-2</v>
      </c>
      <c r="I288">
        <f t="shared" si="13"/>
        <v>3.9935144756778915E-6</v>
      </c>
      <c r="J288">
        <f t="shared" si="14"/>
        <v>3.9935144756778915</v>
      </c>
    </row>
    <row r="289" spans="1:10" x14ac:dyDescent="0.35">
      <c r="A289" t="s">
        <v>37</v>
      </c>
      <c r="B289" s="2">
        <v>44800</v>
      </c>
      <c r="C289" s="3">
        <v>0.97916666666666663</v>
      </c>
      <c r="D289" t="s">
        <v>44</v>
      </c>
      <c r="E289" t="s">
        <v>16</v>
      </c>
      <c r="F289">
        <v>0.78900000000000003</v>
      </c>
      <c r="G289">
        <v>0.83799999999999997</v>
      </c>
      <c r="H289">
        <f t="shared" si="12"/>
        <v>6.2103929024081024E-2</v>
      </c>
      <c r="I289">
        <f t="shared" si="13"/>
        <v>3.8893456850474658E-6</v>
      </c>
      <c r="J289">
        <f t="shared" si="14"/>
        <v>3.8893456850474659</v>
      </c>
    </row>
    <row r="290" spans="1:10" x14ac:dyDescent="0.35">
      <c r="A290" t="s">
        <v>37</v>
      </c>
      <c r="B290" s="2">
        <v>44800</v>
      </c>
      <c r="C290" s="3">
        <v>0</v>
      </c>
      <c r="D290" t="s">
        <v>45</v>
      </c>
      <c r="E290" t="s">
        <v>34</v>
      </c>
      <c r="F290">
        <v>0.77400000000000002</v>
      </c>
      <c r="G290">
        <f>MAX(F290:F337)</f>
        <v>0.78100000000000003</v>
      </c>
      <c r="H290">
        <f t="shared" si="12"/>
        <v>9.0439276485788193E-3</v>
      </c>
      <c r="I290">
        <f t="shared" si="13"/>
        <v>3.6292971364400677E-7</v>
      </c>
      <c r="J290">
        <f t="shared" si="14"/>
        <v>0.36292971364400678</v>
      </c>
    </row>
    <row r="291" spans="1:10" x14ac:dyDescent="0.35">
      <c r="A291" t="s">
        <v>37</v>
      </c>
      <c r="B291" s="2">
        <v>44800</v>
      </c>
      <c r="C291" s="3">
        <v>2.0833333333333332E-2</v>
      </c>
      <c r="D291" t="s">
        <v>45</v>
      </c>
      <c r="E291" t="s">
        <v>34</v>
      </c>
      <c r="F291">
        <v>0.77500000000000002</v>
      </c>
      <c r="G291">
        <v>0.78100000000000003</v>
      </c>
      <c r="H291">
        <f t="shared" si="12"/>
        <v>7.7419354838709747E-3</v>
      </c>
      <c r="I291">
        <f t="shared" si="13"/>
        <v>2.9972347200156345E-7</v>
      </c>
      <c r="J291">
        <f t="shared" si="14"/>
        <v>0.29972347200156346</v>
      </c>
    </row>
    <row r="292" spans="1:10" x14ac:dyDescent="0.35">
      <c r="A292" t="s">
        <v>37</v>
      </c>
      <c r="B292" s="2">
        <v>44800</v>
      </c>
      <c r="C292" s="3">
        <v>4.1666666666666664E-2</v>
      </c>
      <c r="D292" t="s">
        <v>45</v>
      </c>
      <c r="E292" t="s">
        <v>34</v>
      </c>
      <c r="F292">
        <v>0.77700000000000002</v>
      </c>
      <c r="G292">
        <v>0.78100000000000003</v>
      </c>
      <c r="H292">
        <f t="shared" si="12"/>
        <v>5.1480051480051522E-3</v>
      </c>
      <c r="I292">
        <f t="shared" si="13"/>
        <v>1.8137379352024376E-7</v>
      </c>
      <c r="J292">
        <f t="shared" si="14"/>
        <v>0.18137379352024374</v>
      </c>
    </row>
    <row r="293" spans="1:10" x14ac:dyDescent="0.35">
      <c r="A293" t="s">
        <v>37</v>
      </c>
      <c r="B293" s="2">
        <v>44800</v>
      </c>
      <c r="C293" s="3">
        <v>6.25E-2</v>
      </c>
      <c r="D293" t="s">
        <v>45</v>
      </c>
      <c r="E293" t="s">
        <v>34</v>
      </c>
      <c r="F293">
        <v>0.77800000000000002</v>
      </c>
      <c r="G293">
        <v>0.78100000000000003</v>
      </c>
      <c r="H293">
        <f t="shared" si="12"/>
        <v>3.8560411311054019E-3</v>
      </c>
      <c r="I293">
        <f t="shared" si="13"/>
        <v>1.2708296592667036E-7</v>
      </c>
      <c r="J293">
        <f t="shared" si="14"/>
        <v>0.12708296592667034</v>
      </c>
    </row>
    <row r="294" spans="1:10" x14ac:dyDescent="0.35">
      <c r="A294" t="s">
        <v>37</v>
      </c>
      <c r="B294" s="2">
        <v>44800</v>
      </c>
      <c r="C294" s="3">
        <v>8.3333333333333329E-2</v>
      </c>
      <c r="D294" t="s">
        <v>45</v>
      </c>
      <c r="E294" t="s">
        <v>34</v>
      </c>
      <c r="F294">
        <v>0.77700000000000002</v>
      </c>
      <c r="G294">
        <v>0.78100000000000003</v>
      </c>
      <c r="H294">
        <f t="shared" si="12"/>
        <v>5.1480051480051522E-3</v>
      </c>
      <c r="I294">
        <f t="shared" si="13"/>
        <v>1.8137379352024376E-7</v>
      </c>
      <c r="J294">
        <f t="shared" si="14"/>
        <v>0.18137379352024374</v>
      </c>
    </row>
    <row r="295" spans="1:10" x14ac:dyDescent="0.35">
      <c r="A295" t="s">
        <v>37</v>
      </c>
      <c r="B295" s="2">
        <v>44800</v>
      </c>
      <c r="C295" s="3">
        <v>0.10416666666666667</v>
      </c>
      <c r="D295" t="s">
        <v>45</v>
      </c>
      <c r="E295" t="s">
        <v>34</v>
      </c>
      <c r="F295">
        <v>0.77500000000000002</v>
      </c>
      <c r="G295">
        <v>0.78100000000000003</v>
      </c>
      <c r="H295">
        <f t="shared" si="12"/>
        <v>7.7419354838709747E-3</v>
      </c>
      <c r="I295">
        <f t="shared" si="13"/>
        <v>2.9972347200156345E-7</v>
      </c>
      <c r="J295">
        <f t="shared" si="14"/>
        <v>0.29972347200156346</v>
      </c>
    </row>
    <row r="296" spans="1:10" x14ac:dyDescent="0.35">
      <c r="A296" t="s">
        <v>37</v>
      </c>
      <c r="B296" s="2">
        <v>44800</v>
      </c>
      <c r="C296" s="3">
        <v>0.125</v>
      </c>
      <c r="D296" t="s">
        <v>45</v>
      </c>
      <c r="E296" t="s">
        <v>34</v>
      </c>
      <c r="F296">
        <v>0.77400000000000002</v>
      </c>
      <c r="G296">
        <v>0.78100000000000003</v>
      </c>
      <c r="H296">
        <f t="shared" si="12"/>
        <v>9.0439276485788193E-3</v>
      </c>
      <c r="I296">
        <f t="shared" si="13"/>
        <v>3.6292971364400677E-7</v>
      </c>
      <c r="J296">
        <f t="shared" si="14"/>
        <v>0.36292971364400678</v>
      </c>
    </row>
    <row r="297" spans="1:10" x14ac:dyDescent="0.35">
      <c r="A297" t="s">
        <v>37</v>
      </c>
      <c r="B297" s="2">
        <v>44800</v>
      </c>
      <c r="C297" s="3">
        <v>0.14583333333333334</v>
      </c>
      <c r="D297" t="s">
        <v>45</v>
      </c>
      <c r="E297" t="s">
        <v>34</v>
      </c>
      <c r="F297">
        <v>0.77400000000000002</v>
      </c>
      <c r="G297">
        <v>0.78100000000000003</v>
      </c>
      <c r="H297">
        <f t="shared" si="12"/>
        <v>9.0439276485788193E-3</v>
      </c>
      <c r="I297">
        <f t="shared" si="13"/>
        <v>3.6292971364400677E-7</v>
      </c>
      <c r="J297">
        <f t="shared" si="14"/>
        <v>0.36292971364400678</v>
      </c>
    </row>
    <row r="298" spans="1:10" x14ac:dyDescent="0.35">
      <c r="A298" t="s">
        <v>37</v>
      </c>
      <c r="B298" s="2">
        <v>44800</v>
      </c>
      <c r="C298" s="3">
        <v>0.16666666666666666</v>
      </c>
      <c r="D298" t="s">
        <v>45</v>
      </c>
      <c r="E298" t="s">
        <v>34</v>
      </c>
      <c r="F298">
        <v>0.77400000000000002</v>
      </c>
      <c r="G298">
        <v>0.78100000000000003</v>
      </c>
      <c r="H298">
        <f t="shared" si="12"/>
        <v>9.0439276485788193E-3</v>
      </c>
      <c r="I298">
        <f t="shared" si="13"/>
        <v>3.6292971364400677E-7</v>
      </c>
      <c r="J298">
        <f t="shared" si="14"/>
        <v>0.36292971364400678</v>
      </c>
    </row>
    <row r="299" spans="1:10" x14ac:dyDescent="0.35">
      <c r="A299" t="s">
        <v>37</v>
      </c>
      <c r="B299" s="2">
        <v>44800</v>
      </c>
      <c r="C299" s="3">
        <v>0.1875</v>
      </c>
      <c r="D299" t="s">
        <v>45</v>
      </c>
      <c r="E299" t="s">
        <v>34</v>
      </c>
      <c r="F299">
        <v>0.77500000000000002</v>
      </c>
      <c r="G299">
        <v>0.78100000000000003</v>
      </c>
      <c r="H299">
        <f t="shared" si="12"/>
        <v>7.7419354838709747E-3</v>
      </c>
      <c r="I299">
        <f t="shared" si="13"/>
        <v>2.9972347200156345E-7</v>
      </c>
      <c r="J299">
        <f t="shared" si="14"/>
        <v>0.29972347200156346</v>
      </c>
    </row>
    <row r="300" spans="1:10" x14ac:dyDescent="0.35">
      <c r="A300" t="s">
        <v>37</v>
      </c>
      <c r="B300" s="2">
        <v>44800</v>
      </c>
      <c r="C300" s="3">
        <v>0.20833333333333334</v>
      </c>
      <c r="D300" t="s">
        <v>45</v>
      </c>
      <c r="E300" t="s">
        <v>34</v>
      </c>
      <c r="F300">
        <v>0.77600000000000002</v>
      </c>
      <c r="G300">
        <v>0.78100000000000003</v>
      </c>
      <c r="H300">
        <f t="shared" si="12"/>
        <v>6.4432989690721707E-3</v>
      </c>
      <c r="I300">
        <f t="shared" si="13"/>
        <v>2.3908881408537811E-7</v>
      </c>
      <c r="J300">
        <f t="shared" si="14"/>
        <v>0.2390888140853781</v>
      </c>
    </row>
    <row r="301" spans="1:10" x14ac:dyDescent="0.35">
      <c r="A301" t="s">
        <v>37</v>
      </c>
      <c r="B301" s="2">
        <v>44800</v>
      </c>
      <c r="C301" s="3">
        <v>0.22916666666666666</v>
      </c>
      <c r="D301" t="s">
        <v>45</v>
      </c>
      <c r="E301" t="s">
        <v>34</v>
      </c>
      <c r="F301">
        <v>0.77600000000000002</v>
      </c>
      <c r="G301">
        <v>0.78100000000000003</v>
      </c>
      <c r="H301">
        <f t="shared" si="12"/>
        <v>6.4432989690721707E-3</v>
      </c>
      <c r="I301">
        <f t="shared" si="13"/>
        <v>2.3908881408537811E-7</v>
      </c>
      <c r="J301">
        <f t="shared" si="14"/>
        <v>0.2390888140853781</v>
      </c>
    </row>
    <row r="302" spans="1:10" x14ac:dyDescent="0.35">
      <c r="A302" t="s">
        <v>37</v>
      </c>
      <c r="B302" s="2">
        <v>44800</v>
      </c>
      <c r="C302" s="3">
        <v>0.25</v>
      </c>
      <c r="D302" t="s">
        <v>45</v>
      </c>
      <c r="E302" t="s">
        <v>34</v>
      </c>
      <c r="F302">
        <v>0.77600000000000002</v>
      </c>
      <c r="G302">
        <v>0.78100000000000003</v>
      </c>
      <c r="H302">
        <f t="shared" si="12"/>
        <v>6.4432989690721707E-3</v>
      </c>
      <c r="I302">
        <f t="shared" si="13"/>
        <v>2.3908881408537811E-7</v>
      </c>
      <c r="J302">
        <f t="shared" si="14"/>
        <v>0.2390888140853781</v>
      </c>
    </row>
    <row r="303" spans="1:10" x14ac:dyDescent="0.35">
      <c r="A303" t="s">
        <v>37</v>
      </c>
      <c r="B303" s="2">
        <v>44800</v>
      </c>
      <c r="C303" s="3">
        <v>0.27083333333333331</v>
      </c>
      <c r="D303" t="s">
        <v>45</v>
      </c>
      <c r="E303" t="s">
        <v>34</v>
      </c>
      <c r="F303">
        <v>0.77600000000000002</v>
      </c>
      <c r="G303">
        <v>0.78100000000000003</v>
      </c>
      <c r="H303">
        <f t="shared" si="12"/>
        <v>6.4432989690721707E-3</v>
      </c>
      <c r="I303">
        <f t="shared" si="13"/>
        <v>2.3908881408537811E-7</v>
      </c>
      <c r="J303">
        <f t="shared" si="14"/>
        <v>0.2390888140853781</v>
      </c>
    </row>
    <row r="304" spans="1:10" x14ac:dyDescent="0.35">
      <c r="A304" t="s">
        <v>37</v>
      </c>
      <c r="B304" s="2">
        <v>44800</v>
      </c>
      <c r="C304" s="3">
        <v>0.29166666666666669</v>
      </c>
      <c r="D304" t="s">
        <v>45</v>
      </c>
      <c r="E304" t="s">
        <v>34</v>
      </c>
      <c r="F304">
        <v>0.77700000000000002</v>
      </c>
      <c r="G304">
        <v>0.78100000000000003</v>
      </c>
      <c r="H304">
        <f t="shared" si="12"/>
        <v>5.1480051480051522E-3</v>
      </c>
      <c r="I304">
        <f t="shared" si="13"/>
        <v>1.8137379352024376E-7</v>
      </c>
      <c r="J304">
        <f t="shared" si="14"/>
        <v>0.18137379352024374</v>
      </c>
    </row>
    <row r="305" spans="1:10" x14ac:dyDescent="0.35">
      <c r="A305" t="s">
        <v>37</v>
      </c>
      <c r="B305" s="2">
        <v>44800</v>
      </c>
      <c r="C305" s="3">
        <v>0.3125</v>
      </c>
      <c r="D305" t="s">
        <v>45</v>
      </c>
      <c r="E305" t="s">
        <v>34</v>
      </c>
      <c r="F305">
        <v>0.78</v>
      </c>
      <c r="G305">
        <v>0.78100000000000003</v>
      </c>
      <c r="H305">
        <f t="shared" si="12"/>
        <v>1.2820512820512831E-3</v>
      </c>
      <c r="I305">
        <f t="shared" si="13"/>
        <v>3.2762611009811896E-8</v>
      </c>
      <c r="J305">
        <f t="shared" si="14"/>
        <v>3.2762611009811898E-2</v>
      </c>
    </row>
    <row r="306" spans="1:10" x14ac:dyDescent="0.35">
      <c r="A306" t="s">
        <v>37</v>
      </c>
      <c r="B306" s="2">
        <v>44800</v>
      </c>
      <c r="C306" s="3">
        <v>0.33333333333333331</v>
      </c>
      <c r="D306" t="s">
        <v>45</v>
      </c>
      <c r="E306" t="s">
        <v>34</v>
      </c>
      <c r="F306">
        <v>0.78100000000000003</v>
      </c>
      <c r="G306">
        <v>0.78100000000000003</v>
      </c>
      <c r="H306">
        <f t="shared" si="12"/>
        <v>0</v>
      </c>
      <c r="I306">
        <f t="shared" si="13"/>
        <v>0</v>
      </c>
      <c r="J306">
        <f t="shared" si="14"/>
        <v>0</v>
      </c>
    </row>
    <row r="307" spans="1:10" x14ac:dyDescent="0.35">
      <c r="A307" t="s">
        <v>37</v>
      </c>
      <c r="B307" s="2">
        <v>44800</v>
      </c>
      <c r="C307" s="3">
        <v>0.35416666666666669</v>
      </c>
      <c r="D307" t="s">
        <v>45</v>
      </c>
      <c r="E307" t="s">
        <v>34</v>
      </c>
      <c r="F307">
        <v>0.77800000000000002</v>
      </c>
      <c r="G307">
        <v>0.78100000000000003</v>
      </c>
      <c r="H307">
        <f t="shared" si="12"/>
        <v>3.8560411311054019E-3</v>
      </c>
      <c r="I307">
        <f t="shared" si="13"/>
        <v>1.2708296592667036E-7</v>
      </c>
      <c r="J307">
        <f t="shared" si="14"/>
        <v>0.12708296592667034</v>
      </c>
    </row>
    <row r="308" spans="1:10" x14ac:dyDescent="0.35">
      <c r="A308" t="s">
        <v>37</v>
      </c>
      <c r="B308" s="2">
        <v>44800</v>
      </c>
      <c r="C308" s="3">
        <v>0.375</v>
      </c>
      <c r="D308" t="s">
        <v>45</v>
      </c>
      <c r="E308" t="s">
        <v>34</v>
      </c>
      <c r="F308">
        <v>0.75700000000000001</v>
      </c>
      <c r="G308">
        <v>0.78100000000000003</v>
      </c>
      <c r="H308">
        <f t="shared" si="12"/>
        <v>3.1704095112285363E-2</v>
      </c>
      <c r="I308">
        <f t="shared" si="13"/>
        <v>1.6998866855611948E-6</v>
      </c>
      <c r="J308">
        <f t="shared" si="14"/>
        <v>1.6998866855611947</v>
      </c>
    </row>
    <row r="309" spans="1:10" x14ac:dyDescent="0.35">
      <c r="A309" t="s">
        <v>37</v>
      </c>
      <c r="B309" s="2">
        <v>44800</v>
      </c>
      <c r="C309" s="3">
        <v>0.39583333333333331</v>
      </c>
      <c r="D309" t="s">
        <v>45</v>
      </c>
      <c r="E309" t="s">
        <v>34</v>
      </c>
      <c r="F309">
        <v>0.72199999999999998</v>
      </c>
      <c r="G309">
        <v>0.78100000000000003</v>
      </c>
      <c r="H309">
        <f t="shared" si="12"/>
        <v>8.1717451523545787E-2</v>
      </c>
      <c r="I309">
        <f t="shared" si="13"/>
        <v>5.45263588611067E-6</v>
      </c>
      <c r="J309">
        <f t="shared" si="14"/>
        <v>5.4526358861106701</v>
      </c>
    </row>
    <row r="310" spans="1:10" x14ac:dyDescent="0.35">
      <c r="A310" t="s">
        <v>37</v>
      </c>
      <c r="B310" s="2">
        <v>44800</v>
      </c>
      <c r="C310" s="3">
        <v>0.41666666666666669</v>
      </c>
      <c r="D310" t="s">
        <v>45</v>
      </c>
      <c r="E310" t="s">
        <v>34</v>
      </c>
      <c r="F310">
        <v>0.68899999999999995</v>
      </c>
      <c r="G310">
        <v>0.78100000000000003</v>
      </c>
      <c r="H310">
        <f t="shared" si="12"/>
        <v>0.13352685050798271</v>
      </c>
      <c r="I310">
        <f t="shared" si="13"/>
        <v>9.9798017644156016E-6</v>
      </c>
      <c r="J310">
        <f t="shared" si="14"/>
        <v>9.9798017644156012</v>
      </c>
    </row>
    <row r="311" spans="1:10" x14ac:dyDescent="0.35">
      <c r="A311" t="s">
        <v>37</v>
      </c>
      <c r="B311" s="2">
        <v>44800</v>
      </c>
      <c r="C311" s="3">
        <v>0.4375</v>
      </c>
      <c r="D311" t="s">
        <v>45</v>
      </c>
      <c r="E311" t="s">
        <v>34</v>
      </c>
      <c r="F311">
        <v>0.64700000000000002</v>
      </c>
      <c r="G311">
        <v>0.78100000000000003</v>
      </c>
      <c r="H311">
        <f t="shared" si="12"/>
        <v>0.2071097372488408</v>
      </c>
      <c r="I311">
        <f t="shared" si="13"/>
        <v>1.7131279418690594E-5</v>
      </c>
      <c r="J311">
        <f t="shared" si="14"/>
        <v>17.131279418690593</v>
      </c>
    </row>
    <row r="312" spans="1:10" x14ac:dyDescent="0.35">
      <c r="A312" t="s">
        <v>37</v>
      </c>
      <c r="B312" s="2">
        <v>44800</v>
      </c>
      <c r="C312" s="3">
        <v>0.45833333333333331</v>
      </c>
      <c r="D312" t="s">
        <v>45</v>
      </c>
      <c r="E312" t="s">
        <v>34</v>
      </c>
      <c r="F312">
        <v>0.61299999999999999</v>
      </c>
      <c r="G312">
        <v>0.78100000000000003</v>
      </c>
      <c r="H312">
        <f t="shared" si="12"/>
        <v>0.27406199021207184</v>
      </c>
      <c r="I312">
        <f t="shared" si="13"/>
        <v>2.4184596339865869E-5</v>
      </c>
      <c r="J312">
        <f t="shared" si="14"/>
        <v>24.18459633986587</v>
      </c>
    </row>
    <row r="313" spans="1:10" x14ac:dyDescent="0.35">
      <c r="A313" t="s">
        <v>37</v>
      </c>
      <c r="B313" s="2">
        <v>44800</v>
      </c>
      <c r="C313" s="3">
        <v>0.47916666666666669</v>
      </c>
      <c r="D313" t="s">
        <v>45</v>
      </c>
      <c r="E313" t="s">
        <v>34</v>
      </c>
      <c r="F313">
        <v>0.59399999999999997</v>
      </c>
      <c r="G313">
        <v>0.78100000000000003</v>
      </c>
      <c r="H313">
        <f t="shared" si="12"/>
        <v>0.31481481481481494</v>
      </c>
      <c r="I313">
        <f t="shared" si="13"/>
        <v>2.8684868630753675E-5</v>
      </c>
      <c r="J313">
        <f t="shared" si="14"/>
        <v>28.684868630753677</v>
      </c>
    </row>
    <row r="314" spans="1:10" x14ac:dyDescent="0.35">
      <c r="A314" t="s">
        <v>37</v>
      </c>
      <c r="B314" s="2">
        <v>44800</v>
      </c>
      <c r="C314" s="3">
        <v>0.5</v>
      </c>
      <c r="D314" t="s">
        <v>45</v>
      </c>
      <c r="E314" t="s">
        <v>34</v>
      </c>
      <c r="F314">
        <v>0.59199999999999997</v>
      </c>
      <c r="G314">
        <v>0.78100000000000003</v>
      </c>
      <c r="H314">
        <f t="shared" si="12"/>
        <v>0.31925675675675685</v>
      </c>
      <c r="I314">
        <f t="shared" si="13"/>
        <v>2.9183906238257036E-5</v>
      </c>
      <c r="J314">
        <f t="shared" si="14"/>
        <v>29.183906238257034</v>
      </c>
    </row>
    <row r="315" spans="1:10" x14ac:dyDescent="0.35">
      <c r="A315" t="s">
        <v>37</v>
      </c>
      <c r="B315" s="2">
        <v>44800</v>
      </c>
      <c r="C315" s="3">
        <v>0.52083333333333337</v>
      </c>
      <c r="D315" t="s">
        <v>45</v>
      </c>
      <c r="E315" t="s">
        <v>34</v>
      </c>
      <c r="F315">
        <v>0.60499999999999998</v>
      </c>
      <c r="G315">
        <v>0.78100000000000003</v>
      </c>
      <c r="H315">
        <f t="shared" si="12"/>
        <v>0.29090909090909101</v>
      </c>
      <c r="I315">
        <f t="shared" si="13"/>
        <v>2.6027484065989095E-5</v>
      </c>
      <c r="J315">
        <f t="shared" si="14"/>
        <v>26.027484065989096</v>
      </c>
    </row>
    <row r="316" spans="1:10" x14ac:dyDescent="0.35">
      <c r="A316" t="s">
        <v>37</v>
      </c>
      <c r="B316" s="2">
        <v>44800</v>
      </c>
      <c r="C316" s="3">
        <v>0.54166666666666663</v>
      </c>
      <c r="D316" t="s">
        <v>45</v>
      </c>
      <c r="E316" t="s">
        <v>34</v>
      </c>
      <c r="F316">
        <v>0.624</v>
      </c>
      <c r="G316">
        <v>0.78100000000000003</v>
      </c>
      <c r="H316">
        <f t="shared" si="12"/>
        <v>0.25160256410256415</v>
      </c>
      <c r="I316">
        <f t="shared" si="13"/>
        <v>2.1768434810381486E-5</v>
      </c>
      <c r="J316">
        <f t="shared" si="14"/>
        <v>21.768434810381486</v>
      </c>
    </row>
    <row r="317" spans="1:10" x14ac:dyDescent="0.35">
      <c r="A317" t="s">
        <v>37</v>
      </c>
      <c r="B317" s="2">
        <v>44800</v>
      </c>
      <c r="C317" s="3">
        <v>0.5625</v>
      </c>
      <c r="D317" t="s">
        <v>45</v>
      </c>
      <c r="E317" t="s">
        <v>34</v>
      </c>
      <c r="F317">
        <v>0.63800000000000001</v>
      </c>
      <c r="G317">
        <v>0.78100000000000003</v>
      </c>
      <c r="H317">
        <f t="shared" si="12"/>
        <v>0.22413793103448279</v>
      </c>
      <c r="I317">
        <f t="shared" si="13"/>
        <v>1.888127718923093E-5</v>
      </c>
      <c r="J317">
        <f t="shared" si="14"/>
        <v>18.881277189230929</v>
      </c>
    </row>
    <row r="318" spans="1:10" x14ac:dyDescent="0.35">
      <c r="A318" t="s">
        <v>37</v>
      </c>
      <c r="B318" s="2">
        <v>44800</v>
      </c>
      <c r="C318" s="3">
        <v>0.58333333333333337</v>
      </c>
      <c r="D318" t="s">
        <v>45</v>
      </c>
      <c r="E318" t="s">
        <v>34</v>
      </c>
      <c r="F318">
        <v>0.64900000000000002</v>
      </c>
      <c r="G318">
        <v>0.78100000000000003</v>
      </c>
      <c r="H318">
        <f t="shared" si="12"/>
        <v>0.20338983050847459</v>
      </c>
      <c r="I318">
        <f t="shared" si="13"/>
        <v>1.6753295506113171E-5</v>
      </c>
      <c r="J318">
        <f t="shared" si="14"/>
        <v>16.753295506113172</v>
      </c>
    </row>
    <row r="319" spans="1:10" x14ac:dyDescent="0.35">
      <c r="A319" t="s">
        <v>37</v>
      </c>
      <c r="B319" s="2">
        <v>44800</v>
      </c>
      <c r="C319" s="3">
        <v>0.60416666666666663</v>
      </c>
      <c r="D319" t="s">
        <v>45</v>
      </c>
      <c r="E319" t="s">
        <v>34</v>
      </c>
      <c r="F319">
        <v>0.65700000000000003</v>
      </c>
      <c r="G319">
        <v>0.78100000000000003</v>
      </c>
      <c r="H319">
        <f t="shared" si="12"/>
        <v>0.18873668188736681</v>
      </c>
      <c r="I319">
        <f t="shared" si="13"/>
        <v>1.5280096109644202E-5</v>
      </c>
      <c r="J319">
        <f t="shared" si="14"/>
        <v>15.280096109644202</v>
      </c>
    </row>
    <row r="320" spans="1:10" x14ac:dyDescent="0.35">
      <c r="A320" t="s">
        <v>37</v>
      </c>
      <c r="B320" s="2">
        <v>44800</v>
      </c>
      <c r="C320" s="3">
        <v>0.625</v>
      </c>
      <c r="D320" t="s">
        <v>45</v>
      </c>
      <c r="E320" t="s">
        <v>34</v>
      </c>
      <c r="F320">
        <v>0.66300000000000003</v>
      </c>
      <c r="G320">
        <v>0.78100000000000003</v>
      </c>
      <c r="H320">
        <f t="shared" si="12"/>
        <v>0.17797888386123678</v>
      </c>
      <c r="I320">
        <f t="shared" si="13"/>
        <v>1.4215120938991001E-5</v>
      </c>
      <c r="J320">
        <f t="shared" si="14"/>
        <v>14.215120938991001</v>
      </c>
    </row>
    <row r="321" spans="1:10" x14ac:dyDescent="0.35">
      <c r="A321" t="s">
        <v>37</v>
      </c>
      <c r="B321" s="2">
        <v>44800</v>
      </c>
      <c r="C321" s="3">
        <v>0.64583333333333337</v>
      </c>
      <c r="D321" t="s">
        <v>45</v>
      </c>
      <c r="E321" t="s">
        <v>34</v>
      </c>
      <c r="F321">
        <v>0.66400000000000003</v>
      </c>
      <c r="G321">
        <v>0.78100000000000003</v>
      </c>
      <c r="H321">
        <f t="shared" si="12"/>
        <v>0.1762048192771084</v>
      </c>
      <c r="I321">
        <f t="shared" si="13"/>
        <v>1.4040896935360356E-5</v>
      </c>
      <c r="J321">
        <f t="shared" si="14"/>
        <v>14.040896935360356</v>
      </c>
    </row>
    <row r="322" spans="1:10" x14ac:dyDescent="0.35">
      <c r="A322" t="s">
        <v>37</v>
      </c>
      <c r="B322" s="2">
        <v>44800</v>
      </c>
      <c r="C322" s="3">
        <v>0.66666666666666663</v>
      </c>
      <c r="D322" t="s">
        <v>45</v>
      </c>
      <c r="E322" t="s">
        <v>34</v>
      </c>
      <c r="F322">
        <v>0.66500000000000004</v>
      </c>
      <c r="G322">
        <v>0.78100000000000003</v>
      </c>
      <c r="H322">
        <f t="shared" ref="H322:H385" si="15">(G322-F322)/F322</f>
        <v>0.17443609022556389</v>
      </c>
      <c r="I322">
        <f t="shared" ref="I322:I385" si="16">119*10^-6*(H322^1.231)</f>
        <v>1.386759982373938E-5</v>
      </c>
      <c r="J322">
        <f t="shared" si="14"/>
        <v>13.867599823739379</v>
      </c>
    </row>
    <row r="323" spans="1:10" x14ac:dyDescent="0.35">
      <c r="A323" t="s">
        <v>37</v>
      </c>
      <c r="B323" s="2">
        <v>44800</v>
      </c>
      <c r="C323" s="3">
        <v>0.6875</v>
      </c>
      <c r="D323" t="s">
        <v>45</v>
      </c>
      <c r="E323" t="s">
        <v>34</v>
      </c>
      <c r="F323">
        <v>0.67200000000000004</v>
      </c>
      <c r="G323">
        <v>0.78100000000000003</v>
      </c>
      <c r="H323">
        <f t="shared" si="15"/>
        <v>0.16220238095238093</v>
      </c>
      <c r="I323">
        <f t="shared" si="16"/>
        <v>1.2680238005104917E-5</v>
      </c>
      <c r="J323">
        <f t="shared" ref="J323:J385" si="17">I323*10^6</f>
        <v>12.680238005104917</v>
      </c>
    </row>
    <row r="324" spans="1:10" x14ac:dyDescent="0.35">
      <c r="A324" t="s">
        <v>37</v>
      </c>
      <c r="B324" s="2">
        <v>44800</v>
      </c>
      <c r="C324" s="3">
        <v>0.70833333333333337</v>
      </c>
      <c r="D324" t="s">
        <v>45</v>
      </c>
      <c r="E324" t="s">
        <v>34</v>
      </c>
      <c r="F324">
        <v>0.67700000000000005</v>
      </c>
      <c r="G324">
        <v>0.78100000000000003</v>
      </c>
      <c r="H324">
        <f t="shared" si="15"/>
        <v>0.15361890694239289</v>
      </c>
      <c r="I324">
        <f t="shared" si="16"/>
        <v>1.1859335377462517E-5</v>
      </c>
      <c r="J324">
        <f t="shared" si="17"/>
        <v>11.859335377462518</v>
      </c>
    </row>
    <row r="325" spans="1:10" x14ac:dyDescent="0.35">
      <c r="A325" t="s">
        <v>37</v>
      </c>
      <c r="B325" s="2">
        <v>44800</v>
      </c>
      <c r="C325" s="3">
        <v>0.72916666666666663</v>
      </c>
      <c r="D325" t="s">
        <v>45</v>
      </c>
      <c r="E325" t="s">
        <v>34</v>
      </c>
      <c r="F325">
        <v>0.69099999999999995</v>
      </c>
      <c r="G325">
        <v>0.78100000000000003</v>
      </c>
      <c r="H325">
        <f t="shared" si="15"/>
        <v>0.13024602026049217</v>
      </c>
      <c r="I325">
        <f t="shared" si="16"/>
        <v>9.6788111070902837E-6</v>
      </c>
      <c r="J325">
        <f t="shared" si="17"/>
        <v>9.6788111070902829</v>
      </c>
    </row>
    <row r="326" spans="1:10" x14ac:dyDescent="0.35">
      <c r="A326" t="s">
        <v>37</v>
      </c>
      <c r="B326" s="2">
        <v>44800</v>
      </c>
      <c r="C326" s="3">
        <v>0.75</v>
      </c>
      <c r="D326" t="s">
        <v>45</v>
      </c>
      <c r="E326" t="s">
        <v>34</v>
      </c>
      <c r="F326">
        <v>0.70499999999999996</v>
      </c>
      <c r="G326">
        <v>0.78100000000000003</v>
      </c>
      <c r="H326">
        <f t="shared" si="15"/>
        <v>0.10780141843971641</v>
      </c>
      <c r="I326">
        <f t="shared" si="16"/>
        <v>7.668451770143925E-6</v>
      </c>
      <c r="J326">
        <f t="shared" si="17"/>
        <v>7.6684517701439248</v>
      </c>
    </row>
    <row r="327" spans="1:10" x14ac:dyDescent="0.35">
      <c r="A327" t="s">
        <v>37</v>
      </c>
      <c r="B327" s="2">
        <v>44800</v>
      </c>
      <c r="C327" s="3">
        <v>0.77083333333333337</v>
      </c>
      <c r="D327" t="s">
        <v>45</v>
      </c>
      <c r="E327" t="s">
        <v>34</v>
      </c>
      <c r="F327">
        <v>0.72</v>
      </c>
      <c r="G327">
        <v>0.78100000000000003</v>
      </c>
      <c r="H327">
        <f t="shared" si="15"/>
        <v>8.4722222222222296E-2</v>
      </c>
      <c r="I327">
        <f t="shared" si="16"/>
        <v>5.7004833980749768E-6</v>
      </c>
      <c r="J327">
        <f t="shared" si="17"/>
        <v>5.7004833980749767</v>
      </c>
    </row>
    <row r="328" spans="1:10" x14ac:dyDescent="0.35">
      <c r="A328" t="s">
        <v>37</v>
      </c>
      <c r="B328" s="2">
        <v>44800</v>
      </c>
      <c r="C328" s="3">
        <v>0.79166666666666663</v>
      </c>
      <c r="D328" t="s">
        <v>45</v>
      </c>
      <c r="E328" t="s">
        <v>34</v>
      </c>
      <c r="F328">
        <v>0.73299999999999998</v>
      </c>
      <c r="G328">
        <v>0.78100000000000003</v>
      </c>
      <c r="H328">
        <f t="shared" si="15"/>
        <v>6.5484311050477556E-2</v>
      </c>
      <c r="I328">
        <f t="shared" si="16"/>
        <v>4.1515658590745009E-6</v>
      </c>
      <c r="J328">
        <f t="shared" si="17"/>
        <v>4.151565859074501</v>
      </c>
    </row>
    <row r="329" spans="1:10" x14ac:dyDescent="0.35">
      <c r="A329" t="s">
        <v>37</v>
      </c>
      <c r="B329" s="2">
        <v>44800</v>
      </c>
      <c r="C329" s="3">
        <v>0.8125</v>
      </c>
      <c r="D329" t="s">
        <v>45</v>
      </c>
      <c r="E329" t="s">
        <v>34</v>
      </c>
      <c r="F329">
        <v>0.745</v>
      </c>
      <c r="G329">
        <v>0.78100000000000003</v>
      </c>
      <c r="H329">
        <f t="shared" si="15"/>
        <v>4.8322147651006751E-2</v>
      </c>
      <c r="I329">
        <f t="shared" si="16"/>
        <v>2.8558209031380295E-6</v>
      </c>
      <c r="J329">
        <f t="shared" si="17"/>
        <v>2.8558209031380293</v>
      </c>
    </row>
    <row r="330" spans="1:10" x14ac:dyDescent="0.35">
      <c r="A330" t="s">
        <v>37</v>
      </c>
      <c r="B330" s="2">
        <v>44800</v>
      </c>
      <c r="C330" s="3">
        <v>0.83333333333333337</v>
      </c>
      <c r="D330" t="s">
        <v>45</v>
      </c>
      <c r="E330" t="s">
        <v>34</v>
      </c>
      <c r="F330">
        <v>0.754</v>
      </c>
      <c r="G330">
        <v>0.78100000000000003</v>
      </c>
      <c r="H330">
        <f t="shared" si="15"/>
        <v>3.5809018567639288E-2</v>
      </c>
      <c r="I330">
        <f t="shared" si="16"/>
        <v>1.9747477528990386E-6</v>
      </c>
      <c r="J330">
        <f t="shared" si="17"/>
        <v>1.9747477528990385</v>
      </c>
    </row>
    <row r="331" spans="1:10" x14ac:dyDescent="0.35">
      <c r="A331" t="s">
        <v>37</v>
      </c>
      <c r="B331" s="2">
        <v>44800</v>
      </c>
      <c r="C331" s="3">
        <v>0.85416666666666663</v>
      </c>
      <c r="D331" t="s">
        <v>45</v>
      </c>
      <c r="E331" t="s">
        <v>34</v>
      </c>
      <c r="F331">
        <v>0.76100000000000001</v>
      </c>
      <c r="G331">
        <v>0.78100000000000003</v>
      </c>
      <c r="H331">
        <f t="shared" si="15"/>
        <v>2.6281208935611061E-2</v>
      </c>
      <c r="I331">
        <f t="shared" si="16"/>
        <v>1.3493678969651298E-6</v>
      </c>
      <c r="J331">
        <f t="shared" si="17"/>
        <v>1.3493678969651299</v>
      </c>
    </row>
    <row r="332" spans="1:10" x14ac:dyDescent="0.35">
      <c r="A332" t="s">
        <v>37</v>
      </c>
      <c r="B332" s="2">
        <v>44800</v>
      </c>
      <c r="C332" s="3">
        <v>0.875</v>
      </c>
      <c r="D332" t="s">
        <v>45</v>
      </c>
      <c r="E332" t="s">
        <v>34</v>
      </c>
      <c r="F332">
        <v>0.76700000000000002</v>
      </c>
      <c r="G332">
        <v>0.78100000000000003</v>
      </c>
      <c r="H332">
        <f t="shared" si="15"/>
        <v>1.8252933507170811E-2</v>
      </c>
      <c r="I332">
        <f t="shared" si="16"/>
        <v>8.6148452449671485E-7</v>
      </c>
      <c r="J332">
        <f t="shared" si="17"/>
        <v>0.86148452449671487</v>
      </c>
    </row>
    <row r="333" spans="1:10" x14ac:dyDescent="0.35">
      <c r="A333" t="s">
        <v>37</v>
      </c>
      <c r="B333" s="2">
        <v>44800</v>
      </c>
      <c r="C333" s="3">
        <v>0.89583333333333337</v>
      </c>
      <c r="D333" t="s">
        <v>45</v>
      </c>
      <c r="E333" t="s">
        <v>34</v>
      </c>
      <c r="F333">
        <v>0.77100000000000002</v>
      </c>
      <c r="G333">
        <v>0.78100000000000003</v>
      </c>
      <c r="H333">
        <f t="shared" si="15"/>
        <v>1.297016861219197E-2</v>
      </c>
      <c r="I333">
        <f t="shared" si="16"/>
        <v>5.6569588814742762E-7</v>
      </c>
      <c r="J333">
        <f t="shared" si="17"/>
        <v>0.56569588814742766</v>
      </c>
    </row>
    <row r="334" spans="1:10" x14ac:dyDescent="0.35">
      <c r="A334" t="s">
        <v>37</v>
      </c>
      <c r="B334" s="2">
        <v>44800</v>
      </c>
      <c r="C334" s="3">
        <v>0.91666666666666663</v>
      </c>
      <c r="D334" t="s">
        <v>45</v>
      </c>
      <c r="E334" t="s">
        <v>34</v>
      </c>
      <c r="F334">
        <v>0.77400000000000002</v>
      </c>
      <c r="G334">
        <v>0.78100000000000003</v>
      </c>
      <c r="H334">
        <f t="shared" si="15"/>
        <v>9.0439276485788193E-3</v>
      </c>
      <c r="I334">
        <f t="shared" si="16"/>
        <v>3.6292971364400677E-7</v>
      </c>
      <c r="J334">
        <f t="shared" si="17"/>
        <v>0.36292971364400678</v>
      </c>
    </row>
    <row r="335" spans="1:10" x14ac:dyDescent="0.35">
      <c r="A335" t="s">
        <v>37</v>
      </c>
      <c r="B335" s="2">
        <v>44800</v>
      </c>
      <c r="C335" s="3">
        <v>0.9375</v>
      </c>
      <c r="D335" t="s">
        <v>45</v>
      </c>
      <c r="E335" t="s">
        <v>34</v>
      </c>
      <c r="F335">
        <v>0.77600000000000002</v>
      </c>
      <c r="G335">
        <v>0.78100000000000003</v>
      </c>
      <c r="H335">
        <f t="shared" si="15"/>
        <v>6.4432989690721707E-3</v>
      </c>
      <c r="I335">
        <f t="shared" si="16"/>
        <v>2.3908881408537811E-7</v>
      </c>
      <c r="J335">
        <f t="shared" si="17"/>
        <v>0.2390888140853781</v>
      </c>
    </row>
    <row r="336" spans="1:10" x14ac:dyDescent="0.35">
      <c r="A336" t="s">
        <v>37</v>
      </c>
      <c r="B336" s="2">
        <v>44800</v>
      </c>
      <c r="C336" s="3">
        <v>0.95833333333333337</v>
      </c>
      <c r="D336" t="s">
        <v>45</v>
      </c>
      <c r="E336" t="s">
        <v>34</v>
      </c>
      <c r="F336">
        <v>0.77700000000000002</v>
      </c>
      <c r="G336">
        <v>0.78100000000000003</v>
      </c>
      <c r="H336">
        <f t="shared" si="15"/>
        <v>5.1480051480051522E-3</v>
      </c>
      <c r="I336">
        <f t="shared" si="16"/>
        <v>1.8137379352024376E-7</v>
      </c>
      <c r="J336">
        <f t="shared" si="17"/>
        <v>0.18137379352024374</v>
      </c>
    </row>
    <row r="337" spans="1:10" x14ac:dyDescent="0.35">
      <c r="A337" t="s">
        <v>37</v>
      </c>
      <c r="B337" s="2">
        <v>44800</v>
      </c>
      <c r="C337" s="3">
        <v>0.97916666666666663</v>
      </c>
      <c r="D337" t="s">
        <v>45</v>
      </c>
      <c r="E337" t="s">
        <v>34</v>
      </c>
      <c r="F337">
        <v>0.77800000000000002</v>
      </c>
      <c r="G337">
        <v>0.78100000000000003</v>
      </c>
      <c r="H337">
        <f t="shared" si="15"/>
        <v>3.8560411311054019E-3</v>
      </c>
      <c r="I337">
        <f t="shared" si="16"/>
        <v>1.2708296592667036E-7</v>
      </c>
      <c r="J337">
        <f t="shared" si="17"/>
        <v>0.12708296592667034</v>
      </c>
    </row>
    <row r="338" spans="1:10" x14ac:dyDescent="0.35">
      <c r="A338" t="s">
        <v>37</v>
      </c>
      <c r="B338" s="2">
        <v>44800</v>
      </c>
      <c r="C338" s="3">
        <v>0</v>
      </c>
      <c r="D338" t="s">
        <v>46</v>
      </c>
      <c r="E338" t="s">
        <v>16</v>
      </c>
      <c r="F338">
        <v>0.89</v>
      </c>
      <c r="G338">
        <f>MAX(F338:F385)</f>
        <v>0.90100000000000002</v>
      </c>
      <c r="H338">
        <f t="shared" si="15"/>
        <v>1.2359550561797763E-2</v>
      </c>
      <c r="I338">
        <f t="shared" si="16"/>
        <v>5.3309211469037612E-7</v>
      </c>
      <c r="J338">
        <f t="shared" si="17"/>
        <v>0.5330921146903761</v>
      </c>
    </row>
    <row r="339" spans="1:10" x14ac:dyDescent="0.35">
      <c r="A339" t="s">
        <v>37</v>
      </c>
      <c r="B339" s="2">
        <v>44800</v>
      </c>
      <c r="C339" s="3">
        <v>2.0833333333333332E-2</v>
      </c>
      <c r="D339" t="s">
        <v>46</v>
      </c>
      <c r="E339" t="s">
        <v>16</v>
      </c>
      <c r="F339">
        <v>0.88900000000000001</v>
      </c>
      <c r="G339">
        <v>0.90100000000000002</v>
      </c>
      <c r="H339">
        <f t="shared" si="15"/>
        <v>1.3498312710911148E-2</v>
      </c>
      <c r="I339">
        <f t="shared" si="16"/>
        <v>5.9418407448674981E-7</v>
      </c>
      <c r="J339">
        <f t="shared" si="17"/>
        <v>0.59418407448674981</v>
      </c>
    </row>
    <row r="340" spans="1:10" x14ac:dyDescent="0.35">
      <c r="A340" t="s">
        <v>37</v>
      </c>
      <c r="B340" s="2">
        <v>44800</v>
      </c>
      <c r="C340" s="3">
        <v>4.1666666666666664E-2</v>
      </c>
      <c r="D340" t="s">
        <v>46</v>
      </c>
      <c r="E340" t="s">
        <v>16</v>
      </c>
      <c r="F340">
        <v>0.88900000000000001</v>
      </c>
      <c r="G340">
        <v>0.90100000000000002</v>
      </c>
      <c r="H340">
        <f t="shared" si="15"/>
        <v>1.3498312710911148E-2</v>
      </c>
      <c r="I340">
        <f t="shared" si="16"/>
        <v>5.9418407448674981E-7</v>
      </c>
      <c r="J340">
        <f t="shared" si="17"/>
        <v>0.59418407448674981</v>
      </c>
    </row>
    <row r="341" spans="1:10" x14ac:dyDescent="0.35">
      <c r="A341" t="s">
        <v>37</v>
      </c>
      <c r="B341" s="2">
        <v>44800</v>
      </c>
      <c r="C341" s="3">
        <v>6.25E-2</v>
      </c>
      <c r="D341" t="s">
        <v>46</v>
      </c>
      <c r="E341" t="s">
        <v>16</v>
      </c>
      <c r="F341">
        <v>0.89100000000000001</v>
      </c>
      <c r="G341">
        <v>0.90100000000000002</v>
      </c>
      <c r="H341">
        <f t="shared" si="15"/>
        <v>1.12233445566779E-2</v>
      </c>
      <c r="I341">
        <f t="shared" si="16"/>
        <v>4.7342098831003216E-7</v>
      </c>
      <c r="J341">
        <f t="shared" si="17"/>
        <v>0.47342098831003215</v>
      </c>
    </row>
    <row r="342" spans="1:10" x14ac:dyDescent="0.35">
      <c r="A342" t="s">
        <v>37</v>
      </c>
      <c r="B342" s="2">
        <v>44800</v>
      </c>
      <c r="C342" s="3">
        <v>8.3333333333333329E-2</v>
      </c>
      <c r="D342" t="s">
        <v>46</v>
      </c>
      <c r="E342" t="s">
        <v>16</v>
      </c>
      <c r="F342">
        <v>0.89200000000000002</v>
      </c>
      <c r="G342">
        <v>0.90100000000000002</v>
      </c>
      <c r="H342">
        <f t="shared" si="15"/>
        <v>1.0089686098654717E-2</v>
      </c>
      <c r="I342">
        <f t="shared" si="16"/>
        <v>4.1526024396811838E-7</v>
      </c>
      <c r="J342">
        <f t="shared" si="17"/>
        <v>0.41526024396811839</v>
      </c>
    </row>
    <row r="343" spans="1:10" x14ac:dyDescent="0.35">
      <c r="A343" t="s">
        <v>37</v>
      </c>
      <c r="B343" s="2">
        <v>44800</v>
      </c>
      <c r="C343" s="3">
        <v>0.10416666666666667</v>
      </c>
      <c r="D343" t="s">
        <v>46</v>
      </c>
      <c r="E343" t="s">
        <v>16</v>
      </c>
      <c r="F343">
        <v>0.89400000000000002</v>
      </c>
      <c r="G343">
        <v>0.90100000000000002</v>
      </c>
      <c r="H343">
        <f t="shared" si="15"/>
        <v>7.829977628635354E-3</v>
      </c>
      <c r="I343">
        <f t="shared" si="16"/>
        <v>3.0392481639905515E-7</v>
      </c>
      <c r="J343">
        <f t="shared" si="17"/>
        <v>0.30392481639905516</v>
      </c>
    </row>
    <row r="344" spans="1:10" x14ac:dyDescent="0.35">
      <c r="A344" t="s">
        <v>37</v>
      </c>
      <c r="B344" s="2">
        <v>44800</v>
      </c>
      <c r="C344" s="3">
        <v>0.125</v>
      </c>
      <c r="D344" t="s">
        <v>46</v>
      </c>
      <c r="E344" t="s">
        <v>16</v>
      </c>
      <c r="F344">
        <v>0.89600000000000002</v>
      </c>
      <c r="G344">
        <v>0.90100000000000002</v>
      </c>
      <c r="H344">
        <f t="shared" si="15"/>
        <v>5.5803571428571473E-3</v>
      </c>
      <c r="I344">
        <f t="shared" si="16"/>
        <v>2.0030319506208591E-7</v>
      </c>
      <c r="J344">
        <f t="shared" si="17"/>
        <v>0.20030319506208591</v>
      </c>
    </row>
    <row r="345" spans="1:10" x14ac:dyDescent="0.35">
      <c r="A345" t="s">
        <v>37</v>
      </c>
      <c r="B345" s="2">
        <v>44800</v>
      </c>
      <c r="C345" s="3">
        <v>0.14583333333333334</v>
      </c>
      <c r="D345" t="s">
        <v>46</v>
      </c>
      <c r="E345" t="s">
        <v>16</v>
      </c>
      <c r="F345">
        <v>0.89700000000000002</v>
      </c>
      <c r="G345">
        <v>0.90100000000000002</v>
      </c>
      <c r="H345">
        <f t="shared" si="15"/>
        <v>4.4593088071348983E-3</v>
      </c>
      <c r="I345">
        <f t="shared" si="16"/>
        <v>1.5198310516492499E-7</v>
      </c>
      <c r="J345">
        <f t="shared" si="17"/>
        <v>0.151983105164925</v>
      </c>
    </row>
    <row r="346" spans="1:10" x14ac:dyDescent="0.35">
      <c r="A346" t="s">
        <v>37</v>
      </c>
      <c r="B346" s="2">
        <v>44800</v>
      </c>
      <c r="C346" s="3">
        <v>0.16666666666666666</v>
      </c>
      <c r="D346" t="s">
        <v>46</v>
      </c>
      <c r="E346" t="s">
        <v>16</v>
      </c>
      <c r="F346">
        <v>0.89700000000000002</v>
      </c>
      <c r="G346">
        <v>0.90100000000000002</v>
      </c>
      <c r="H346">
        <f t="shared" si="15"/>
        <v>4.4593088071348983E-3</v>
      </c>
      <c r="I346">
        <f t="shared" si="16"/>
        <v>1.5198310516492499E-7</v>
      </c>
      <c r="J346">
        <f t="shared" si="17"/>
        <v>0.151983105164925</v>
      </c>
    </row>
    <row r="347" spans="1:10" x14ac:dyDescent="0.35">
      <c r="A347" t="s">
        <v>37</v>
      </c>
      <c r="B347" s="2">
        <v>44800</v>
      </c>
      <c r="C347" s="3">
        <v>0.1875</v>
      </c>
      <c r="D347" t="s">
        <v>46</v>
      </c>
      <c r="E347" t="s">
        <v>16</v>
      </c>
      <c r="F347">
        <v>0.89600000000000002</v>
      </c>
      <c r="G347">
        <v>0.90100000000000002</v>
      </c>
      <c r="H347">
        <f t="shared" si="15"/>
        <v>5.5803571428571473E-3</v>
      </c>
      <c r="I347">
        <f t="shared" si="16"/>
        <v>2.0030319506208591E-7</v>
      </c>
      <c r="J347">
        <f t="shared" si="17"/>
        <v>0.20030319506208591</v>
      </c>
    </row>
    <row r="348" spans="1:10" x14ac:dyDescent="0.35">
      <c r="A348" t="s">
        <v>37</v>
      </c>
      <c r="B348" s="2">
        <v>44800</v>
      </c>
      <c r="C348" s="3">
        <v>0.20833333333333334</v>
      </c>
      <c r="D348" t="s">
        <v>46</v>
      </c>
      <c r="E348" t="s">
        <v>16</v>
      </c>
      <c r="F348">
        <v>0.89600000000000002</v>
      </c>
      <c r="G348">
        <v>0.90100000000000002</v>
      </c>
      <c r="H348">
        <f t="shared" si="15"/>
        <v>5.5803571428571473E-3</v>
      </c>
      <c r="I348">
        <f t="shared" si="16"/>
        <v>2.0030319506208591E-7</v>
      </c>
      <c r="J348">
        <f t="shared" si="17"/>
        <v>0.20030319506208591</v>
      </c>
    </row>
    <row r="349" spans="1:10" x14ac:dyDescent="0.35">
      <c r="A349" t="s">
        <v>37</v>
      </c>
      <c r="B349" s="2">
        <v>44800</v>
      </c>
      <c r="C349" s="3">
        <v>0.22916666666666666</v>
      </c>
      <c r="D349" t="s">
        <v>46</v>
      </c>
      <c r="E349" t="s">
        <v>16</v>
      </c>
      <c r="F349">
        <v>0.89600000000000002</v>
      </c>
      <c r="G349">
        <v>0.90100000000000002</v>
      </c>
      <c r="H349">
        <f t="shared" si="15"/>
        <v>5.5803571428571473E-3</v>
      </c>
      <c r="I349">
        <f t="shared" si="16"/>
        <v>2.0030319506208591E-7</v>
      </c>
      <c r="J349">
        <f t="shared" si="17"/>
        <v>0.20030319506208591</v>
      </c>
    </row>
    <row r="350" spans="1:10" x14ac:dyDescent="0.35">
      <c r="A350" t="s">
        <v>37</v>
      </c>
      <c r="B350" s="2">
        <v>44800</v>
      </c>
      <c r="C350" s="3">
        <v>0.25</v>
      </c>
      <c r="D350" t="s">
        <v>46</v>
      </c>
      <c r="E350" t="s">
        <v>16</v>
      </c>
      <c r="F350">
        <v>0.89600000000000002</v>
      </c>
      <c r="G350">
        <v>0.90100000000000002</v>
      </c>
      <c r="H350">
        <f t="shared" si="15"/>
        <v>5.5803571428571473E-3</v>
      </c>
      <c r="I350">
        <f t="shared" si="16"/>
        <v>2.0030319506208591E-7</v>
      </c>
      <c r="J350">
        <f t="shared" si="17"/>
        <v>0.20030319506208591</v>
      </c>
    </row>
    <row r="351" spans="1:10" x14ac:dyDescent="0.35">
      <c r="A351" t="s">
        <v>37</v>
      </c>
      <c r="B351" s="2">
        <v>44800</v>
      </c>
      <c r="C351" s="3">
        <v>0.27083333333333331</v>
      </c>
      <c r="D351" t="s">
        <v>46</v>
      </c>
      <c r="E351" t="s">
        <v>16</v>
      </c>
      <c r="F351">
        <v>0.89500000000000002</v>
      </c>
      <c r="G351">
        <v>0.90100000000000002</v>
      </c>
      <c r="H351">
        <f t="shared" si="15"/>
        <v>6.7039106145251456E-3</v>
      </c>
      <c r="I351">
        <f t="shared" si="16"/>
        <v>2.5104813195302351E-7</v>
      </c>
      <c r="J351">
        <f t="shared" si="17"/>
        <v>0.2510481319530235</v>
      </c>
    </row>
    <row r="352" spans="1:10" x14ac:dyDescent="0.35">
      <c r="A352" t="s">
        <v>37</v>
      </c>
      <c r="B352" s="2">
        <v>44800</v>
      </c>
      <c r="C352" s="3">
        <v>0.29166666666666669</v>
      </c>
      <c r="D352" t="s">
        <v>46</v>
      </c>
      <c r="E352" t="s">
        <v>16</v>
      </c>
      <c r="F352">
        <v>0.89500000000000002</v>
      </c>
      <c r="G352">
        <v>0.90100000000000002</v>
      </c>
      <c r="H352">
        <f t="shared" si="15"/>
        <v>6.7039106145251456E-3</v>
      </c>
      <c r="I352">
        <f t="shared" si="16"/>
        <v>2.5104813195302351E-7</v>
      </c>
      <c r="J352">
        <f t="shared" si="17"/>
        <v>0.2510481319530235</v>
      </c>
    </row>
    <row r="353" spans="1:10" x14ac:dyDescent="0.35">
      <c r="A353" t="s">
        <v>37</v>
      </c>
      <c r="B353" s="2">
        <v>44800</v>
      </c>
      <c r="C353" s="3">
        <v>0.3125</v>
      </c>
      <c r="D353" t="s">
        <v>46</v>
      </c>
      <c r="E353" t="s">
        <v>16</v>
      </c>
      <c r="F353">
        <v>0.89400000000000002</v>
      </c>
      <c r="G353">
        <v>0.90100000000000002</v>
      </c>
      <c r="H353">
        <f t="shared" si="15"/>
        <v>7.829977628635354E-3</v>
      </c>
      <c r="I353">
        <f t="shared" si="16"/>
        <v>3.0392481639905515E-7</v>
      </c>
      <c r="J353">
        <f t="shared" si="17"/>
        <v>0.30392481639905516</v>
      </c>
    </row>
    <row r="354" spans="1:10" x14ac:dyDescent="0.35">
      <c r="A354" t="s">
        <v>37</v>
      </c>
      <c r="B354" s="2">
        <v>44800</v>
      </c>
      <c r="C354" s="3">
        <v>0.33333333333333331</v>
      </c>
      <c r="D354" t="s">
        <v>46</v>
      </c>
      <c r="E354" t="s">
        <v>16</v>
      </c>
      <c r="F354">
        <v>0.89300000000000002</v>
      </c>
      <c r="G354">
        <v>0.90100000000000002</v>
      </c>
      <c r="H354">
        <f t="shared" si="15"/>
        <v>8.9585666293393127E-3</v>
      </c>
      <c r="I354">
        <f t="shared" si="16"/>
        <v>3.5871752087985984E-7</v>
      </c>
      <c r="J354">
        <f t="shared" si="17"/>
        <v>0.35871752087985986</v>
      </c>
    </row>
    <row r="355" spans="1:10" x14ac:dyDescent="0.35">
      <c r="A355" t="s">
        <v>37</v>
      </c>
      <c r="B355" s="2">
        <v>44800</v>
      </c>
      <c r="C355" s="3">
        <v>0.35416666666666669</v>
      </c>
      <c r="D355" t="s">
        <v>46</v>
      </c>
      <c r="E355" t="s">
        <v>16</v>
      </c>
      <c r="F355">
        <v>0.89</v>
      </c>
      <c r="G355">
        <v>0.90100000000000002</v>
      </c>
      <c r="H355">
        <f t="shared" si="15"/>
        <v>1.2359550561797763E-2</v>
      </c>
      <c r="I355">
        <f t="shared" si="16"/>
        <v>5.3309211469037612E-7</v>
      </c>
      <c r="J355">
        <f t="shared" si="17"/>
        <v>0.5330921146903761</v>
      </c>
    </row>
    <row r="356" spans="1:10" x14ac:dyDescent="0.35">
      <c r="A356" t="s">
        <v>37</v>
      </c>
      <c r="B356" s="2">
        <v>44800</v>
      </c>
      <c r="C356" s="3">
        <v>0.375</v>
      </c>
      <c r="D356" t="s">
        <v>46</v>
      </c>
      <c r="E356" t="s">
        <v>16</v>
      </c>
      <c r="F356">
        <v>0.88300000000000001</v>
      </c>
      <c r="G356">
        <v>0.90100000000000002</v>
      </c>
      <c r="H356">
        <f t="shared" si="15"/>
        <v>2.0385050962627424E-2</v>
      </c>
      <c r="I356">
        <f t="shared" si="16"/>
        <v>9.8698326524783168E-7</v>
      </c>
      <c r="J356">
        <f t="shared" si="17"/>
        <v>0.98698326524783164</v>
      </c>
    </row>
    <row r="357" spans="1:10" x14ac:dyDescent="0.35">
      <c r="A357" t="s">
        <v>37</v>
      </c>
      <c r="B357" s="2">
        <v>44800</v>
      </c>
      <c r="C357" s="3">
        <v>0.39583333333333331</v>
      </c>
      <c r="D357" t="s">
        <v>46</v>
      </c>
      <c r="E357" t="s">
        <v>16</v>
      </c>
      <c r="F357">
        <v>0.86799999999999999</v>
      </c>
      <c r="G357">
        <v>0.90100000000000002</v>
      </c>
      <c r="H357">
        <f t="shared" si="15"/>
        <v>3.8018433179723539E-2</v>
      </c>
      <c r="I357">
        <f t="shared" si="16"/>
        <v>2.1257874544423795E-6</v>
      </c>
      <c r="J357">
        <f t="shared" si="17"/>
        <v>2.1257874544423796</v>
      </c>
    </row>
    <row r="358" spans="1:10" x14ac:dyDescent="0.35">
      <c r="A358" t="s">
        <v>37</v>
      </c>
      <c r="B358" s="2">
        <v>44800</v>
      </c>
      <c r="C358" s="3">
        <v>0.41666666666666669</v>
      </c>
      <c r="D358" t="s">
        <v>46</v>
      </c>
      <c r="E358" t="s">
        <v>16</v>
      </c>
      <c r="F358">
        <v>0.84399999999999997</v>
      </c>
      <c r="G358">
        <v>0.90100000000000002</v>
      </c>
      <c r="H358">
        <f t="shared" si="15"/>
        <v>6.7535545023696741E-2</v>
      </c>
      <c r="I358">
        <f t="shared" si="16"/>
        <v>4.3122244426879673E-6</v>
      </c>
      <c r="J358">
        <f t="shared" si="17"/>
        <v>4.3122244426879677</v>
      </c>
    </row>
    <row r="359" spans="1:10" x14ac:dyDescent="0.35">
      <c r="A359" t="s">
        <v>37</v>
      </c>
      <c r="B359" s="2">
        <v>44800</v>
      </c>
      <c r="C359" s="3">
        <v>0.4375</v>
      </c>
      <c r="D359" t="s">
        <v>46</v>
      </c>
      <c r="E359" t="s">
        <v>16</v>
      </c>
      <c r="F359">
        <v>0.81699999999999995</v>
      </c>
      <c r="G359">
        <v>0.90100000000000002</v>
      </c>
      <c r="H359">
        <f t="shared" si="15"/>
        <v>0.10281517747858027</v>
      </c>
      <c r="I359">
        <f t="shared" si="16"/>
        <v>7.2341816710620251E-6</v>
      </c>
      <c r="J359">
        <f t="shared" si="17"/>
        <v>7.234181671062025</v>
      </c>
    </row>
    <row r="360" spans="1:10" x14ac:dyDescent="0.35">
      <c r="A360" t="s">
        <v>37</v>
      </c>
      <c r="B360" s="2">
        <v>44800</v>
      </c>
      <c r="C360" s="3">
        <v>0.45833333333333331</v>
      </c>
      <c r="D360" t="s">
        <v>46</v>
      </c>
      <c r="E360" t="s">
        <v>16</v>
      </c>
      <c r="F360">
        <v>0.79200000000000004</v>
      </c>
      <c r="G360">
        <v>0.90100000000000002</v>
      </c>
      <c r="H360">
        <f t="shared" si="15"/>
        <v>0.1376262626262626</v>
      </c>
      <c r="I360">
        <f t="shared" si="16"/>
        <v>1.0358295153450727E-5</v>
      </c>
      <c r="J360">
        <f t="shared" si="17"/>
        <v>10.358295153450726</v>
      </c>
    </row>
    <row r="361" spans="1:10" x14ac:dyDescent="0.35">
      <c r="A361" t="s">
        <v>37</v>
      </c>
      <c r="B361" s="2">
        <v>44800</v>
      </c>
      <c r="C361" s="3">
        <v>0.47916666666666669</v>
      </c>
      <c r="D361" t="s">
        <v>46</v>
      </c>
      <c r="E361" t="s">
        <v>16</v>
      </c>
      <c r="F361">
        <v>0.78100000000000003</v>
      </c>
      <c r="G361">
        <v>0.90100000000000002</v>
      </c>
      <c r="H361">
        <f t="shared" si="15"/>
        <v>0.15364916773367476</v>
      </c>
      <c r="I361">
        <f t="shared" si="16"/>
        <v>1.1862211211991072E-5</v>
      </c>
      <c r="J361">
        <f t="shared" si="17"/>
        <v>11.862211211991072</v>
      </c>
    </row>
    <row r="362" spans="1:10" x14ac:dyDescent="0.35">
      <c r="A362" t="s">
        <v>37</v>
      </c>
      <c r="B362" s="2">
        <v>44800</v>
      </c>
      <c r="C362" s="3">
        <v>0.5</v>
      </c>
      <c r="D362" t="s">
        <v>46</v>
      </c>
      <c r="E362" t="s">
        <v>16</v>
      </c>
      <c r="F362">
        <v>0.77900000000000003</v>
      </c>
      <c r="G362">
        <v>0.90100000000000002</v>
      </c>
      <c r="H362">
        <f t="shared" si="15"/>
        <v>0.15661103979460847</v>
      </c>
      <c r="I362">
        <f t="shared" si="16"/>
        <v>1.2144322804658613E-5</v>
      </c>
      <c r="J362">
        <f t="shared" si="17"/>
        <v>12.144322804658612</v>
      </c>
    </row>
    <row r="363" spans="1:10" x14ac:dyDescent="0.35">
      <c r="A363" t="s">
        <v>37</v>
      </c>
      <c r="B363" s="2">
        <v>44800</v>
      </c>
      <c r="C363" s="3">
        <v>0.52083333333333337</v>
      </c>
      <c r="D363" t="s">
        <v>46</v>
      </c>
      <c r="E363" t="s">
        <v>16</v>
      </c>
      <c r="F363">
        <v>0.79300000000000004</v>
      </c>
      <c r="G363">
        <v>0.90100000000000002</v>
      </c>
      <c r="H363">
        <f t="shared" si="15"/>
        <v>0.13619167717528372</v>
      </c>
      <c r="I363">
        <f t="shared" si="16"/>
        <v>1.0225541386569302E-5</v>
      </c>
      <c r="J363">
        <f t="shared" si="17"/>
        <v>10.225541386569303</v>
      </c>
    </row>
    <row r="364" spans="1:10" x14ac:dyDescent="0.35">
      <c r="A364" t="s">
        <v>37</v>
      </c>
      <c r="B364" s="2">
        <v>44800</v>
      </c>
      <c r="C364" s="3">
        <v>0.54166666666666663</v>
      </c>
      <c r="D364" t="s">
        <v>46</v>
      </c>
      <c r="E364" t="s">
        <v>16</v>
      </c>
      <c r="F364">
        <v>0.80600000000000005</v>
      </c>
      <c r="G364">
        <v>0.90100000000000002</v>
      </c>
      <c r="H364">
        <f t="shared" si="15"/>
        <v>0.11786600496277912</v>
      </c>
      <c r="I364">
        <f t="shared" si="16"/>
        <v>8.5590641820133253E-6</v>
      </c>
      <c r="J364">
        <f t="shared" si="17"/>
        <v>8.5590641820133246</v>
      </c>
    </row>
    <row r="365" spans="1:10" x14ac:dyDescent="0.35">
      <c r="A365" t="s">
        <v>37</v>
      </c>
      <c r="B365" s="2">
        <v>44800</v>
      </c>
      <c r="C365" s="3">
        <v>0.5625</v>
      </c>
      <c r="D365" t="s">
        <v>46</v>
      </c>
      <c r="E365" t="s">
        <v>16</v>
      </c>
      <c r="F365">
        <v>0.80800000000000005</v>
      </c>
      <c r="G365">
        <v>0.90100000000000002</v>
      </c>
      <c r="H365">
        <f t="shared" si="15"/>
        <v>0.11509900990099006</v>
      </c>
      <c r="I365">
        <f t="shared" si="16"/>
        <v>8.3123933443412558E-6</v>
      </c>
      <c r="J365">
        <f t="shared" si="17"/>
        <v>8.3123933443412561</v>
      </c>
    </row>
    <row r="366" spans="1:10" x14ac:dyDescent="0.35">
      <c r="A366" t="s">
        <v>37</v>
      </c>
      <c r="B366" s="2">
        <v>44800</v>
      </c>
      <c r="C366" s="3">
        <v>0.58333333333333337</v>
      </c>
      <c r="D366" t="s">
        <v>46</v>
      </c>
      <c r="E366" t="s">
        <v>16</v>
      </c>
      <c r="F366">
        <v>0.81599999999999995</v>
      </c>
      <c r="G366">
        <v>0.90100000000000002</v>
      </c>
      <c r="H366">
        <f t="shared" si="15"/>
        <v>0.10416666666666677</v>
      </c>
      <c r="I366">
        <f t="shared" si="16"/>
        <v>7.3514172582651037E-6</v>
      </c>
      <c r="J366">
        <f t="shared" si="17"/>
        <v>7.3514172582651041</v>
      </c>
    </row>
    <row r="367" spans="1:10" x14ac:dyDescent="0.35">
      <c r="A367" t="s">
        <v>37</v>
      </c>
      <c r="B367" s="2">
        <v>44800</v>
      </c>
      <c r="C367" s="3">
        <v>0.60416666666666663</v>
      </c>
      <c r="D367" t="s">
        <v>46</v>
      </c>
      <c r="E367" t="s">
        <v>16</v>
      </c>
      <c r="F367">
        <v>0.81599999999999995</v>
      </c>
      <c r="G367">
        <v>0.90100000000000002</v>
      </c>
      <c r="H367">
        <f t="shared" si="15"/>
        <v>0.10416666666666677</v>
      </c>
      <c r="I367">
        <f t="shared" si="16"/>
        <v>7.3514172582651037E-6</v>
      </c>
      <c r="J367">
        <f t="shared" si="17"/>
        <v>7.3514172582651041</v>
      </c>
    </row>
    <row r="368" spans="1:10" x14ac:dyDescent="0.35">
      <c r="A368" t="s">
        <v>37</v>
      </c>
      <c r="B368" s="2">
        <v>44800</v>
      </c>
      <c r="C368" s="3">
        <v>0.625</v>
      </c>
      <c r="D368" t="s">
        <v>46</v>
      </c>
      <c r="E368" t="s">
        <v>16</v>
      </c>
      <c r="F368">
        <v>0.81899999999999995</v>
      </c>
      <c r="G368">
        <v>0.90100000000000002</v>
      </c>
      <c r="H368">
        <f t="shared" si="15"/>
        <v>0.10012210012210021</v>
      </c>
      <c r="I368">
        <f t="shared" si="16"/>
        <v>7.0016328019096574E-6</v>
      </c>
      <c r="J368">
        <f t="shared" si="17"/>
        <v>7.0016328019096576</v>
      </c>
    </row>
    <row r="369" spans="1:10" x14ac:dyDescent="0.35">
      <c r="A369" t="s">
        <v>37</v>
      </c>
      <c r="B369" s="2">
        <v>44800</v>
      </c>
      <c r="C369" s="3">
        <v>0.64583333333333337</v>
      </c>
      <c r="D369" t="s">
        <v>46</v>
      </c>
      <c r="E369" t="s">
        <v>16</v>
      </c>
      <c r="F369">
        <v>0.82</v>
      </c>
      <c r="G369">
        <v>0.90100000000000002</v>
      </c>
      <c r="H369">
        <f t="shared" si="15"/>
        <v>9.8780487804878137E-2</v>
      </c>
      <c r="I369">
        <f t="shared" si="16"/>
        <v>6.8863194815838576E-6</v>
      </c>
      <c r="J369">
        <f t="shared" si="17"/>
        <v>6.8863194815838575</v>
      </c>
    </row>
    <row r="370" spans="1:10" x14ac:dyDescent="0.35">
      <c r="A370" t="s">
        <v>37</v>
      </c>
      <c r="B370" s="2">
        <v>44800</v>
      </c>
      <c r="C370" s="3">
        <v>0.66666666666666663</v>
      </c>
      <c r="D370" t="s">
        <v>46</v>
      </c>
      <c r="E370" t="s">
        <v>16</v>
      </c>
      <c r="F370">
        <v>0.81799999999999995</v>
      </c>
      <c r="G370">
        <v>0.90100000000000002</v>
      </c>
      <c r="H370">
        <f t="shared" si="15"/>
        <v>0.10146699266503677</v>
      </c>
      <c r="I370">
        <f t="shared" si="16"/>
        <v>7.1175868680596164E-6</v>
      </c>
      <c r="J370">
        <f t="shared" si="17"/>
        <v>7.1175868680596164</v>
      </c>
    </row>
    <row r="371" spans="1:10" x14ac:dyDescent="0.35">
      <c r="A371" t="s">
        <v>37</v>
      </c>
      <c r="B371" s="2">
        <v>44800</v>
      </c>
      <c r="C371" s="3">
        <v>0.6875</v>
      </c>
      <c r="D371" t="s">
        <v>46</v>
      </c>
      <c r="E371" t="s">
        <v>16</v>
      </c>
      <c r="F371">
        <v>0.82599999999999996</v>
      </c>
      <c r="G371">
        <v>0.90100000000000002</v>
      </c>
      <c r="H371">
        <f t="shared" si="15"/>
        <v>9.0799031476997666E-2</v>
      </c>
      <c r="I371">
        <f t="shared" si="16"/>
        <v>6.2079032291433799E-6</v>
      </c>
      <c r="J371">
        <f t="shared" si="17"/>
        <v>6.2079032291433798</v>
      </c>
    </row>
    <row r="372" spans="1:10" x14ac:dyDescent="0.35">
      <c r="A372" t="s">
        <v>37</v>
      </c>
      <c r="B372" s="2">
        <v>44800</v>
      </c>
      <c r="C372" s="3">
        <v>0.70833333333333337</v>
      </c>
      <c r="D372" t="s">
        <v>46</v>
      </c>
      <c r="E372" t="s">
        <v>16</v>
      </c>
      <c r="F372">
        <v>0.83899999999999997</v>
      </c>
      <c r="G372">
        <v>0.90100000000000002</v>
      </c>
      <c r="H372">
        <f t="shared" si="15"/>
        <v>7.3897497020262284E-2</v>
      </c>
      <c r="I372">
        <f t="shared" si="16"/>
        <v>4.8175935574065085E-6</v>
      </c>
      <c r="J372">
        <f t="shared" si="17"/>
        <v>4.817593557406509</v>
      </c>
    </row>
    <row r="373" spans="1:10" x14ac:dyDescent="0.35">
      <c r="A373" t="s">
        <v>37</v>
      </c>
      <c r="B373" s="2">
        <v>44800</v>
      </c>
      <c r="C373" s="3">
        <v>0.72916666666666663</v>
      </c>
      <c r="D373" t="s">
        <v>46</v>
      </c>
      <c r="E373" t="s">
        <v>16</v>
      </c>
      <c r="F373">
        <v>0.85299999999999998</v>
      </c>
      <c r="G373">
        <v>0.90100000000000002</v>
      </c>
      <c r="H373">
        <f t="shared" si="15"/>
        <v>5.6271981242672971E-2</v>
      </c>
      <c r="I373">
        <f t="shared" si="16"/>
        <v>3.4447417384143497E-6</v>
      </c>
      <c r="J373">
        <f t="shared" si="17"/>
        <v>3.4447417384143497</v>
      </c>
    </row>
    <row r="374" spans="1:10" x14ac:dyDescent="0.35">
      <c r="A374" t="s">
        <v>37</v>
      </c>
      <c r="B374" s="2">
        <v>44800</v>
      </c>
      <c r="C374" s="3">
        <v>0.75</v>
      </c>
      <c r="D374" t="s">
        <v>46</v>
      </c>
      <c r="E374" t="s">
        <v>16</v>
      </c>
      <c r="F374">
        <v>0.86899999999999999</v>
      </c>
      <c r="G374">
        <v>0.90100000000000002</v>
      </c>
      <c r="H374">
        <f t="shared" si="15"/>
        <v>3.6823935558112808E-2</v>
      </c>
      <c r="I374">
        <f t="shared" si="16"/>
        <v>2.0438698624889051E-6</v>
      </c>
      <c r="J374">
        <f t="shared" si="17"/>
        <v>2.0438698624889051</v>
      </c>
    </row>
    <row r="375" spans="1:10" x14ac:dyDescent="0.35">
      <c r="A375" t="s">
        <v>37</v>
      </c>
      <c r="B375" s="2">
        <v>44800</v>
      </c>
      <c r="C375" s="3">
        <v>0.77083333333333337</v>
      </c>
      <c r="D375" t="s">
        <v>46</v>
      </c>
      <c r="E375" t="s">
        <v>16</v>
      </c>
      <c r="F375">
        <v>0.88400000000000001</v>
      </c>
      <c r="G375">
        <v>0.90100000000000002</v>
      </c>
      <c r="H375">
        <f t="shared" si="15"/>
        <v>1.9230769230769249E-2</v>
      </c>
      <c r="I375">
        <f t="shared" si="16"/>
        <v>9.1864315925615838E-7</v>
      </c>
      <c r="J375">
        <f t="shared" si="17"/>
        <v>0.91864315925615836</v>
      </c>
    </row>
    <row r="376" spans="1:10" x14ac:dyDescent="0.35">
      <c r="A376" t="s">
        <v>37</v>
      </c>
      <c r="B376" s="2">
        <v>44800</v>
      </c>
      <c r="C376" s="3">
        <v>0.79166666666666663</v>
      </c>
      <c r="D376" t="s">
        <v>46</v>
      </c>
      <c r="E376" t="s">
        <v>16</v>
      </c>
      <c r="F376">
        <v>0.89500000000000002</v>
      </c>
      <c r="G376">
        <v>0.90100000000000002</v>
      </c>
      <c r="H376">
        <f t="shared" si="15"/>
        <v>6.7039106145251456E-3</v>
      </c>
      <c r="I376">
        <f t="shared" si="16"/>
        <v>2.5104813195302351E-7</v>
      </c>
      <c r="J376">
        <f t="shared" si="17"/>
        <v>0.2510481319530235</v>
      </c>
    </row>
    <row r="377" spans="1:10" x14ac:dyDescent="0.35">
      <c r="A377" t="s">
        <v>37</v>
      </c>
      <c r="B377" s="2">
        <v>44800</v>
      </c>
      <c r="C377" s="3">
        <v>0.8125</v>
      </c>
      <c r="D377" t="s">
        <v>46</v>
      </c>
      <c r="E377" t="s">
        <v>16</v>
      </c>
      <c r="F377">
        <v>0.9</v>
      </c>
      <c r="G377">
        <v>0.90100000000000002</v>
      </c>
      <c r="H377">
        <f t="shared" si="15"/>
        <v>1.111111111111112E-3</v>
      </c>
      <c r="I377">
        <f t="shared" si="16"/>
        <v>2.7470997682759057E-8</v>
      </c>
      <c r="J377">
        <f t="shared" si="17"/>
        <v>2.7470997682759058E-2</v>
      </c>
    </row>
    <row r="378" spans="1:10" x14ac:dyDescent="0.35">
      <c r="A378" t="s">
        <v>37</v>
      </c>
      <c r="B378" s="2">
        <v>44800</v>
      </c>
      <c r="C378" s="3">
        <v>0.83333333333333337</v>
      </c>
      <c r="D378" t="s">
        <v>46</v>
      </c>
      <c r="E378" t="s">
        <v>16</v>
      </c>
      <c r="F378">
        <v>0.90100000000000002</v>
      </c>
      <c r="G378">
        <v>0.90100000000000002</v>
      </c>
      <c r="H378">
        <f t="shared" si="15"/>
        <v>0</v>
      </c>
      <c r="I378">
        <f t="shared" si="16"/>
        <v>0</v>
      </c>
      <c r="J378">
        <f t="shared" si="17"/>
        <v>0</v>
      </c>
    </row>
    <row r="379" spans="1:10" x14ac:dyDescent="0.35">
      <c r="A379" t="s">
        <v>37</v>
      </c>
      <c r="B379" s="2">
        <v>44800</v>
      </c>
      <c r="C379" s="3">
        <v>0.85416666666666663</v>
      </c>
      <c r="D379" t="s">
        <v>46</v>
      </c>
      <c r="E379" t="s">
        <v>16</v>
      </c>
      <c r="F379">
        <v>0.89900000000000002</v>
      </c>
      <c r="G379">
        <v>0.90100000000000002</v>
      </c>
      <c r="H379">
        <f t="shared" si="15"/>
        <v>2.2246941045606246E-3</v>
      </c>
      <c r="I379">
        <f t="shared" si="16"/>
        <v>6.4570880049253753E-8</v>
      </c>
      <c r="J379">
        <f t="shared" si="17"/>
        <v>6.4570880049253751E-2</v>
      </c>
    </row>
    <row r="380" spans="1:10" x14ac:dyDescent="0.35">
      <c r="A380" t="s">
        <v>37</v>
      </c>
      <c r="B380" s="2">
        <v>44800</v>
      </c>
      <c r="C380" s="3">
        <v>0.875</v>
      </c>
      <c r="D380" t="s">
        <v>46</v>
      </c>
      <c r="E380" t="s">
        <v>16</v>
      </c>
      <c r="F380">
        <v>0.89800000000000002</v>
      </c>
      <c r="G380">
        <v>0.90100000000000002</v>
      </c>
      <c r="H380">
        <f t="shared" si="15"/>
        <v>3.3407572383073528E-3</v>
      </c>
      <c r="I380">
        <f t="shared" si="16"/>
        <v>1.0651237178139777E-7</v>
      </c>
      <c r="J380">
        <f t="shared" si="17"/>
        <v>0.10651237178139777</v>
      </c>
    </row>
    <row r="381" spans="1:10" x14ac:dyDescent="0.35">
      <c r="A381" t="s">
        <v>37</v>
      </c>
      <c r="B381" s="2">
        <v>44800</v>
      </c>
      <c r="C381" s="3">
        <v>0.89583333333333337</v>
      </c>
      <c r="D381" t="s">
        <v>46</v>
      </c>
      <c r="E381" t="s">
        <v>16</v>
      </c>
      <c r="F381">
        <v>0.89700000000000002</v>
      </c>
      <c r="G381">
        <v>0.90100000000000002</v>
      </c>
      <c r="H381">
        <f t="shared" si="15"/>
        <v>4.4593088071348983E-3</v>
      </c>
      <c r="I381">
        <f t="shared" si="16"/>
        <v>1.5198310516492499E-7</v>
      </c>
      <c r="J381">
        <f t="shared" si="17"/>
        <v>0.151983105164925</v>
      </c>
    </row>
    <row r="382" spans="1:10" x14ac:dyDescent="0.35">
      <c r="A382" t="s">
        <v>37</v>
      </c>
      <c r="B382" s="2">
        <v>44800</v>
      </c>
      <c r="C382" s="3">
        <v>0.91666666666666663</v>
      </c>
      <c r="D382" t="s">
        <v>46</v>
      </c>
      <c r="E382" t="s">
        <v>16</v>
      </c>
      <c r="F382">
        <v>0.89600000000000002</v>
      </c>
      <c r="G382">
        <v>0.90100000000000002</v>
      </c>
      <c r="H382">
        <f t="shared" si="15"/>
        <v>5.5803571428571473E-3</v>
      </c>
      <c r="I382">
        <f t="shared" si="16"/>
        <v>2.0030319506208591E-7</v>
      </c>
      <c r="J382">
        <f t="shared" si="17"/>
        <v>0.20030319506208591</v>
      </c>
    </row>
    <row r="383" spans="1:10" x14ac:dyDescent="0.35">
      <c r="A383" t="s">
        <v>37</v>
      </c>
      <c r="B383" s="2">
        <v>44800</v>
      </c>
      <c r="C383" s="3">
        <v>0.9375</v>
      </c>
      <c r="D383" t="s">
        <v>46</v>
      </c>
      <c r="E383" t="s">
        <v>16</v>
      </c>
      <c r="F383">
        <v>0.89500000000000002</v>
      </c>
      <c r="G383">
        <v>0.90100000000000002</v>
      </c>
      <c r="H383">
        <f t="shared" si="15"/>
        <v>6.7039106145251456E-3</v>
      </c>
      <c r="I383">
        <f t="shared" si="16"/>
        <v>2.5104813195302351E-7</v>
      </c>
      <c r="J383">
        <f t="shared" si="17"/>
        <v>0.2510481319530235</v>
      </c>
    </row>
    <row r="384" spans="1:10" x14ac:dyDescent="0.35">
      <c r="A384" t="s">
        <v>37</v>
      </c>
      <c r="B384" s="2">
        <v>44800</v>
      </c>
      <c r="C384" s="3">
        <v>0.95833333333333337</v>
      </c>
      <c r="D384" t="s">
        <v>46</v>
      </c>
      <c r="E384" t="s">
        <v>16</v>
      </c>
      <c r="F384">
        <v>0.89600000000000002</v>
      </c>
      <c r="G384">
        <v>0.90100000000000002</v>
      </c>
      <c r="H384">
        <f t="shared" si="15"/>
        <v>5.5803571428571473E-3</v>
      </c>
      <c r="I384">
        <f t="shared" si="16"/>
        <v>2.0030319506208591E-7</v>
      </c>
      <c r="J384">
        <f t="shared" si="17"/>
        <v>0.20030319506208591</v>
      </c>
    </row>
    <row r="385" spans="1:10" x14ac:dyDescent="0.35">
      <c r="A385" t="s">
        <v>37</v>
      </c>
      <c r="B385" s="2">
        <v>44800</v>
      </c>
      <c r="C385" s="3">
        <v>0.97916666666666663</v>
      </c>
      <c r="D385" t="s">
        <v>46</v>
      </c>
      <c r="E385" t="s">
        <v>16</v>
      </c>
      <c r="F385">
        <v>0.89600000000000002</v>
      </c>
      <c r="G385">
        <v>0.90100000000000002</v>
      </c>
      <c r="H385">
        <f t="shared" si="15"/>
        <v>5.5803571428571473E-3</v>
      </c>
      <c r="I385">
        <f t="shared" si="16"/>
        <v>2.0030319506208591E-7</v>
      </c>
      <c r="J385">
        <f t="shared" si="17"/>
        <v>0.20030319506208591</v>
      </c>
    </row>
    <row r="386" spans="1:10" x14ac:dyDescent="0.35">
      <c r="A386" t="s">
        <v>6</v>
      </c>
      <c r="B386" s="6">
        <v>44805</v>
      </c>
      <c r="C386" s="3">
        <v>0</v>
      </c>
      <c r="D386" t="s">
        <v>27</v>
      </c>
      <c r="E386" t="s">
        <v>14</v>
      </c>
      <c r="F386">
        <v>0.73199999999999998</v>
      </c>
      <c r="G386">
        <f>MAX(F386:F412)</f>
        <v>0.76800000000000002</v>
      </c>
      <c r="H386">
        <f t="shared" ref="H386:H449" si="18">(G386-F386)/F386</f>
        <v>4.9180327868852507E-2</v>
      </c>
      <c r="I386">
        <f t="shared" ref="I386" si="19">119*10^-6*(H386^1.231)</f>
        <v>2.9183824101754983E-6</v>
      </c>
      <c r="J386">
        <f>I386*10^6</f>
        <v>2.9183824101754983</v>
      </c>
    </row>
    <row r="387" spans="1:10" x14ac:dyDescent="0.35">
      <c r="A387" t="s">
        <v>6</v>
      </c>
      <c r="B387" s="6">
        <v>44805</v>
      </c>
      <c r="C387" s="3">
        <v>2.0833333333333332E-2</v>
      </c>
      <c r="D387" t="s">
        <v>27</v>
      </c>
      <c r="E387" t="s">
        <v>14</v>
      </c>
      <c r="F387">
        <v>0.73599999999999999</v>
      </c>
      <c r="G387">
        <v>0.76800000000000002</v>
      </c>
      <c r="H387">
        <f t="shared" si="18"/>
        <v>4.3478260869565258E-2</v>
      </c>
      <c r="I387">
        <f t="shared" ref="I387:I450" si="20">119*10^-6*(H387^1.231)</f>
        <v>2.5076100125785919E-6</v>
      </c>
      <c r="J387">
        <f t="shared" ref="J387:J450" si="21">I387*10^6</f>
        <v>2.5076100125785921</v>
      </c>
    </row>
    <row r="388" spans="1:10" x14ac:dyDescent="0.35">
      <c r="A388" t="s">
        <v>6</v>
      </c>
      <c r="B388" s="6">
        <v>44805</v>
      </c>
      <c r="C388" s="3">
        <v>4.1666666666666664E-2</v>
      </c>
      <c r="D388" t="s">
        <v>27</v>
      </c>
      <c r="E388" t="s">
        <v>14</v>
      </c>
      <c r="F388">
        <v>0.749</v>
      </c>
      <c r="G388">
        <v>0.76800000000000002</v>
      </c>
      <c r="H388">
        <f t="shared" si="18"/>
        <v>2.5367156208277727E-2</v>
      </c>
      <c r="I388">
        <f t="shared" si="20"/>
        <v>1.2918304779771226E-6</v>
      </c>
      <c r="J388">
        <f t="shared" si="21"/>
        <v>1.2918304779771226</v>
      </c>
    </row>
    <row r="389" spans="1:10" x14ac:dyDescent="0.35">
      <c r="A389" t="s">
        <v>6</v>
      </c>
      <c r="B389" s="6">
        <v>44805</v>
      </c>
      <c r="C389" s="3">
        <v>6.25E-2</v>
      </c>
      <c r="D389" t="s">
        <v>27</v>
      </c>
      <c r="E389" t="s">
        <v>14</v>
      </c>
      <c r="F389">
        <v>0.75700000000000001</v>
      </c>
      <c r="G389">
        <v>0.76800000000000002</v>
      </c>
      <c r="H389">
        <f t="shared" si="18"/>
        <v>1.4531043593130791E-2</v>
      </c>
      <c r="I389">
        <f t="shared" si="20"/>
        <v>6.5063036674000557E-7</v>
      </c>
      <c r="J389">
        <f t="shared" si="21"/>
        <v>0.65063036674000552</v>
      </c>
    </row>
    <row r="390" spans="1:10" x14ac:dyDescent="0.35">
      <c r="A390" t="s">
        <v>6</v>
      </c>
      <c r="B390" s="6">
        <v>44805</v>
      </c>
      <c r="C390" s="3">
        <v>8.3333333333333329E-2</v>
      </c>
      <c r="D390" t="s">
        <v>27</v>
      </c>
      <c r="E390" t="s">
        <v>14</v>
      </c>
      <c r="F390">
        <v>0.76100000000000001</v>
      </c>
      <c r="G390">
        <v>0.76800000000000002</v>
      </c>
      <c r="H390">
        <f t="shared" si="18"/>
        <v>9.1984231274638718E-3</v>
      </c>
      <c r="I390">
        <f t="shared" si="20"/>
        <v>3.7057672267862633E-7</v>
      </c>
      <c r="J390">
        <f t="shared" si="21"/>
        <v>0.37057672267862635</v>
      </c>
    </row>
    <row r="391" spans="1:10" x14ac:dyDescent="0.35">
      <c r="A391" t="s">
        <v>6</v>
      </c>
      <c r="B391" s="6">
        <v>44805</v>
      </c>
      <c r="C391" s="3">
        <v>0.10416666666666667</v>
      </c>
      <c r="D391" t="s">
        <v>27</v>
      </c>
      <c r="E391" t="s">
        <v>14</v>
      </c>
      <c r="F391">
        <v>0.76300000000000001</v>
      </c>
      <c r="G391">
        <v>0.76800000000000002</v>
      </c>
      <c r="H391">
        <f t="shared" si="18"/>
        <v>6.5530799475753661E-3</v>
      </c>
      <c r="I391">
        <f t="shared" si="20"/>
        <v>2.4411323750891145E-7</v>
      </c>
      <c r="J391">
        <f t="shared" si="21"/>
        <v>0.24411323750891145</v>
      </c>
    </row>
    <row r="392" spans="1:10" x14ac:dyDescent="0.35">
      <c r="A392" t="s">
        <v>6</v>
      </c>
      <c r="B392" s="6">
        <v>44805</v>
      </c>
      <c r="C392" s="3">
        <v>0.125</v>
      </c>
      <c r="D392" t="s">
        <v>27</v>
      </c>
      <c r="E392" t="s">
        <v>14</v>
      </c>
      <c r="F392">
        <v>0.76400000000000001</v>
      </c>
      <c r="G392">
        <v>0.76800000000000002</v>
      </c>
      <c r="H392">
        <f t="shared" si="18"/>
        <v>5.2356020942408424E-3</v>
      </c>
      <c r="I392">
        <f t="shared" si="20"/>
        <v>1.8518034390705346E-7</v>
      </c>
      <c r="J392">
        <f t="shared" si="21"/>
        <v>0.18518034390705346</v>
      </c>
    </row>
    <row r="393" spans="1:10" x14ac:dyDescent="0.35">
      <c r="A393" t="s">
        <v>6</v>
      </c>
      <c r="B393" s="6">
        <v>44805</v>
      </c>
      <c r="C393" s="3">
        <v>0.14583333333333334</v>
      </c>
      <c r="D393" t="s">
        <v>27</v>
      </c>
      <c r="E393" t="s">
        <v>14</v>
      </c>
      <c r="F393">
        <v>0.76500000000000001</v>
      </c>
      <c r="G393">
        <v>0.76800000000000002</v>
      </c>
      <c r="H393">
        <f t="shared" si="18"/>
        <v>3.9215686274509838E-3</v>
      </c>
      <c r="I393">
        <f t="shared" si="20"/>
        <v>1.2974660396244886E-7</v>
      </c>
      <c r="J393">
        <f t="shared" si="21"/>
        <v>0.12974660396244886</v>
      </c>
    </row>
    <row r="394" spans="1:10" x14ac:dyDescent="0.35">
      <c r="A394" t="s">
        <v>6</v>
      </c>
      <c r="B394" s="6">
        <v>44805</v>
      </c>
      <c r="C394" s="3">
        <v>0.16666666666666666</v>
      </c>
      <c r="D394" t="s">
        <v>27</v>
      </c>
      <c r="E394" t="s">
        <v>14</v>
      </c>
      <c r="F394">
        <v>0.76800000000000002</v>
      </c>
      <c r="G394">
        <v>0.76800000000000002</v>
      </c>
      <c r="H394">
        <f t="shared" si="18"/>
        <v>0</v>
      </c>
      <c r="I394">
        <f t="shared" si="20"/>
        <v>0</v>
      </c>
      <c r="J394">
        <f t="shared" si="21"/>
        <v>0</v>
      </c>
    </row>
    <row r="395" spans="1:10" x14ac:dyDescent="0.35">
      <c r="A395" t="s">
        <v>6</v>
      </c>
      <c r="B395" s="6">
        <v>44805</v>
      </c>
      <c r="C395" s="3">
        <v>0.1875</v>
      </c>
      <c r="D395" t="s">
        <v>27</v>
      </c>
      <c r="E395" t="s">
        <v>14</v>
      </c>
      <c r="F395">
        <v>0.76800000000000002</v>
      </c>
      <c r="G395">
        <v>0.76800000000000002</v>
      </c>
      <c r="H395">
        <f t="shared" si="18"/>
        <v>0</v>
      </c>
      <c r="I395">
        <f t="shared" si="20"/>
        <v>0</v>
      </c>
      <c r="J395">
        <f t="shared" si="21"/>
        <v>0</v>
      </c>
    </row>
    <row r="396" spans="1:10" x14ac:dyDescent="0.35">
      <c r="A396" t="s">
        <v>6</v>
      </c>
      <c r="B396" s="6">
        <v>44805</v>
      </c>
      <c r="C396" s="3">
        <v>0.20833333333333334</v>
      </c>
      <c r="D396" t="s">
        <v>27</v>
      </c>
      <c r="E396" t="s">
        <v>14</v>
      </c>
      <c r="F396">
        <v>0.76700000000000002</v>
      </c>
      <c r="G396">
        <v>0.76800000000000002</v>
      </c>
      <c r="H396">
        <f t="shared" si="18"/>
        <v>1.303780964797915E-3</v>
      </c>
      <c r="I396">
        <f t="shared" si="20"/>
        <v>3.3447515862311314E-8</v>
      </c>
      <c r="J396">
        <f t="shared" si="21"/>
        <v>3.3447515862311317E-2</v>
      </c>
    </row>
    <row r="397" spans="1:10" x14ac:dyDescent="0.35">
      <c r="A397" t="s">
        <v>6</v>
      </c>
      <c r="B397" s="6">
        <v>44805</v>
      </c>
      <c r="C397" s="3">
        <v>0.22916666666666666</v>
      </c>
      <c r="D397" t="s">
        <v>27</v>
      </c>
      <c r="E397" t="s">
        <v>14</v>
      </c>
      <c r="F397">
        <v>0.76700000000000002</v>
      </c>
      <c r="G397">
        <v>0.76800000000000002</v>
      </c>
      <c r="H397">
        <f t="shared" si="18"/>
        <v>1.303780964797915E-3</v>
      </c>
      <c r="I397">
        <f t="shared" si="20"/>
        <v>3.3447515862311314E-8</v>
      </c>
      <c r="J397">
        <f t="shared" si="21"/>
        <v>3.3447515862311317E-2</v>
      </c>
    </row>
    <row r="398" spans="1:10" x14ac:dyDescent="0.35">
      <c r="A398" t="s">
        <v>6</v>
      </c>
      <c r="B398" s="6">
        <v>44805</v>
      </c>
      <c r="C398" s="3">
        <v>0.35416666666666669</v>
      </c>
      <c r="D398" t="s">
        <v>27</v>
      </c>
      <c r="E398" t="s">
        <v>14</v>
      </c>
      <c r="F398">
        <v>0.74099999999999999</v>
      </c>
      <c r="G398">
        <v>0.76800000000000002</v>
      </c>
      <c r="H398">
        <f t="shared" si="18"/>
        <v>3.6437246963562785E-2</v>
      </c>
      <c r="I398">
        <f t="shared" si="20"/>
        <v>2.0174814073330662E-6</v>
      </c>
      <c r="J398">
        <f t="shared" si="21"/>
        <v>2.017481407333066</v>
      </c>
    </row>
    <row r="399" spans="1:10" x14ac:dyDescent="0.35">
      <c r="A399" t="s">
        <v>6</v>
      </c>
      <c r="B399" s="6">
        <v>44805</v>
      </c>
      <c r="C399" s="3">
        <v>0.375</v>
      </c>
      <c r="D399" t="s">
        <v>27</v>
      </c>
      <c r="E399" t="s">
        <v>14</v>
      </c>
      <c r="F399">
        <v>0.72899999999999998</v>
      </c>
      <c r="G399">
        <v>0.76800000000000002</v>
      </c>
      <c r="H399">
        <f t="shared" si="18"/>
        <v>5.3497942386831324E-2</v>
      </c>
      <c r="I399">
        <f t="shared" si="20"/>
        <v>3.2369046408424397E-6</v>
      </c>
      <c r="J399">
        <f t="shared" si="21"/>
        <v>3.2369046408424396</v>
      </c>
    </row>
    <row r="400" spans="1:10" x14ac:dyDescent="0.35">
      <c r="A400" t="s">
        <v>6</v>
      </c>
      <c r="B400" s="6">
        <v>44805</v>
      </c>
      <c r="C400" s="3">
        <v>0.39583333333333331</v>
      </c>
      <c r="D400" t="s">
        <v>27</v>
      </c>
      <c r="E400" t="s">
        <v>14</v>
      </c>
      <c r="F400">
        <v>0.71499999999999997</v>
      </c>
      <c r="G400">
        <v>0.76800000000000002</v>
      </c>
      <c r="H400">
        <f t="shared" si="18"/>
        <v>7.4125874125874194E-2</v>
      </c>
      <c r="I400">
        <f t="shared" si="20"/>
        <v>4.8359279242385336E-6</v>
      </c>
      <c r="J400">
        <f t="shared" si="21"/>
        <v>4.8359279242385336</v>
      </c>
    </row>
    <row r="401" spans="1:10" x14ac:dyDescent="0.35">
      <c r="A401" t="s">
        <v>6</v>
      </c>
      <c r="B401" s="6">
        <v>44805</v>
      </c>
      <c r="C401" s="3">
        <v>0.41666666666666669</v>
      </c>
      <c r="D401" t="s">
        <v>27</v>
      </c>
      <c r="E401" t="s">
        <v>14</v>
      </c>
      <c r="F401">
        <v>0.68100000000000005</v>
      </c>
      <c r="G401">
        <v>0.76800000000000002</v>
      </c>
      <c r="H401">
        <f t="shared" si="18"/>
        <v>0.12775330396475765</v>
      </c>
      <c r="I401">
        <f t="shared" si="20"/>
        <v>9.4512895102291799E-6</v>
      </c>
      <c r="J401">
        <f t="shared" si="21"/>
        <v>9.4512895102291807</v>
      </c>
    </row>
    <row r="402" spans="1:10" x14ac:dyDescent="0.35">
      <c r="A402" t="s">
        <v>6</v>
      </c>
      <c r="B402" s="6">
        <v>44805</v>
      </c>
      <c r="C402" s="3">
        <v>0.4375</v>
      </c>
      <c r="D402" t="s">
        <v>27</v>
      </c>
      <c r="E402" t="s">
        <v>14</v>
      </c>
      <c r="F402">
        <v>0.66500000000000004</v>
      </c>
      <c r="G402">
        <v>0.76800000000000002</v>
      </c>
      <c r="H402">
        <f t="shared" si="18"/>
        <v>0.15488721804511274</v>
      </c>
      <c r="I402">
        <f t="shared" si="20"/>
        <v>1.1979981285907477E-5</v>
      </c>
      <c r="J402">
        <f t="shared" si="21"/>
        <v>11.979981285907478</v>
      </c>
    </row>
    <row r="403" spans="1:10" x14ac:dyDescent="0.35">
      <c r="A403" t="s">
        <v>6</v>
      </c>
      <c r="B403" s="6">
        <v>44805</v>
      </c>
      <c r="C403" s="3">
        <v>0.45833333333333331</v>
      </c>
      <c r="D403" t="s">
        <v>27</v>
      </c>
      <c r="E403" t="s">
        <v>14</v>
      </c>
      <c r="F403">
        <v>0.64600000000000002</v>
      </c>
      <c r="G403">
        <v>0.76800000000000002</v>
      </c>
      <c r="H403">
        <f t="shared" si="18"/>
        <v>0.18885448916408668</v>
      </c>
      <c r="I403">
        <f t="shared" si="20"/>
        <v>1.5291837816777109E-5</v>
      </c>
      <c r="J403">
        <f t="shared" si="21"/>
        <v>15.291837816777109</v>
      </c>
    </row>
    <row r="404" spans="1:10" x14ac:dyDescent="0.35">
      <c r="A404" t="s">
        <v>6</v>
      </c>
      <c r="B404" s="6">
        <v>44805</v>
      </c>
      <c r="C404" s="3">
        <v>0.47916666666666669</v>
      </c>
      <c r="D404" t="s">
        <v>27</v>
      </c>
      <c r="E404" t="s">
        <v>14</v>
      </c>
      <c r="F404">
        <v>0.63600000000000001</v>
      </c>
      <c r="G404">
        <v>0.76800000000000002</v>
      </c>
      <c r="H404">
        <f t="shared" si="18"/>
        <v>0.20754716981132076</v>
      </c>
      <c r="I404">
        <f t="shared" si="20"/>
        <v>1.7175831122399331E-5</v>
      </c>
      <c r="J404">
        <f t="shared" si="21"/>
        <v>17.17583112239933</v>
      </c>
    </row>
    <row r="405" spans="1:10" x14ac:dyDescent="0.35">
      <c r="A405" t="s">
        <v>6</v>
      </c>
      <c r="B405" s="6">
        <v>44805</v>
      </c>
      <c r="C405" s="3">
        <v>0.5</v>
      </c>
      <c r="D405" t="s">
        <v>27</v>
      </c>
      <c r="E405" t="s">
        <v>14</v>
      </c>
      <c r="F405">
        <v>0.624</v>
      </c>
      <c r="G405">
        <v>0.76800000000000002</v>
      </c>
      <c r="H405">
        <f t="shared" si="18"/>
        <v>0.23076923076923081</v>
      </c>
      <c r="I405">
        <f t="shared" si="20"/>
        <v>1.9571267786031772E-5</v>
      </c>
      <c r="J405">
        <f t="shared" si="21"/>
        <v>19.571267786031772</v>
      </c>
    </row>
    <row r="406" spans="1:10" x14ac:dyDescent="0.35">
      <c r="A406" t="s">
        <v>6</v>
      </c>
      <c r="B406" s="6">
        <v>44805</v>
      </c>
      <c r="C406" s="3">
        <v>0.58333333333333337</v>
      </c>
      <c r="D406" t="s">
        <v>27</v>
      </c>
      <c r="E406" t="s">
        <v>14</v>
      </c>
      <c r="F406">
        <v>0.63200000000000001</v>
      </c>
      <c r="G406">
        <v>0.76800000000000002</v>
      </c>
      <c r="H406">
        <f t="shared" si="18"/>
        <v>0.21518987341772153</v>
      </c>
      <c r="I406">
        <f t="shared" si="20"/>
        <v>1.7957696784588992E-5</v>
      </c>
      <c r="J406">
        <f t="shared" si="21"/>
        <v>17.957696784588993</v>
      </c>
    </row>
    <row r="407" spans="1:10" x14ac:dyDescent="0.35">
      <c r="A407" t="s">
        <v>6</v>
      </c>
      <c r="B407" s="6">
        <v>44805</v>
      </c>
      <c r="C407" s="3">
        <v>0.60416666666666663</v>
      </c>
      <c r="D407" t="s">
        <v>27</v>
      </c>
      <c r="E407" t="s">
        <v>14</v>
      </c>
      <c r="F407">
        <v>0.63700000000000001</v>
      </c>
      <c r="G407">
        <v>0.76800000000000002</v>
      </c>
      <c r="H407">
        <f t="shared" si="18"/>
        <v>0.20565149136577709</v>
      </c>
      <c r="I407">
        <f t="shared" si="20"/>
        <v>1.6982916923446192E-5</v>
      </c>
      <c r="J407">
        <f t="shared" si="21"/>
        <v>16.98291692344619</v>
      </c>
    </row>
    <row r="408" spans="1:10" x14ac:dyDescent="0.35">
      <c r="A408" t="s">
        <v>6</v>
      </c>
      <c r="B408" s="6">
        <v>44805</v>
      </c>
      <c r="C408" s="3">
        <v>0.625</v>
      </c>
      <c r="D408" t="s">
        <v>27</v>
      </c>
      <c r="E408" t="s">
        <v>14</v>
      </c>
      <c r="F408">
        <v>0.64200000000000002</v>
      </c>
      <c r="G408">
        <v>0.76800000000000002</v>
      </c>
      <c r="H408">
        <f t="shared" si="18"/>
        <v>0.19626168224299065</v>
      </c>
      <c r="I408">
        <f t="shared" si="20"/>
        <v>1.6033468499438111E-5</v>
      </c>
      <c r="J408">
        <f t="shared" si="21"/>
        <v>16.033468499438111</v>
      </c>
    </row>
    <row r="409" spans="1:10" x14ac:dyDescent="0.35">
      <c r="A409" t="s">
        <v>6</v>
      </c>
      <c r="B409" s="6">
        <v>44805</v>
      </c>
      <c r="C409" s="3">
        <v>0.64583333333333337</v>
      </c>
      <c r="D409" t="s">
        <v>27</v>
      </c>
      <c r="E409" t="s">
        <v>14</v>
      </c>
      <c r="F409">
        <v>0.65</v>
      </c>
      <c r="G409">
        <v>0.76800000000000002</v>
      </c>
      <c r="H409">
        <f t="shared" si="18"/>
        <v>0.18153846153846151</v>
      </c>
      <c r="I409">
        <f t="shared" si="20"/>
        <v>1.4565901553339199E-5</v>
      </c>
      <c r="J409">
        <f t="shared" si="21"/>
        <v>14.565901553339199</v>
      </c>
    </row>
    <row r="410" spans="1:10" x14ac:dyDescent="0.35">
      <c r="A410" t="s">
        <v>6</v>
      </c>
      <c r="B410" s="6">
        <v>44805</v>
      </c>
      <c r="C410" s="3">
        <v>0.66666666666666663</v>
      </c>
      <c r="D410" t="s">
        <v>27</v>
      </c>
      <c r="E410" t="s">
        <v>14</v>
      </c>
      <c r="F410">
        <v>0.65400000000000003</v>
      </c>
      <c r="G410">
        <v>0.76800000000000002</v>
      </c>
      <c r="H410">
        <f t="shared" si="18"/>
        <v>0.17431192660550457</v>
      </c>
      <c r="I410">
        <f t="shared" si="20"/>
        <v>1.3855449673073322E-5</v>
      </c>
      <c r="J410">
        <f t="shared" si="21"/>
        <v>13.855449673073322</v>
      </c>
    </row>
    <row r="411" spans="1:10" x14ac:dyDescent="0.35">
      <c r="A411" t="s">
        <v>6</v>
      </c>
      <c r="B411" s="6">
        <v>44805</v>
      </c>
      <c r="C411" s="3">
        <v>0.6875</v>
      </c>
      <c r="D411" t="s">
        <v>27</v>
      </c>
      <c r="E411" t="s">
        <v>14</v>
      </c>
      <c r="F411">
        <v>0.65700000000000003</v>
      </c>
      <c r="G411">
        <v>0.76800000000000002</v>
      </c>
      <c r="H411">
        <f t="shared" si="18"/>
        <v>0.16894977168949768</v>
      </c>
      <c r="I411">
        <f t="shared" si="20"/>
        <v>1.3332653067042573E-5</v>
      </c>
      <c r="J411">
        <f t="shared" si="21"/>
        <v>13.332653067042573</v>
      </c>
    </row>
    <row r="412" spans="1:10" x14ac:dyDescent="0.35">
      <c r="A412" t="s">
        <v>6</v>
      </c>
      <c r="B412" s="6">
        <v>44805</v>
      </c>
      <c r="C412" s="3">
        <v>0.70833333333333337</v>
      </c>
      <c r="D412" t="s">
        <v>27</v>
      </c>
      <c r="E412" t="s">
        <v>14</v>
      </c>
      <c r="F412">
        <v>0.66600000000000004</v>
      </c>
      <c r="G412">
        <v>0.76800000000000002</v>
      </c>
      <c r="H412">
        <f t="shared" si="18"/>
        <v>0.15315315315315312</v>
      </c>
      <c r="I412">
        <f t="shared" si="20"/>
        <v>1.1815088981349361E-5</v>
      </c>
      <c r="J412">
        <f t="shared" si="21"/>
        <v>11.81508898134936</v>
      </c>
    </row>
    <row r="413" spans="1:10" x14ac:dyDescent="0.35">
      <c r="A413" t="s">
        <v>6</v>
      </c>
      <c r="B413" s="6">
        <v>44805</v>
      </c>
      <c r="C413" s="3">
        <v>0</v>
      </c>
      <c r="D413" t="s">
        <v>31</v>
      </c>
      <c r="E413" t="s">
        <v>9</v>
      </c>
      <c r="F413">
        <v>0.83899999999999997</v>
      </c>
      <c r="G413">
        <f>MAX(F413:F439)</f>
        <v>0.86099999999999999</v>
      </c>
      <c r="H413">
        <f t="shared" si="18"/>
        <v>2.6221692491060811E-2</v>
      </c>
      <c r="I413">
        <f t="shared" si="20"/>
        <v>1.3456072168730604E-6</v>
      </c>
      <c r="J413">
        <f t="shared" si="21"/>
        <v>1.3456072168730604</v>
      </c>
    </row>
    <row r="414" spans="1:10" x14ac:dyDescent="0.35">
      <c r="A414" t="s">
        <v>6</v>
      </c>
      <c r="B414" s="6">
        <v>44805</v>
      </c>
      <c r="C414" s="3">
        <v>2.0833333333333332E-2</v>
      </c>
      <c r="D414" t="s">
        <v>31</v>
      </c>
      <c r="E414" t="s">
        <v>9</v>
      </c>
      <c r="F414">
        <v>0.84499999999999997</v>
      </c>
      <c r="G414">
        <v>0.86099999999999999</v>
      </c>
      <c r="H414">
        <f t="shared" si="18"/>
        <v>1.8934911242603568E-2</v>
      </c>
      <c r="I414">
        <f t="shared" si="20"/>
        <v>9.0127650822069874E-7</v>
      </c>
      <c r="J414">
        <f t="shared" si="21"/>
        <v>0.90127650822069871</v>
      </c>
    </row>
    <row r="415" spans="1:10" x14ac:dyDescent="0.35">
      <c r="A415" t="s">
        <v>6</v>
      </c>
      <c r="B415" s="6">
        <v>44805</v>
      </c>
      <c r="C415" s="3">
        <v>4.1666666666666664E-2</v>
      </c>
      <c r="D415" t="s">
        <v>31</v>
      </c>
      <c r="E415" t="s">
        <v>9</v>
      </c>
      <c r="F415">
        <v>0.85199999999999998</v>
      </c>
      <c r="G415">
        <v>0.86099999999999999</v>
      </c>
      <c r="H415">
        <f t="shared" si="18"/>
        <v>1.0563380281690151E-2</v>
      </c>
      <c r="I415">
        <f t="shared" si="20"/>
        <v>4.3938815934769809E-7</v>
      </c>
      <c r="J415">
        <f t="shared" si="21"/>
        <v>0.43938815934769809</v>
      </c>
    </row>
    <row r="416" spans="1:10" x14ac:dyDescent="0.35">
      <c r="A416" t="s">
        <v>6</v>
      </c>
      <c r="B416" s="6">
        <v>44805</v>
      </c>
      <c r="C416" s="3">
        <v>6.25E-2</v>
      </c>
      <c r="D416" t="s">
        <v>31</v>
      </c>
      <c r="E416" t="s">
        <v>9</v>
      </c>
      <c r="F416">
        <v>0.85499999999999998</v>
      </c>
      <c r="G416">
        <v>0.86099999999999999</v>
      </c>
      <c r="H416">
        <f t="shared" si="18"/>
        <v>7.017543859649129E-3</v>
      </c>
      <c r="I416">
        <f t="shared" si="20"/>
        <v>2.6558336143813726E-7</v>
      </c>
      <c r="J416">
        <f t="shared" si="21"/>
        <v>0.26558336143813727</v>
      </c>
    </row>
    <row r="417" spans="1:10" x14ac:dyDescent="0.35">
      <c r="A417" t="s">
        <v>6</v>
      </c>
      <c r="B417" s="6">
        <v>44805</v>
      </c>
      <c r="C417" s="3">
        <v>8.3333333333333329E-2</v>
      </c>
      <c r="D417" t="s">
        <v>31</v>
      </c>
      <c r="E417" t="s">
        <v>9</v>
      </c>
      <c r="F417">
        <v>0.85599999999999998</v>
      </c>
      <c r="G417">
        <v>0.86099999999999999</v>
      </c>
      <c r="H417">
        <f t="shared" si="18"/>
        <v>5.8411214953271078E-3</v>
      </c>
      <c r="I417">
        <f t="shared" si="20"/>
        <v>2.1188676598588165E-7</v>
      </c>
      <c r="J417">
        <f t="shared" si="21"/>
        <v>0.21188676598588166</v>
      </c>
    </row>
    <row r="418" spans="1:10" x14ac:dyDescent="0.35">
      <c r="A418" t="s">
        <v>6</v>
      </c>
      <c r="B418" s="6">
        <v>44805</v>
      </c>
      <c r="C418" s="3">
        <v>0.10416666666666667</v>
      </c>
      <c r="D418" t="s">
        <v>31</v>
      </c>
      <c r="E418" t="s">
        <v>9</v>
      </c>
      <c r="F418">
        <v>0.85599999999999998</v>
      </c>
      <c r="G418">
        <v>0.86099999999999999</v>
      </c>
      <c r="H418">
        <f t="shared" si="18"/>
        <v>5.8411214953271078E-3</v>
      </c>
      <c r="I418">
        <f t="shared" si="20"/>
        <v>2.1188676598588165E-7</v>
      </c>
      <c r="J418">
        <f t="shared" si="21"/>
        <v>0.21188676598588166</v>
      </c>
    </row>
    <row r="419" spans="1:10" x14ac:dyDescent="0.35">
      <c r="A419" t="s">
        <v>6</v>
      </c>
      <c r="B419" s="6">
        <v>44805</v>
      </c>
      <c r="C419" s="3">
        <v>0.125</v>
      </c>
      <c r="D419" t="s">
        <v>31</v>
      </c>
      <c r="E419" t="s">
        <v>9</v>
      </c>
      <c r="F419">
        <v>0.85699999999999998</v>
      </c>
      <c r="G419">
        <v>0.86099999999999999</v>
      </c>
      <c r="H419">
        <f t="shared" si="18"/>
        <v>4.6674445740956865E-3</v>
      </c>
      <c r="I419">
        <f t="shared" si="20"/>
        <v>1.6076200682098302E-7</v>
      </c>
      <c r="J419">
        <f t="shared" si="21"/>
        <v>0.16076200682098302</v>
      </c>
    </row>
    <row r="420" spans="1:10" x14ac:dyDescent="0.35">
      <c r="A420" t="s">
        <v>6</v>
      </c>
      <c r="B420" s="6">
        <v>44805</v>
      </c>
      <c r="C420" s="3">
        <v>0.14583333333333334</v>
      </c>
      <c r="D420" t="s">
        <v>31</v>
      </c>
      <c r="E420" t="s">
        <v>9</v>
      </c>
      <c r="F420">
        <v>0.86</v>
      </c>
      <c r="G420">
        <v>0.86099999999999999</v>
      </c>
      <c r="H420">
        <f t="shared" si="18"/>
        <v>1.1627906976744197E-3</v>
      </c>
      <c r="I420">
        <f t="shared" si="20"/>
        <v>2.9052222922255133E-8</v>
      </c>
      <c r="J420">
        <f t="shared" si="21"/>
        <v>2.9052222922255132E-2</v>
      </c>
    </row>
    <row r="421" spans="1:10" x14ac:dyDescent="0.35">
      <c r="A421" t="s">
        <v>6</v>
      </c>
      <c r="B421" s="6">
        <v>44805</v>
      </c>
      <c r="C421" s="3">
        <v>0.16666666666666666</v>
      </c>
      <c r="D421" t="s">
        <v>31</v>
      </c>
      <c r="E421" t="s">
        <v>9</v>
      </c>
      <c r="F421">
        <v>0.86099999999999999</v>
      </c>
      <c r="G421">
        <v>0.86099999999999999</v>
      </c>
      <c r="H421">
        <f t="shared" si="18"/>
        <v>0</v>
      </c>
      <c r="I421">
        <f t="shared" si="20"/>
        <v>0</v>
      </c>
      <c r="J421">
        <f t="shared" si="21"/>
        <v>0</v>
      </c>
    </row>
    <row r="422" spans="1:10" x14ac:dyDescent="0.35">
      <c r="A422" t="s">
        <v>6</v>
      </c>
      <c r="B422" s="6">
        <v>44805</v>
      </c>
      <c r="C422" s="3">
        <v>0.1875</v>
      </c>
      <c r="D422" t="s">
        <v>31</v>
      </c>
      <c r="E422" t="s">
        <v>9</v>
      </c>
      <c r="F422">
        <v>0.86</v>
      </c>
      <c r="G422">
        <v>0.86099999999999999</v>
      </c>
      <c r="H422">
        <f t="shared" si="18"/>
        <v>1.1627906976744197E-3</v>
      </c>
      <c r="I422">
        <f t="shared" si="20"/>
        <v>2.9052222922255133E-8</v>
      </c>
      <c r="J422">
        <f t="shared" si="21"/>
        <v>2.9052222922255132E-2</v>
      </c>
    </row>
    <row r="423" spans="1:10" x14ac:dyDescent="0.35">
      <c r="A423" t="s">
        <v>6</v>
      </c>
      <c r="B423" s="6">
        <v>44805</v>
      </c>
      <c r="C423" s="3">
        <v>0.20833333333333334</v>
      </c>
      <c r="D423" t="s">
        <v>31</v>
      </c>
      <c r="E423" t="s">
        <v>9</v>
      </c>
      <c r="F423">
        <v>0.85899999999999999</v>
      </c>
      <c r="G423">
        <v>0.86099999999999999</v>
      </c>
      <c r="H423">
        <f t="shared" si="18"/>
        <v>2.3282887077997693E-3</v>
      </c>
      <c r="I423">
        <f t="shared" si="20"/>
        <v>6.829191661492841E-8</v>
      </c>
      <c r="J423">
        <f t="shared" si="21"/>
        <v>6.8291916614928408E-2</v>
      </c>
    </row>
    <row r="424" spans="1:10" x14ac:dyDescent="0.35">
      <c r="A424" t="s">
        <v>6</v>
      </c>
      <c r="B424" s="6">
        <v>44805</v>
      </c>
      <c r="C424" s="3">
        <v>0.22916666666666666</v>
      </c>
      <c r="D424" t="s">
        <v>31</v>
      </c>
      <c r="E424" t="s">
        <v>9</v>
      </c>
      <c r="F424">
        <v>0.86099999999999999</v>
      </c>
      <c r="G424">
        <v>0.86099999999999999</v>
      </c>
      <c r="H424">
        <f t="shared" si="18"/>
        <v>0</v>
      </c>
      <c r="I424">
        <f t="shared" si="20"/>
        <v>0</v>
      </c>
      <c r="J424">
        <f t="shared" si="21"/>
        <v>0</v>
      </c>
    </row>
    <row r="425" spans="1:10" x14ac:dyDescent="0.35">
      <c r="A425" t="s">
        <v>6</v>
      </c>
      <c r="B425" s="6">
        <v>44805</v>
      </c>
      <c r="C425" s="3">
        <v>0.35416666666666669</v>
      </c>
      <c r="D425" t="s">
        <v>31</v>
      </c>
      <c r="E425" t="s">
        <v>9</v>
      </c>
      <c r="F425">
        <v>0.85599999999999998</v>
      </c>
      <c r="G425">
        <v>0.86099999999999999</v>
      </c>
      <c r="H425">
        <f t="shared" si="18"/>
        <v>5.8411214953271078E-3</v>
      </c>
      <c r="I425">
        <f t="shared" si="20"/>
        <v>2.1188676598588165E-7</v>
      </c>
      <c r="J425">
        <f t="shared" si="21"/>
        <v>0.21188676598588166</v>
      </c>
    </row>
    <row r="426" spans="1:10" x14ac:dyDescent="0.35">
      <c r="A426" t="s">
        <v>6</v>
      </c>
      <c r="B426" s="6">
        <v>44805</v>
      </c>
      <c r="C426" s="3">
        <v>0.375</v>
      </c>
      <c r="D426" t="s">
        <v>31</v>
      </c>
      <c r="E426" t="s">
        <v>9</v>
      </c>
      <c r="F426">
        <v>0.83799999999999997</v>
      </c>
      <c r="G426">
        <v>0.86099999999999999</v>
      </c>
      <c r="H426">
        <f t="shared" si="18"/>
        <v>2.7446300715990479E-2</v>
      </c>
      <c r="I426">
        <f t="shared" si="20"/>
        <v>1.4233789556759833E-6</v>
      </c>
      <c r="J426">
        <f t="shared" si="21"/>
        <v>1.4233789556759833</v>
      </c>
    </row>
    <row r="427" spans="1:10" x14ac:dyDescent="0.35">
      <c r="A427" t="s">
        <v>6</v>
      </c>
      <c r="B427" s="6">
        <v>44805</v>
      </c>
      <c r="C427" s="3">
        <v>0.39583333333333331</v>
      </c>
      <c r="D427" t="s">
        <v>31</v>
      </c>
      <c r="E427" t="s">
        <v>9</v>
      </c>
      <c r="F427">
        <v>0.81599999999999995</v>
      </c>
      <c r="G427">
        <v>0.86099999999999999</v>
      </c>
      <c r="H427">
        <f t="shared" si="18"/>
        <v>5.5147058823529466E-2</v>
      </c>
      <c r="I427">
        <f t="shared" si="20"/>
        <v>3.3601679137539762E-6</v>
      </c>
      <c r="J427">
        <f t="shared" si="21"/>
        <v>3.3601679137539762</v>
      </c>
    </row>
    <row r="428" spans="1:10" x14ac:dyDescent="0.35">
      <c r="A428" t="s">
        <v>6</v>
      </c>
      <c r="B428" s="6">
        <v>44805</v>
      </c>
      <c r="C428" s="3">
        <v>0.41666666666666669</v>
      </c>
      <c r="D428" t="s">
        <v>31</v>
      </c>
      <c r="E428" t="s">
        <v>9</v>
      </c>
      <c r="F428">
        <v>0.76500000000000001</v>
      </c>
      <c r="G428">
        <v>0.86099999999999999</v>
      </c>
      <c r="H428">
        <f t="shared" si="18"/>
        <v>0.12549019607843134</v>
      </c>
      <c r="I428">
        <f t="shared" si="20"/>
        <v>9.2456111195869526E-6</v>
      </c>
      <c r="J428">
        <f t="shared" si="21"/>
        <v>9.2456111195869521</v>
      </c>
    </row>
    <row r="429" spans="1:10" x14ac:dyDescent="0.35">
      <c r="A429" t="s">
        <v>6</v>
      </c>
      <c r="B429" s="6">
        <v>44805</v>
      </c>
      <c r="C429" s="3">
        <v>0.4375</v>
      </c>
      <c r="D429" t="s">
        <v>31</v>
      </c>
      <c r="E429" t="s">
        <v>9</v>
      </c>
      <c r="F429">
        <v>0.745</v>
      </c>
      <c r="G429">
        <v>0.86099999999999999</v>
      </c>
      <c r="H429">
        <f t="shared" si="18"/>
        <v>0.15570469798657718</v>
      </c>
      <c r="I429">
        <f t="shared" si="20"/>
        <v>1.2057863811338564E-5</v>
      </c>
      <c r="J429">
        <f t="shared" si="21"/>
        <v>12.057863811338564</v>
      </c>
    </row>
    <row r="430" spans="1:10" x14ac:dyDescent="0.35">
      <c r="A430" t="s">
        <v>6</v>
      </c>
      <c r="B430" s="6">
        <v>44805</v>
      </c>
      <c r="C430" s="3">
        <v>0.45833333333333331</v>
      </c>
      <c r="D430" t="s">
        <v>31</v>
      </c>
      <c r="E430" t="s">
        <v>9</v>
      </c>
      <c r="F430">
        <v>0.73199999999999998</v>
      </c>
      <c r="G430">
        <v>0.86099999999999999</v>
      </c>
      <c r="H430">
        <f t="shared" si="18"/>
        <v>0.17622950819672131</v>
      </c>
      <c r="I430">
        <f t="shared" si="20"/>
        <v>1.4043318768600457E-5</v>
      </c>
      <c r="J430">
        <f t="shared" si="21"/>
        <v>14.043318768600457</v>
      </c>
    </row>
    <row r="431" spans="1:10" x14ac:dyDescent="0.35">
      <c r="A431" t="s">
        <v>6</v>
      </c>
      <c r="B431" s="6">
        <v>44805</v>
      </c>
      <c r="C431" s="3">
        <v>0.47916666666666669</v>
      </c>
      <c r="D431" t="s">
        <v>31</v>
      </c>
      <c r="E431" t="s">
        <v>9</v>
      </c>
      <c r="F431">
        <v>0.73599999999999999</v>
      </c>
      <c r="G431">
        <v>0.86099999999999999</v>
      </c>
      <c r="H431">
        <f t="shared" si="18"/>
        <v>0.16983695652173914</v>
      </c>
      <c r="I431">
        <f t="shared" si="20"/>
        <v>1.3418890158642597E-5</v>
      </c>
      <c r="J431">
        <f t="shared" si="21"/>
        <v>13.418890158642597</v>
      </c>
    </row>
    <row r="432" spans="1:10" x14ac:dyDescent="0.35">
      <c r="A432" t="s">
        <v>6</v>
      </c>
      <c r="B432" s="6">
        <v>44805</v>
      </c>
      <c r="C432" s="3">
        <v>0.5</v>
      </c>
      <c r="D432" t="s">
        <v>31</v>
      </c>
      <c r="E432" t="s">
        <v>9</v>
      </c>
      <c r="F432">
        <v>0.73599999999999999</v>
      </c>
      <c r="G432">
        <v>0.86099999999999999</v>
      </c>
      <c r="H432">
        <f t="shared" si="18"/>
        <v>0.16983695652173914</v>
      </c>
      <c r="I432">
        <f t="shared" si="20"/>
        <v>1.3418890158642597E-5</v>
      </c>
      <c r="J432">
        <f t="shared" si="21"/>
        <v>13.418890158642597</v>
      </c>
    </row>
    <row r="433" spans="1:10" x14ac:dyDescent="0.35">
      <c r="A433" t="s">
        <v>6</v>
      </c>
      <c r="B433" s="6">
        <v>44805</v>
      </c>
      <c r="C433" s="3">
        <v>0.58333333333333337</v>
      </c>
      <c r="D433" t="s">
        <v>31</v>
      </c>
      <c r="E433" t="s">
        <v>9</v>
      </c>
      <c r="F433">
        <v>0.72599999999999998</v>
      </c>
      <c r="G433">
        <v>0.86099999999999999</v>
      </c>
      <c r="H433">
        <f t="shared" si="18"/>
        <v>0.18595041322314051</v>
      </c>
      <c r="I433">
        <f t="shared" si="20"/>
        <v>1.5002887418135989E-5</v>
      </c>
      <c r="J433">
        <f t="shared" si="21"/>
        <v>15.002887418135989</v>
      </c>
    </row>
    <row r="434" spans="1:10" x14ac:dyDescent="0.35">
      <c r="A434" t="s">
        <v>6</v>
      </c>
      <c r="B434" s="6">
        <v>44805</v>
      </c>
      <c r="C434" s="3">
        <v>0.60416666666666663</v>
      </c>
      <c r="D434" t="s">
        <v>31</v>
      </c>
      <c r="E434" t="s">
        <v>9</v>
      </c>
      <c r="F434">
        <v>0.73</v>
      </c>
      <c r="G434">
        <v>0.86099999999999999</v>
      </c>
      <c r="H434">
        <f t="shared" si="18"/>
        <v>0.17945205479452056</v>
      </c>
      <c r="I434">
        <f t="shared" si="20"/>
        <v>1.4360100704487497E-5</v>
      </c>
      <c r="J434">
        <f t="shared" si="21"/>
        <v>14.360100704487497</v>
      </c>
    </row>
    <row r="435" spans="1:10" x14ac:dyDescent="0.35">
      <c r="A435" t="s">
        <v>6</v>
      </c>
      <c r="B435" s="6">
        <v>44805</v>
      </c>
      <c r="C435" s="3">
        <v>0.625</v>
      </c>
      <c r="D435" t="s">
        <v>31</v>
      </c>
      <c r="E435" t="s">
        <v>9</v>
      </c>
      <c r="F435">
        <v>0.74099999999999999</v>
      </c>
      <c r="G435">
        <v>0.86099999999999999</v>
      </c>
      <c r="H435">
        <f t="shared" si="18"/>
        <v>0.16194331983805668</v>
      </c>
      <c r="I435">
        <f t="shared" si="20"/>
        <v>1.2655312136129728E-5</v>
      </c>
      <c r="J435">
        <f t="shared" si="21"/>
        <v>12.655312136129728</v>
      </c>
    </row>
    <row r="436" spans="1:10" x14ac:dyDescent="0.35">
      <c r="A436" t="s">
        <v>6</v>
      </c>
      <c r="B436" s="6">
        <v>44805</v>
      </c>
      <c r="C436" s="3">
        <v>0.64583333333333337</v>
      </c>
      <c r="D436" t="s">
        <v>31</v>
      </c>
      <c r="E436" t="s">
        <v>9</v>
      </c>
      <c r="F436">
        <v>0.751</v>
      </c>
      <c r="G436">
        <v>0.86099999999999999</v>
      </c>
      <c r="H436">
        <f t="shared" si="18"/>
        <v>0.14647137150466044</v>
      </c>
      <c r="I436">
        <f t="shared" si="20"/>
        <v>1.1183779460280599E-5</v>
      </c>
      <c r="J436">
        <f t="shared" si="21"/>
        <v>11.183779460280599</v>
      </c>
    </row>
    <row r="437" spans="1:10" x14ac:dyDescent="0.35">
      <c r="A437" t="s">
        <v>6</v>
      </c>
      <c r="B437" s="6">
        <v>44805</v>
      </c>
      <c r="C437" s="3">
        <v>0.66666666666666663</v>
      </c>
      <c r="D437" t="s">
        <v>31</v>
      </c>
      <c r="E437" t="s">
        <v>9</v>
      </c>
      <c r="F437">
        <v>0.76300000000000001</v>
      </c>
      <c r="G437">
        <v>0.86099999999999999</v>
      </c>
      <c r="H437">
        <f t="shared" si="18"/>
        <v>0.12844036697247704</v>
      </c>
      <c r="I437">
        <f t="shared" si="20"/>
        <v>9.5138993884002607E-6</v>
      </c>
      <c r="J437">
        <f t="shared" si="21"/>
        <v>9.5138993884002616</v>
      </c>
    </row>
    <row r="438" spans="1:10" x14ac:dyDescent="0.35">
      <c r="A438" t="s">
        <v>6</v>
      </c>
      <c r="B438" s="6">
        <v>44805</v>
      </c>
      <c r="C438" s="3">
        <v>0.6875</v>
      </c>
      <c r="D438" t="s">
        <v>31</v>
      </c>
      <c r="E438" t="s">
        <v>9</v>
      </c>
      <c r="F438">
        <v>0.77600000000000002</v>
      </c>
      <c r="G438">
        <v>0.86099999999999999</v>
      </c>
      <c r="H438">
        <f t="shared" si="18"/>
        <v>0.10953608247422676</v>
      </c>
      <c r="I438">
        <f t="shared" si="20"/>
        <v>7.8206325302361758E-6</v>
      </c>
      <c r="J438">
        <f t="shared" si="21"/>
        <v>7.8206325302361757</v>
      </c>
    </row>
    <row r="439" spans="1:10" x14ac:dyDescent="0.35">
      <c r="A439" t="s">
        <v>6</v>
      </c>
      <c r="B439" s="6">
        <v>44805</v>
      </c>
      <c r="C439" s="3">
        <v>0.70833333333333337</v>
      </c>
      <c r="D439" t="s">
        <v>31</v>
      </c>
      <c r="E439" t="s">
        <v>9</v>
      </c>
      <c r="F439">
        <v>0.79200000000000004</v>
      </c>
      <c r="G439">
        <v>0.86099999999999999</v>
      </c>
      <c r="H439">
        <f t="shared" si="18"/>
        <v>8.7121212121212058E-2</v>
      </c>
      <c r="I439">
        <f t="shared" si="20"/>
        <v>5.8998299410604823E-6</v>
      </c>
      <c r="J439">
        <f t="shared" si="21"/>
        <v>5.8998299410604824</v>
      </c>
    </row>
    <row r="440" spans="1:10" x14ac:dyDescent="0.35">
      <c r="A440" t="s">
        <v>6</v>
      </c>
      <c r="B440" s="6">
        <v>44805</v>
      </c>
      <c r="C440" s="3">
        <v>0</v>
      </c>
      <c r="D440" t="s">
        <v>33</v>
      </c>
      <c r="E440" t="s">
        <v>5</v>
      </c>
      <c r="F440">
        <v>0.92900000000000005</v>
      </c>
      <c r="G440">
        <f>MAX(F440:F466)</f>
        <v>0.94799999999999995</v>
      </c>
      <c r="H440">
        <f t="shared" si="18"/>
        <v>2.045209903121626E-2</v>
      </c>
      <c r="I440">
        <f t="shared" si="20"/>
        <v>9.9098093694833852E-7</v>
      </c>
      <c r="J440">
        <f t="shared" si="21"/>
        <v>0.99098093694833855</v>
      </c>
    </row>
    <row r="441" spans="1:10" x14ac:dyDescent="0.35">
      <c r="A441" t="s">
        <v>6</v>
      </c>
      <c r="B441" s="6">
        <v>44805</v>
      </c>
      <c r="C441" s="3">
        <v>2.0833333333333332E-2</v>
      </c>
      <c r="D441" t="s">
        <v>33</v>
      </c>
      <c r="E441" t="s">
        <v>5</v>
      </c>
      <c r="F441">
        <v>0.93500000000000005</v>
      </c>
      <c r="G441">
        <v>0.94799999999999995</v>
      </c>
      <c r="H441">
        <f t="shared" si="18"/>
        <v>1.3903743315507915E-2</v>
      </c>
      <c r="I441">
        <f t="shared" si="20"/>
        <v>6.1622900362174949E-7</v>
      </c>
      <c r="J441">
        <f t="shared" si="21"/>
        <v>0.61622900362174948</v>
      </c>
    </row>
    <row r="442" spans="1:10" x14ac:dyDescent="0.35">
      <c r="A442" t="s">
        <v>6</v>
      </c>
      <c r="B442" s="6">
        <v>44805</v>
      </c>
      <c r="C442" s="3">
        <v>4.1666666666666664E-2</v>
      </c>
      <c r="D442" t="s">
        <v>33</v>
      </c>
      <c r="E442" t="s">
        <v>5</v>
      </c>
      <c r="F442">
        <v>0.94099999999999995</v>
      </c>
      <c r="G442">
        <v>0.94799999999999995</v>
      </c>
      <c r="H442">
        <f t="shared" si="18"/>
        <v>7.438894792773652E-3</v>
      </c>
      <c r="I442">
        <f t="shared" si="20"/>
        <v>2.8534733591876009E-7</v>
      </c>
      <c r="J442">
        <f t="shared" si="21"/>
        <v>0.2853473359187601</v>
      </c>
    </row>
    <row r="443" spans="1:10" x14ac:dyDescent="0.35">
      <c r="A443" t="s">
        <v>6</v>
      </c>
      <c r="B443" s="6">
        <v>44805</v>
      </c>
      <c r="C443" s="3">
        <v>6.25E-2</v>
      </c>
      <c r="D443" t="s">
        <v>33</v>
      </c>
      <c r="E443" t="s">
        <v>5</v>
      </c>
      <c r="F443">
        <v>0.94399999999999995</v>
      </c>
      <c r="G443">
        <v>0.94799999999999995</v>
      </c>
      <c r="H443">
        <f t="shared" si="18"/>
        <v>4.2372881355932247E-3</v>
      </c>
      <c r="I443">
        <f t="shared" si="20"/>
        <v>1.4272244785102298E-7</v>
      </c>
      <c r="J443">
        <f t="shared" si="21"/>
        <v>0.14272244785102298</v>
      </c>
    </row>
    <row r="444" spans="1:10" x14ac:dyDescent="0.35">
      <c r="A444" t="s">
        <v>6</v>
      </c>
      <c r="B444" s="6">
        <v>44805</v>
      </c>
      <c r="C444" s="3">
        <v>8.3333333333333329E-2</v>
      </c>
      <c r="D444" t="s">
        <v>33</v>
      </c>
      <c r="E444" t="s">
        <v>5</v>
      </c>
      <c r="F444">
        <v>0.94799999999999995</v>
      </c>
      <c r="G444">
        <v>0.94799999999999995</v>
      </c>
      <c r="H444">
        <f t="shared" si="18"/>
        <v>0</v>
      </c>
      <c r="I444">
        <f t="shared" si="20"/>
        <v>0</v>
      </c>
      <c r="J444">
        <f t="shared" si="21"/>
        <v>0</v>
      </c>
    </row>
    <row r="445" spans="1:10" x14ac:dyDescent="0.35">
      <c r="A445" t="s">
        <v>6</v>
      </c>
      <c r="B445" s="6">
        <v>44805</v>
      </c>
      <c r="C445" s="3">
        <v>0.10416666666666667</v>
      </c>
      <c r="D445" t="s">
        <v>33</v>
      </c>
      <c r="E445" t="s">
        <v>5</v>
      </c>
      <c r="F445">
        <v>0.94299999999999995</v>
      </c>
      <c r="G445">
        <v>0.94799999999999995</v>
      </c>
      <c r="H445">
        <f t="shared" si="18"/>
        <v>5.302226935312836E-3</v>
      </c>
      <c r="I445">
        <f t="shared" si="20"/>
        <v>1.880854250853038E-7</v>
      </c>
      <c r="J445">
        <f t="shared" si="21"/>
        <v>0.18808542508530379</v>
      </c>
    </row>
    <row r="446" spans="1:10" x14ac:dyDescent="0.35">
      <c r="A446" t="s">
        <v>6</v>
      </c>
      <c r="B446" s="6">
        <v>44805</v>
      </c>
      <c r="C446" s="3">
        <v>0.125</v>
      </c>
      <c r="D446" t="s">
        <v>33</v>
      </c>
      <c r="E446" t="s">
        <v>5</v>
      </c>
      <c r="F446">
        <v>0.94099999999999995</v>
      </c>
      <c r="G446">
        <v>0.94799999999999995</v>
      </c>
      <c r="H446">
        <f t="shared" si="18"/>
        <v>7.438894792773652E-3</v>
      </c>
      <c r="I446">
        <f t="shared" si="20"/>
        <v>2.8534733591876009E-7</v>
      </c>
      <c r="J446">
        <f t="shared" si="21"/>
        <v>0.2853473359187601</v>
      </c>
    </row>
    <row r="447" spans="1:10" x14ac:dyDescent="0.35">
      <c r="A447" t="s">
        <v>6</v>
      </c>
      <c r="B447" s="6">
        <v>44805</v>
      </c>
      <c r="C447" s="3">
        <v>0.14583333333333334</v>
      </c>
      <c r="D447" t="s">
        <v>33</v>
      </c>
      <c r="E447" t="s">
        <v>5</v>
      </c>
      <c r="F447">
        <v>0.94799999999999995</v>
      </c>
      <c r="G447">
        <v>0.94799999999999995</v>
      </c>
      <c r="H447">
        <f t="shared" si="18"/>
        <v>0</v>
      </c>
      <c r="I447">
        <f t="shared" si="20"/>
        <v>0</v>
      </c>
      <c r="J447">
        <f t="shared" si="21"/>
        <v>0</v>
      </c>
    </row>
    <row r="448" spans="1:10" x14ac:dyDescent="0.35">
      <c r="A448" t="s">
        <v>6</v>
      </c>
      <c r="B448" s="6">
        <v>44805</v>
      </c>
      <c r="C448" s="3">
        <v>0.16666666666666666</v>
      </c>
      <c r="D448" t="s">
        <v>33</v>
      </c>
      <c r="E448" t="s">
        <v>5</v>
      </c>
      <c r="F448">
        <v>0.94399999999999995</v>
      </c>
      <c r="G448">
        <v>0.94799999999999995</v>
      </c>
      <c r="H448">
        <f t="shared" si="18"/>
        <v>4.2372881355932247E-3</v>
      </c>
      <c r="I448">
        <f t="shared" si="20"/>
        <v>1.4272244785102298E-7</v>
      </c>
      <c r="J448">
        <f t="shared" si="21"/>
        <v>0.14272244785102298</v>
      </c>
    </row>
    <row r="449" spans="1:10" x14ac:dyDescent="0.35">
      <c r="A449" t="s">
        <v>6</v>
      </c>
      <c r="B449" s="6">
        <v>44805</v>
      </c>
      <c r="C449" s="3">
        <v>0.1875</v>
      </c>
      <c r="D449" t="s">
        <v>33</v>
      </c>
      <c r="E449" t="s">
        <v>5</v>
      </c>
      <c r="F449">
        <v>0.93799999999999994</v>
      </c>
      <c r="G449">
        <v>0.94799999999999995</v>
      </c>
      <c r="H449">
        <f t="shared" si="18"/>
        <v>1.0660980810234552E-2</v>
      </c>
      <c r="I449">
        <f t="shared" si="20"/>
        <v>4.4439101280178385E-7</v>
      </c>
      <c r="J449">
        <f t="shared" si="21"/>
        <v>0.44439101280178384</v>
      </c>
    </row>
    <row r="450" spans="1:10" x14ac:dyDescent="0.35">
      <c r="A450" t="s">
        <v>6</v>
      </c>
      <c r="B450" s="6">
        <v>44805</v>
      </c>
      <c r="C450" s="3">
        <v>0.20833333333333334</v>
      </c>
      <c r="D450" t="s">
        <v>33</v>
      </c>
      <c r="E450" t="s">
        <v>5</v>
      </c>
      <c r="F450">
        <v>0.93700000000000006</v>
      </c>
      <c r="G450">
        <v>0.94799999999999995</v>
      </c>
      <c r="H450">
        <f t="shared" ref="H450:H513" si="22">(G450-F450)/F450</f>
        <v>1.1739594450373423E-2</v>
      </c>
      <c r="I450">
        <f t="shared" si="20"/>
        <v>5.0036845271612667E-7</v>
      </c>
      <c r="J450">
        <f t="shared" si="21"/>
        <v>0.50036845271612662</v>
      </c>
    </row>
    <row r="451" spans="1:10" x14ac:dyDescent="0.35">
      <c r="A451" t="s">
        <v>6</v>
      </c>
      <c r="B451" s="6">
        <v>44805</v>
      </c>
      <c r="C451" s="3">
        <v>0.22916666666666666</v>
      </c>
      <c r="D451" t="s">
        <v>33</v>
      </c>
      <c r="E451" t="s">
        <v>5</v>
      </c>
      <c r="F451">
        <v>0.94199999999999995</v>
      </c>
      <c r="G451">
        <v>0.94799999999999995</v>
      </c>
      <c r="H451">
        <f t="shared" si="22"/>
        <v>6.3694267515923631E-3</v>
      </c>
      <c r="I451">
        <f t="shared" ref="I451:I514" si="23">119*10^-6*(H451^1.231)</f>
        <v>2.3571894532983646E-7</v>
      </c>
      <c r="J451">
        <f t="shared" ref="J451:J514" si="24">I451*10^6</f>
        <v>0.23571894532983648</v>
      </c>
    </row>
    <row r="452" spans="1:10" x14ac:dyDescent="0.35">
      <c r="A452" t="s">
        <v>6</v>
      </c>
      <c r="B452" s="6">
        <v>44805</v>
      </c>
      <c r="C452" s="3">
        <v>0.35416666666666669</v>
      </c>
      <c r="D452" t="s">
        <v>33</v>
      </c>
      <c r="E452" t="s">
        <v>5</v>
      </c>
      <c r="F452">
        <v>0.93799999999999994</v>
      </c>
      <c r="G452">
        <v>0.94799999999999995</v>
      </c>
      <c r="H452">
        <f t="shared" si="22"/>
        <v>1.0660980810234552E-2</v>
      </c>
      <c r="I452">
        <f t="shared" si="23"/>
        <v>4.4439101280178385E-7</v>
      </c>
      <c r="J452">
        <f t="shared" si="24"/>
        <v>0.44439101280178384</v>
      </c>
    </row>
    <row r="453" spans="1:10" x14ac:dyDescent="0.35">
      <c r="A453" t="s">
        <v>6</v>
      </c>
      <c r="B453" s="6">
        <v>44805</v>
      </c>
      <c r="C453" s="3">
        <v>0.375</v>
      </c>
      <c r="D453" t="s">
        <v>33</v>
      </c>
      <c r="E453" t="s">
        <v>5</v>
      </c>
      <c r="F453">
        <v>0.92400000000000004</v>
      </c>
      <c r="G453">
        <v>0.94799999999999995</v>
      </c>
      <c r="H453">
        <f t="shared" si="22"/>
        <v>2.5974025974025875E-2</v>
      </c>
      <c r="I453">
        <f t="shared" si="23"/>
        <v>1.3299790604390473E-6</v>
      </c>
      <c r="J453">
        <f t="shared" si="24"/>
        <v>1.3299790604390473</v>
      </c>
    </row>
    <row r="454" spans="1:10" x14ac:dyDescent="0.35">
      <c r="A454" t="s">
        <v>6</v>
      </c>
      <c r="B454" s="6">
        <v>44805</v>
      </c>
      <c r="C454" s="3">
        <v>0.39583333333333331</v>
      </c>
      <c r="D454" t="s">
        <v>33</v>
      </c>
      <c r="E454" t="s">
        <v>5</v>
      </c>
      <c r="F454">
        <v>0.92500000000000004</v>
      </c>
      <c r="G454">
        <v>0.94799999999999995</v>
      </c>
      <c r="H454">
        <f t="shared" si="22"/>
        <v>2.4864864864864767E-2</v>
      </c>
      <c r="I454">
        <f t="shared" si="23"/>
        <v>1.2604146851843335E-6</v>
      </c>
      <c r="J454">
        <f t="shared" si="24"/>
        <v>1.2604146851843334</v>
      </c>
    </row>
    <row r="455" spans="1:10" x14ac:dyDescent="0.35">
      <c r="A455" t="s">
        <v>6</v>
      </c>
      <c r="B455" s="6">
        <v>44805</v>
      </c>
      <c r="C455" s="3">
        <v>0.41666666666666669</v>
      </c>
      <c r="D455" t="s">
        <v>33</v>
      </c>
      <c r="E455" t="s">
        <v>5</v>
      </c>
      <c r="F455">
        <v>0.91300000000000003</v>
      </c>
      <c r="G455">
        <v>0.94799999999999995</v>
      </c>
      <c r="H455">
        <f t="shared" si="22"/>
        <v>3.8335158817086441E-2</v>
      </c>
      <c r="I455">
        <f t="shared" si="23"/>
        <v>2.1476089087493028E-6</v>
      </c>
      <c r="J455">
        <f t="shared" si="24"/>
        <v>2.1476089087493029</v>
      </c>
    </row>
    <row r="456" spans="1:10" x14ac:dyDescent="0.35">
      <c r="A456" t="s">
        <v>6</v>
      </c>
      <c r="B456" s="6">
        <v>44805</v>
      </c>
      <c r="C456" s="3">
        <v>0.4375</v>
      </c>
      <c r="D456" t="s">
        <v>33</v>
      </c>
      <c r="E456" t="s">
        <v>5</v>
      </c>
      <c r="F456">
        <v>0.90800000000000003</v>
      </c>
      <c r="G456">
        <v>0.94799999999999995</v>
      </c>
      <c r="H456">
        <f t="shared" si="22"/>
        <v>4.405286343612326E-2</v>
      </c>
      <c r="I456">
        <f t="shared" si="23"/>
        <v>2.5484676859120222E-6</v>
      </c>
      <c r="J456">
        <f t="shared" si="24"/>
        <v>2.5484676859120223</v>
      </c>
    </row>
    <row r="457" spans="1:10" x14ac:dyDescent="0.35">
      <c r="A457" t="s">
        <v>6</v>
      </c>
      <c r="B457" s="6">
        <v>44805</v>
      </c>
      <c r="C457" s="3">
        <v>0.45833333333333331</v>
      </c>
      <c r="D457" t="s">
        <v>33</v>
      </c>
      <c r="E457" t="s">
        <v>5</v>
      </c>
      <c r="F457">
        <v>0.89700000000000002</v>
      </c>
      <c r="G457">
        <v>0.94799999999999995</v>
      </c>
      <c r="H457">
        <f t="shared" si="22"/>
        <v>5.6856187290969827E-2</v>
      </c>
      <c r="I457">
        <f t="shared" si="23"/>
        <v>3.4888182927138195E-6</v>
      </c>
      <c r="J457">
        <f t="shared" si="24"/>
        <v>3.4888182927138196</v>
      </c>
    </row>
    <row r="458" spans="1:10" x14ac:dyDescent="0.35">
      <c r="A458" t="s">
        <v>6</v>
      </c>
      <c r="B458" s="6">
        <v>44805</v>
      </c>
      <c r="C458" s="3">
        <v>0.47916666666666669</v>
      </c>
      <c r="D458" t="s">
        <v>33</v>
      </c>
      <c r="E458" t="s">
        <v>5</v>
      </c>
      <c r="F458">
        <v>0.89200000000000002</v>
      </c>
      <c r="G458">
        <v>0.94799999999999995</v>
      </c>
      <c r="H458">
        <f t="shared" si="22"/>
        <v>6.2780269058295896E-2</v>
      </c>
      <c r="I458">
        <f t="shared" si="23"/>
        <v>3.9415522397364627E-6</v>
      </c>
      <c r="J458">
        <f t="shared" si="24"/>
        <v>3.9415522397364628</v>
      </c>
    </row>
    <row r="459" spans="1:10" x14ac:dyDescent="0.35">
      <c r="A459" t="s">
        <v>6</v>
      </c>
      <c r="B459" s="6">
        <v>44805</v>
      </c>
      <c r="C459" s="3">
        <v>0.5</v>
      </c>
      <c r="D459" t="s">
        <v>33</v>
      </c>
      <c r="E459" t="s">
        <v>5</v>
      </c>
      <c r="F459">
        <v>0.88500000000000001</v>
      </c>
      <c r="G459">
        <v>0.94799999999999995</v>
      </c>
      <c r="H459">
        <f t="shared" si="22"/>
        <v>7.1186440677966034E-2</v>
      </c>
      <c r="I459">
        <f t="shared" si="23"/>
        <v>4.6009552744550039E-6</v>
      </c>
      <c r="J459">
        <f t="shared" si="24"/>
        <v>4.6009552744550035</v>
      </c>
    </row>
    <row r="460" spans="1:10" x14ac:dyDescent="0.35">
      <c r="A460" t="s">
        <v>6</v>
      </c>
      <c r="B460" s="6">
        <v>44805</v>
      </c>
      <c r="C460" s="3">
        <v>0.58333333333333337</v>
      </c>
      <c r="D460" t="s">
        <v>33</v>
      </c>
      <c r="E460" t="s">
        <v>5</v>
      </c>
      <c r="F460">
        <v>0.86499999999999999</v>
      </c>
      <c r="G460">
        <v>0.94799999999999995</v>
      </c>
      <c r="H460">
        <f t="shared" si="22"/>
        <v>9.5953757225433478E-2</v>
      </c>
      <c r="I460">
        <f t="shared" si="23"/>
        <v>6.6445452723657543E-6</v>
      </c>
      <c r="J460">
        <f t="shared" si="24"/>
        <v>6.6445452723657539</v>
      </c>
    </row>
    <row r="461" spans="1:10" x14ac:dyDescent="0.35">
      <c r="A461" t="s">
        <v>6</v>
      </c>
      <c r="B461" s="6">
        <v>44805</v>
      </c>
      <c r="C461" s="3">
        <v>0.60416666666666663</v>
      </c>
      <c r="D461" t="s">
        <v>33</v>
      </c>
      <c r="E461" t="s">
        <v>5</v>
      </c>
      <c r="F461">
        <v>0.875</v>
      </c>
      <c r="G461">
        <v>0.94799999999999995</v>
      </c>
      <c r="H461">
        <f t="shared" si="22"/>
        <v>8.342857142857138E-2</v>
      </c>
      <c r="I461">
        <f t="shared" si="23"/>
        <v>5.5935237822372624E-6</v>
      </c>
      <c r="J461">
        <f t="shared" si="24"/>
        <v>5.5935237822372628</v>
      </c>
    </row>
    <row r="462" spans="1:10" x14ac:dyDescent="0.35">
      <c r="A462" t="s">
        <v>6</v>
      </c>
      <c r="B462" s="6">
        <v>44805</v>
      </c>
      <c r="C462" s="3">
        <v>0.625</v>
      </c>
      <c r="D462" t="s">
        <v>33</v>
      </c>
      <c r="E462" t="s">
        <v>5</v>
      </c>
      <c r="F462">
        <v>0.877</v>
      </c>
      <c r="G462">
        <v>0.94799999999999995</v>
      </c>
      <c r="H462">
        <f t="shared" si="22"/>
        <v>8.0957810718357989E-2</v>
      </c>
      <c r="I462">
        <f t="shared" si="23"/>
        <v>5.3903068572212548E-6</v>
      </c>
      <c r="J462">
        <f t="shared" si="24"/>
        <v>5.3903068572212547</v>
      </c>
    </row>
    <row r="463" spans="1:10" x14ac:dyDescent="0.35">
      <c r="A463" t="s">
        <v>6</v>
      </c>
      <c r="B463" s="6">
        <v>44805</v>
      </c>
      <c r="C463" s="3">
        <v>0.64583333333333337</v>
      </c>
      <c r="D463" t="s">
        <v>33</v>
      </c>
      <c r="E463" t="s">
        <v>5</v>
      </c>
      <c r="F463">
        <v>0.87</v>
      </c>
      <c r="G463">
        <v>0.94799999999999995</v>
      </c>
      <c r="H463">
        <f t="shared" si="22"/>
        <v>8.9655172413793061E-2</v>
      </c>
      <c r="I463">
        <f t="shared" si="23"/>
        <v>6.1117730250875971E-6</v>
      </c>
      <c r="J463">
        <f t="shared" si="24"/>
        <v>6.1117730250875972</v>
      </c>
    </row>
    <row r="464" spans="1:10" x14ac:dyDescent="0.35">
      <c r="A464" t="s">
        <v>6</v>
      </c>
      <c r="B464" s="6">
        <v>44805</v>
      </c>
      <c r="C464" s="3">
        <v>0.66666666666666663</v>
      </c>
      <c r="D464" t="s">
        <v>33</v>
      </c>
      <c r="E464" t="s">
        <v>5</v>
      </c>
      <c r="F464">
        <v>0.86699999999999999</v>
      </c>
      <c r="G464">
        <v>0.94799999999999995</v>
      </c>
      <c r="H464">
        <f t="shared" si="22"/>
        <v>9.342560553633214E-2</v>
      </c>
      <c r="I464">
        <f t="shared" si="23"/>
        <v>6.4296970502727011E-6</v>
      </c>
      <c r="J464">
        <f t="shared" si="24"/>
        <v>6.4296970502727016</v>
      </c>
    </row>
    <row r="465" spans="1:10" x14ac:dyDescent="0.35">
      <c r="A465" t="s">
        <v>6</v>
      </c>
      <c r="B465" s="6">
        <v>44805</v>
      </c>
      <c r="C465" s="3">
        <v>0.6875</v>
      </c>
      <c r="D465" t="s">
        <v>33</v>
      </c>
      <c r="E465" t="s">
        <v>5</v>
      </c>
      <c r="F465">
        <v>0.872</v>
      </c>
      <c r="G465">
        <v>0.94799999999999995</v>
      </c>
      <c r="H465">
        <f t="shared" si="22"/>
        <v>8.7155963302752243E-2</v>
      </c>
      <c r="I465">
        <f t="shared" si="23"/>
        <v>5.9027270392745511E-6</v>
      </c>
      <c r="J465">
        <f t="shared" si="24"/>
        <v>5.9027270392745512</v>
      </c>
    </row>
    <row r="466" spans="1:10" x14ac:dyDescent="0.35">
      <c r="A466" t="s">
        <v>6</v>
      </c>
      <c r="B466" s="6">
        <v>44805</v>
      </c>
      <c r="C466" s="3">
        <v>0.70833333333333337</v>
      </c>
      <c r="D466" t="s">
        <v>33</v>
      </c>
      <c r="E466" t="s">
        <v>5</v>
      </c>
      <c r="F466">
        <v>0.88</v>
      </c>
      <c r="G466">
        <v>0.94799999999999995</v>
      </c>
      <c r="H466">
        <f t="shared" si="22"/>
        <v>7.7272727272727215E-2</v>
      </c>
      <c r="I466">
        <f t="shared" si="23"/>
        <v>5.0898767192627023E-6</v>
      </c>
      <c r="J466">
        <f t="shared" si="24"/>
        <v>5.0898767192627021</v>
      </c>
    </row>
    <row r="467" spans="1:10" x14ac:dyDescent="0.35">
      <c r="A467" t="s">
        <v>6</v>
      </c>
      <c r="B467" s="6">
        <v>44806</v>
      </c>
      <c r="C467" s="3">
        <v>0</v>
      </c>
      <c r="D467" t="s">
        <v>23</v>
      </c>
      <c r="E467" t="s">
        <v>35</v>
      </c>
      <c r="F467">
        <v>0.69599999999999995</v>
      </c>
      <c r="G467">
        <f>MAX(F467:F493)</f>
        <v>0.73</v>
      </c>
      <c r="H467">
        <f t="shared" si="22"/>
        <v>4.8850574712643723E-2</v>
      </c>
      <c r="I467">
        <f t="shared" si="23"/>
        <v>2.8943132601360307E-6</v>
      </c>
      <c r="J467">
        <f t="shared" si="24"/>
        <v>2.8943132601360309</v>
      </c>
    </row>
    <row r="468" spans="1:10" x14ac:dyDescent="0.35">
      <c r="A468" t="s">
        <v>6</v>
      </c>
      <c r="B468" s="6">
        <v>44806</v>
      </c>
      <c r="C468" s="3">
        <v>2.0833333333333332E-2</v>
      </c>
      <c r="D468" t="s">
        <v>23</v>
      </c>
      <c r="E468" t="s">
        <v>35</v>
      </c>
      <c r="F468">
        <v>0.70399999999999996</v>
      </c>
      <c r="G468">
        <v>0.73</v>
      </c>
      <c r="H468">
        <f t="shared" si="22"/>
        <v>3.6931818181818218E-2</v>
      </c>
      <c r="I468">
        <f t="shared" si="23"/>
        <v>2.0512434597295649E-6</v>
      </c>
      <c r="J468">
        <f t="shared" si="24"/>
        <v>2.051243459729565</v>
      </c>
    </row>
    <row r="469" spans="1:10" x14ac:dyDescent="0.35">
      <c r="A469" t="s">
        <v>6</v>
      </c>
      <c r="B469" s="6">
        <v>44806</v>
      </c>
      <c r="C469" s="3">
        <v>4.1666666666666664E-2</v>
      </c>
      <c r="D469" t="s">
        <v>23</v>
      </c>
      <c r="E469" t="s">
        <v>35</v>
      </c>
      <c r="F469">
        <v>0.71099999999999997</v>
      </c>
      <c r="G469">
        <v>0.73</v>
      </c>
      <c r="H469">
        <f t="shared" si="22"/>
        <v>2.6722925457102698E-2</v>
      </c>
      <c r="I469">
        <f t="shared" si="23"/>
        <v>1.3773400172566998E-6</v>
      </c>
      <c r="J469">
        <f t="shared" si="24"/>
        <v>1.3773400172566999</v>
      </c>
    </row>
    <row r="470" spans="1:10" x14ac:dyDescent="0.35">
      <c r="A470" t="s">
        <v>6</v>
      </c>
      <c r="B470" s="6">
        <v>44806</v>
      </c>
      <c r="C470" s="3">
        <v>6.25E-2</v>
      </c>
      <c r="D470" t="s">
        <v>23</v>
      </c>
      <c r="E470" t="s">
        <v>35</v>
      </c>
      <c r="F470">
        <v>0.71599999999999997</v>
      </c>
      <c r="G470">
        <v>0.73</v>
      </c>
      <c r="H470">
        <f t="shared" si="22"/>
        <v>1.9553072625698342E-2</v>
      </c>
      <c r="I470">
        <f t="shared" si="23"/>
        <v>9.3763247949417523E-7</v>
      </c>
      <c r="J470">
        <f t="shared" si="24"/>
        <v>0.93763247949417527</v>
      </c>
    </row>
    <row r="471" spans="1:10" x14ac:dyDescent="0.35">
      <c r="A471" t="s">
        <v>6</v>
      </c>
      <c r="B471" s="6">
        <v>44806</v>
      </c>
      <c r="C471" s="3">
        <v>8.3333333333333329E-2</v>
      </c>
      <c r="D471" t="s">
        <v>23</v>
      </c>
      <c r="E471" t="s">
        <v>35</v>
      </c>
      <c r="F471">
        <v>0.72</v>
      </c>
      <c r="G471">
        <v>0.73</v>
      </c>
      <c r="H471">
        <f t="shared" si="22"/>
        <v>1.3888888888888902E-2</v>
      </c>
      <c r="I471">
        <f t="shared" si="23"/>
        <v>6.1541865717812096E-7</v>
      </c>
      <c r="J471">
        <f t="shared" si="24"/>
        <v>0.61541865717812094</v>
      </c>
    </row>
    <row r="472" spans="1:10" x14ac:dyDescent="0.35">
      <c r="A472" t="s">
        <v>6</v>
      </c>
      <c r="B472" s="6">
        <v>44806</v>
      </c>
      <c r="C472" s="3">
        <v>0.10416666666666667</v>
      </c>
      <c r="D472" t="s">
        <v>23</v>
      </c>
      <c r="E472" t="s">
        <v>35</v>
      </c>
      <c r="F472">
        <v>0.72299999999999998</v>
      </c>
      <c r="G472">
        <v>0.73</v>
      </c>
      <c r="H472">
        <f t="shared" si="22"/>
        <v>9.681881051175666E-3</v>
      </c>
      <c r="I472">
        <f t="shared" si="23"/>
        <v>3.9469661760699685E-7</v>
      </c>
      <c r="J472">
        <f t="shared" si="24"/>
        <v>0.39469661760699687</v>
      </c>
    </row>
    <row r="473" spans="1:10" x14ac:dyDescent="0.35">
      <c r="A473" t="s">
        <v>6</v>
      </c>
      <c r="B473" s="6">
        <v>44806</v>
      </c>
      <c r="C473" s="3">
        <v>0.125</v>
      </c>
      <c r="D473" t="s">
        <v>23</v>
      </c>
      <c r="E473" t="s">
        <v>35</v>
      </c>
      <c r="F473">
        <v>0.72499999999999998</v>
      </c>
      <c r="G473">
        <v>0.73</v>
      </c>
      <c r="H473">
        <f t="shared" si="22"/>
        <v>6.896551724137937E-3</v>
      </c>
      <c r="I473">
        <f t="shared" si="23"/>
        <v>2.599578584967607E-7</v>
      </c>
      <c r="J473">
        <f t="shared" si="24"/>
        <v>0.25995785849676067</v>
      </c>
    </row>
    <row r="474" spans="1:10" x14ac:dyDescent="0.35">
      <c r="A474" t="s">
        <v>6</v>
      </c>
      <c r="B474" s="6">
        <v>44806</v>
      </c>
      <c r="C474" s="3">
        <v>0.14583333333333334</v>
      </c>
      <c r="D474" t="s">
        <v>23</v>
      </c>
      <c r="E474" t="s">
        <v>35</v>
      </c>
      <c r="F474">
        <v>0.72599999999999998</v>
      </c>
      <c r="G474">
        <v>0.73</v>
      </c>
      <c r="H474">
        <f t="shared" si="22"/>
        <v>5.5096418732782423E-3</v>
      </c>
      <c r="I474">
        <f t="shared" si="23"/>
        <v>1.9718316382502315E-7</v>
      </c>
      <c r="J474">
        <f t="shared" si="24"/>
        <v>0.19718316382502316</v>
      </c>
    </row>
    <row r="475" spans="1:10" x14ac:dyDescent="0.35">
      <c r="A475" t="s">
        <v>6</v>
      </c>
      <c r="B475" s="6">
        <v>44806</v>
      </c>
      <c r="C475" s="3">
        <v>0.16666666666666666</v>
      </c>
      <c r="D475" t="s">
        <v>23</v>
      </c>
      <c r="E475" t="s">
        <v>35</v>
      </c>
      <c r="F475">
        <v>0.72799999999999998</v>
      </c>
      <c r="G475">
        <v>0.73</v>
      </c>
      <c r="H475">
        <f t="shared" si="22"/>
        <v>2.7472527472527496E-3</v>
      </c>
      <c r="I475">
        <f t="shared" si="23"/>
        <v>8.3720373681289935E-8</v>
      </c>
      <c r="J475">
        <f t="shared" si="24"/>
        <v>8.3720373681289942E-2</v>
      </c>
    </row>
    <row r="476" spans="1:10" x14ac:dyDescent="0.35">
      <c r="A476" t="s">
        <v>6</v>
      </c>
      <c r="B476" s="6">
        <v>44806</v>
      </c>
      <c r="C476" s="3">
        <v>0.1875</v>
      </c>
      <c r="D476" t="s">
        <v>23</v>
      </c>
      <c r="E476" t="s">
        <v>35</v>
      </c>
      <c r="F476">
        <v>0.72799999999999998</v>
      </c>
      <c r="G476">
        <v>0.73</v>
      </c>
      <c r="H476">
        <f t="shared" si="22"/>
        <v>2.7472527472527496E-3</v>
      </c>
      <c r="I476">
        <f t="shared" si="23"/>
        <v>8.3720373681289935E-8</v>
      </c>
      <c r="J476">
        <f t="shared" si="24"/>
        <v>8.3720373681289942E-2</v>
      </c>
    </row>
    <row r="477" spans="1:10" x14ac:dyDescent="0.35">
      <c r="A477" t="s">
        <v>6</v>
      </c>
      <c r="B477" s="6">
        <v>44806</v>
      </c>
      <c r="C477" s="3">
        <v>0.20833333333333334</v>
      </c>
      <c r="D477" t="s">
        <v>23</v>
      </c>
      <c r="E477" t="s">
        <v>35</v>
      </c>
      <c r="F477">
        <v>0.72799999999999998</v>
      </c>
      <c r="G477">
        <v>0.73</v>
      </c>
      <c r="H477">
        <f t="shared" si="22"/>
        <v>2.7472527472527496E-3</v>
      </c>
      <c r="I477">
        <f t="shared" si="23"/>
        <v>8.3720373681289935E-8</v>
      </c>
      <c r="J477">
        <f t="shared" si="24"/>
        <v>8.3720373681289942E-2</v>
      </c>
    </row>
    <row r="478" spans="1:10" x14ac:dyDescent="0.35">
      <c r="A478" t="s">
        <v>6</v>
      </c>
      <c r="B478" s="6">
        <v>44806</v>
      </c>
      <c r="C478" s="3">
        <v>0.22916666666666666</v>
      </c>
      <c r="D478" t="s">
        <v>23</v>
      </c>
      <c r="E478" t="s">
        <v>35</v>
      </c>
      <c r="F478">
        <v>0.72699999999999998</v>
      </c>
      <c r="G478">
        <v>0.73</v>
      </c>
      <c r="H478">
        <f t="shared" si="22"/>
        <v>4.1265474552957399E-3</v>
      </c>
      <c r="I478">
        <f t="shared" si="23"/>
        <v>1.3814474407698539E-7</v>
      </c>
      <c r="J478">
        <f t="shared" si="24"/>
        <v>0.1381447440769854</v>
      </c>
    </row>
    <row r="479" spans="1:10" x14ac:dyDescent="0.35">
      <c r="A479" t="s">
        <v>6</v>
      </c>
      <c r="B479" s="6">
        <v>44806</v>
      </c>
      <c r="C479" s="3">
        <v>0.33333333333333331</v>
      </c>
      <c r="D479" t="s">
        <v>23</v>
      </c>
      <c r="E479" t="s">
        <v>35</v>
      </c>
      <c r="F479">
        <v>0.73</v>
      </c>
      <c r="G479">
        <v>0.73</v>
      </c>
      <c r="H479">
        <f t="shared" si="22"/>
        <v>0</v>
      </c>
      <c r="I479">
        <f t="shared" si="23"/>
        <v>0</v>
      </c>
      <c r="J479">
        <f t="shared" si="24"/>
        <v>0</v>
      </c>
    </row>
    <row r="480" spans="1:10" x14ac:dyDescent="0.35">
      <c r="A480" t="s">
        <v>6</v>
      </c>
      <c r="B480" s="6">
        <v>44806</v>
      </c>
      <c r="C480" s="3">
        <v>0.35416666666666669</v>
      </c>
      <c r="D480" t="s">
        <v>23</v>
      </c>
      <c r="E480" t="s">
        <v>35</v>
      </c>
      <c r="F480">
        <v>0.71</v>
      </c>
      <c r="G480">
        <v>0.73</v>
      </c>
      <c r="H480">
        <f t="shared" si="22"/>
        <v>2.8169014084507067E-2</v>
      </c>
      <c r="I480">
        <f t="shared" si="23"/>
        <v>1.4696565642645615E-6</v>
      </c>
      <c r="J480">
        <f t="shared" si="24"/>
        <v>1.4696565642645616</v>
      </c>
    </row>
    <row r="481" spans="1:10" x14ac:dyDescent="0.35">
      <c r="A481" t="s">
        <v>6</v>
      </c>
      <c r="B481" s="6">
        <v>44806</v>
      </c>
      <c r="C481" s="3">
        <v>0.375</v>
      </c>
      <c r="D481" t="s">
        <v>23</v>
      </c>
      <c r="E481" t="s">
        <v>35</v>
      </c>
      <c r="F481">
        <v>0.65600000000000003</v>
      </c>
      <c r="G481">
        <v>0.73</v>
      </c>
      <c r="H481">
        <f t="shared" si="22"/>
        <v>0.11280487804878041</v>
      </c>
      <c r="I481">
        <f t="shared" si="23"/>
        <v>8.1089119018152686E-6</v>
      </c>
      <c r="J481">
        <f t="shared" si="24"/>
        <v>8.1089119018152687</v>
      </c>
    </row>
    <row r="482" spans="1:10" x14ac:dyDescent="0.35">
      <c r="A482" t="s">
        <v>6</v>
      </c>
      <c r="B482" s="6">
        <v>44806</v>
      </c>
      <c r="C482" s="3">
        <v>0.39583333333333331</v>
      </c>
      <c r="D482" t="s">
        <v>23</v>
      </c>
      <c r="E482" t="s">
        <v>35</v>
      </c>
      <c r="F482">
        <v>0.59799999999999998</v>
      </c>
      <c r="G482">
        <v>0.73</v>
      </c>
      <c r="H482">
        <f t="shared" si="22"/>
        <v>0.22073578595317728</v>
      </c>
      <c r="I482">
        <f t="shared" si="23"/>
        <v>1.8529099489913918E-5</v>
      </c>
      <c r="J482">
        <f t="shared" si="24"/>
        <v>18.529099489913918</v>
      </c>
    </row>
    <row r="483" spans="1:10" x14ac:dyDescent="0.35">
      <c r="A483" t="s">
        <v>6</v>
      </c>
      <c r="B483" s="6">
        <v>44806</v>
      </c>
      <c r="C483" s="3">
        <v>0.41666666666666669</v>
      </c>
      <c r="D483" t="s">
        <v>23</v>
      </c>
      <c r="E483" t="s">
        <v>35</v>
      </c>
      <c r="F483">
        <v>0.57299999999999995</v>
      </c>
      <c r="G483">
        <v>0.73</v>
      </c>
      <c r="H483">
        <f t="shared" si="22"/>
        <v>0.27399650959860389</v>
      </c>
      <c r="I483">
        <f t="shared" si="23"/>
        <v>2.4177483404822857E-5</v>
      </c>
      <c r="J483">
        <f t="shared" si="24"/>
        <v>24.177483404822855</v>
      </c>
    </row>
    <row r="484" spans="1:10" x14ac:dyDescent="0.35">
      <c r="A484" t="s">
        <v>6</v>
      </c>
      <c r="B484" s="6">
        <v>44806</v>
      </c>
      <c r="C484" s="3">
        <v>0.4375</v>
      </c>
      <c r="D484" t="s">
        <v>23</v>
      </c>
      <c r="E484" t="s">
        <v>35</v>
      </c>
      <c r="F484">
        <v>0.57699999999999996</v>
      </c>
      <c r="G484">
        <v>0.73</v>
      </c>
      <c r="H484">
        <f t="shared" si="22"/>
        <v>0.26516464471403817</v>
      </c>
      <c r="I484">
        <f t="shared" si="23"/>
        <v>2.3221736177966677E-5</v>
      </c>
      <c r="J484">
        <f t="shared" si="24"/>
        <v>23.221736177966676</v>
      </c>
    </row>
    <row r="485" spans="1:10" x14ac:dyDescent="0.35">
      <c r="A485" t="s">
        <v>6</v>
      </c>
      <c r="B485" s="6">
        <v>44806</v>
      </c>
      <c r="C485" s="3">
        <v>0.45833333333333331</v>
      </c>
      <c r="D485" t="s">
        <v>23</v>
      </c>
      <c r="E485" t="s">
        <v>35</v>
      </c>
      <c r="F485">
        <v>0.58399999999999996</v>
      </c>
      <c r="G485">
        <v>0.73</v>
      </c>
      <c r="H485">
        <f t="shared" si="22"/>
        <v>0.25000000000000006</v>
      </c>
      <c r="I485">
        <f t="shared" si="23"/>
        <v>2.1597879413570434E-5</v>
      </c>
      <c r="J485">
        <f t="shared" si="24"/>
        <v>21.597879413570436</v>
      </c>
    </row>
    <row r="486" spans="1:10" x14ac:dyDescent="0.35">
      <c r="A486" t="s">
        <v>6</v>
      </c>
      <c r="B486" s="6">
        <v>44806</v>
      </c>
      <c r="C486" s="3">
        <v>0.47916666666666669</v>
      </c>
      <c r="D486" t="s">
        <v>23</v>
      </c>
      <c r="E486" t="s">
        <v>35</v>
      </c>
      <c r="F486">
        <v>0.58599999999999997</v>
      </c>
      <c r="G486">
        <v>0.73</v>
      </c>
      <c r="H486">
        <f t="shared" si="22"/>
        <v>0.24573378839590448</v>
      </c>
      <c r="I486">
        <f t="shared" si="23"/>
        <v>2.1145074705328829E-5</v>
      </c>
      <c r="J486">
        <f t="shared" si="24"/>
        <v>21.145074705328827</v>
      </c>
    </row>
    <row r="487" spans="1:10" x14ac:dyDescent="0.35">
      <c r="A487" t="s">
        <v>6</v>
      </c>
      <c r="B487" s="6">
        <v>44806</v>
      </c>
      <c r="C487" s="3">
        <v>0.5625</v>
      </c>
      <c r="D487" t="s">
        <v>23</v>
      </c>
      <c r="E487" t="s">
        <v>35</v>
      </c>
      <c r="F487">
        <v>0.58099999999999996</v>
      </c>
      <c r="G487">
        <v>0.73</v>
      </c>
      <c r="H487">
        <f t="shared" si="22"/>
        <v>0.25645438898450951</v>
      </c>
      <c r="I487">
        <f t="shared" si="23"/>
        <v>2.228632393874279E-5</v>
      </c>
      <c r="J487">
        <f t="shared" si="24"/>
        <v>22.28632393874279</v>
      </c>
    </row>
    <row r="488" spans="1:10" x14ac:dyDescent="0.35">
      <c r="A488" t="s">
        <v>6</v>
      </c>
      <c r="B488" s="6">
        <v>44806</v>
      </c>
      <c r="C488" s="3">
        <v>0.58333333333333337</v>
      </c>
      <c r="D488" t="s">
        <v>23</v>
      </c>
      <c r="E488" t="s">
        <v>35</v>
      </c>
      <c r="F488">
        <v>0.58699999999999997</v>
      </c>
      <c r="G488">
        <v>0.73</v>
      </c>
      <c r="H488">
        <f t="shared" si="22"/>
        <v>0.24361158432708693</v>
      </c>
      <c r="I488">
        <f t="shared" si="23"/>
        <v>2.0920502934484575E-5</v>
      </c>
      <c r="J488">
        <f t="shared" si="24"/>
        <v>20.920502934484574</v>
      </c>
    </row>
    <row r="489" spans="1:10" x14ac:dyDescent="0.35">
      <c r="A489" t="s">
        <v>6</v>
      </c>
      <c r="B489" s="6">
        <v>44806</v>
      </c>
      <c r="C489" s="3">
        <v>0.60416666666666663</v>
      </c>
      <c r="D489" t="s">
        <v>23</v>
      </c>
      <c r="E489" t="s">
        <v>35</v>
      </c>
      <c r="F489">
        <v>0.59099999999999997</v>
      </c>
      <c r="G489">
        <v>0.73</v>
      </c>
      <c r="H489">
        <f t="shared" si="22"/>
        <v>0.23519458544839258</v>
      </c>
      <c r="I489">
        <f t="shared" si="23"/>
        <v>2.0034291640645442E-5</v>
      </c>
      <c r="J489">
        <f t="shared" si="24"/>
        <v>20.034291640645442</v>
      </c>
    </row>
    <row r="490" spans="1:10" x14ac:dyDescent="0.35">
      <c r="A490" t="s">
        <v>6</v>
      </c>
      <c r="B490" s="6">
        <v>44806</v>
      </c>
      <c r="C490" s="3">
        <v>0.625</v>
      </c>
      <c r="D490" t="s">
        <v>23</v>
      </c>
      <c r="E490" t="s">
        <v>35</v>
      </c>
      <c r="F490">
        <v>0.60399999999999998</v>
      </c>
      <c r="G490">
        <v>0.73</v>
      </c>
      <c r="H490">
        <f t="shared" si="22"/>
        <v>0.20860927152317882</v>
      </c>
      <c r="I490">
        <f t="shared" si="23"/>
        <v>1.7284094454576067E-5</v>
      </c>
      <c r="J490">
        <f t="shared" si="24"/>
        <v>17.284094454576067</v>
      </c>
    </row>
    <row r="491" spans="1:10" x14ac:dyDescent="0.35">
      <c r="A491" t="s">
        <v>6</v>
      </c>
      <c r="B491" s="6">
        <v>44806</v>
      </c>
      <c r="C491" s="3">
        <v>0.64583333333333337</v>
      </c>
      <c r="D491" t="s">
        <v>23</v>
      </c>
      <c r="E491" t="s">
        <v>35</v>
      </c>
      <c r="F491">
        <v>0.622</v>
      </c>
      <c r="G491">
        <v>0.73</v>
      </c>
      <c r="H491">
        <f t="shared" si="22"/>
        <v>0.17363344051446944</v>
      </c>
      <c r="I491">
        <f t="shared" si="23"/>
        <v>1.3789091099810207E-5</v>
      </c>
      <c r="J491">
        <f t="shared" si="24"/>
        <v>13.789091099810207</v>
      </c>
    </row>
    <row r="492" spans="1:10" x14ac:dyDescent="0.35">
      <c r="A492" t="s">
        <v>6</v>
      </c>
      <c r="B492" s="6">
        <v>44806</v>
      </c>
      <c r="C492" s="3">
        <v>0.66666666666666663</v>
      </c>
      <c r="D492" t="s">
        <v>23</v>
      </c>
      <c r="E492" t="s">
        <v>35</v>
      </c>
      <c r="F492">
        <v>0.64200000000000002</v>
      </c>
      <c r="G492">
        <v>0.73</v>
      </c>
      <c r="H492">
        <f t="shared" si="22"/>
        <v>0.13707165109034261</v>
      </c>
      <c r="I492">
        <f t="shared" si="23"/>
        <v>1.0306934384168911E-5</v>
      </c>
      <c r="J492">
        <f t="shared" si="24"/>
        <v>10.30693438416891</v>
      </c>
    </row>
    <row r="493" spans="1:10" x14ac:dyDescent="0.35">
      <c r="A493" t="s">
        <v>6</v>
      </c>
      <c r="B493" s="6">
        <v>44806</v>
      </c>
      <c r="C493" s="3">
        <v>0</v>
      </c>
      <c r="D493" t="s">
        <v>20</v>
      </c>
      <c r="E493" t="s">
        <v>16</v>
      </c>
      <c r="F493">
        <v>0.6</v>
      </c>
      <c r="G493">
        <f>MAX(F493:F519)</f>
        <v>0.82399999999999995</v>
      </c>
      <c r="H493">
        <f t="shared" si="22"/>
        <v>0.37333333333333329</v>
      </c>
      <c r="I493">
        <f t="shared" si="23"/>
        <v>3.5383279476149718E-5</v>
      </c>
      <c r="J493">
        <f t="shared" si="24"/>
        <v>35.383279476149717</v>
      </c>
    </row>
    <row r="494" spans="1:10" x14ac:dyDescent="0.35">
      <c r="A494" t="s">
        <v>6</v>
      </c>
      <c r="B494" s="6">
        <v>44806</v>
      </c>
      <c r="C494" s="3">
        <v>2.0833333333333332E-2</v>
      </c>
      <c r="D494" t="s">
        <v>20</v>
      </c>
      <c r="E494" t="s">
        <v>16</v>
      </c>
      <c r="F494">
        <v>0.60099999999999998</v>
      </c>
      <c r="G494">
        <v>0.82399999999999995</v>
      </c>
      <c r="H494">
        <f t="shared" si="22"/>
        <v>0.37104825291181359</v>
      </c>
      <c r="I494">
        <f t="shared" si="23"/>
        <v>3.5116867807924405E-5</v>
      </c>
      <c r="J494">
        <f t="shared" si="24"/>
        <v>35.116867807924407</v>
      </c>
    </row>
    <row r="495" spans="1:10" x14ac:dyDescent="0.35">
      <c r="A495" t="s">
        <v>6</v>
      </c>
      <c r="B495" s="6">
        <v>44806</v>
      </c>
      <c r="C495" s="3">
        <v>4.1666666666666664E-2</v>
      </c>
      <c r="D495" t="s">
        <v>20</v>
      </c>
      <c r="E495" t="s">
        <v>16</v>
      </c>
      <c r="F495">
        <v>0.60399999999999998</v>
      </c>
      <c r="G495">
        <v>0.82399999999999995</v>
      </c>
      <c r="H495">
        <f t="shared" si="22"/>
        <v>0.36423841059602646</v>
      </c>
      <c r="I495">
        <f t="shared" si="23"/>
        <v>3.4325178949031104E-5</v>
      </c>
      <c r="J495">
        <f t="shared" si="24"/>
        <v>34.325178949031105</v>
      </c>
    </row>
    <row r="496" spans="1:10" x14ac:dyDescent="0.35">
      <c r="A496" t="s">
        <v>6</v>
      </c>
      <c r="B496" s="6">
        <v>44806</v>
      </c>
      <c r="C496" s="3">
        <v>6.25E-2</v>
      </c>
      <c r="D496" t="s">
        <v>20</v>
      </c>
      <c r="E496" t="s">
        <v>16</v>
      </c>
      <c r="F496">
        <v>0.60699999999999998</v>
      </c>
      <c r="G496">
        <v>0.82399999999999995</v>
      </c>
      <c r="H496">
        <f t="shared" si="22"/>
        <v>0.35749588138385496</v>
      </c>
      <c r="I496">
        <f t="shared" si="23"/>
        <v>3.3544677047427416E-5</v>
      </c>
      <c r="J496">
        <f t="shared" si="24"/>
        <v>33.544677047427413</v>
      </c>
    </row>
    <row r="497" spans="1:10" x14ac:dyDescent="0.35">
      <c r="A497" t="s">
        <v>6</v>
      </c>
      <c r="B497" s="6">
        <v>44806</v>
      </c>
      <c r="C497" s="3">
        <v>8.3333333333333329E-2</v>
      </c>
      <c r="D497" t="s">
        <v>20</v>
      </c>
      <c r="E497" t="s">
        <v>16</v>
      </c>
      <c r="F497">
        <v>0.60899999999999999</v>
      </c>
      <c r="G497">
        <v>0.82399999999999995</v>
      </c>
      <c r="H497">
        <f t="shared" si="22"/>
        <v>0.35303776683087024</v>
      </c>
      <c r="I497">
        <f t="shared" si="23"/>
        <v>3.3030474934620291E-5</v>
      </c>
      <c r="J497">
        <f t="shared" si="24"/>
        <v>33.030474934620294</v>
      </c>
    </row>
    <row r="498" spans="1:10" x14ac:dyDescent="0.35">
      <c r="A498" t="s">
        <v>6</v>
      </c>
      <c r="B498" s="6">
        <v>44806</v>
      </c>
      <c r="C498" s="3">
        <v>0.10416666666666667</v>
      </c>
      <c r="D498" t="s">
        <v>20</v>
      </c>
      <c r="E498" t="s">
        <v>16</v>
      </c>
      <c r="F498">
        <v>0.61199999999999999</v>
      </c>
      <c r="G498">
        <v>0.82399999999999995</v>
      </c>
      <c r="H498">
        <f t="shared" si="22"/>
        <v>0.34640522875816987</v>
      </c>
      <c r="I498">
        <f t="shared" si="23"/>
        <v>3.2268249445039436E-5</v>
      </c>
      <c r="J498">
        <f t="shared" si="24"/>
        <v>32.268249445039437</v>
      </c>
    </row>
    <row r="499" spans="1:10" x14ac:dyDescent="0.35">
      <c r="A499" t="s">
        <v>6</v>
      </c>
      <c r="B499" s="6">
        <v>44806</v>
      </c>
      <c r="C499" s="3">
        <v>0.125</v>
      </c>
      <c r="D499" t="s">
        <v>20</v>
      </c>
      <c r="E499" t="s">
        <v>16</v>
      </c>
      <c r="F499">
        <v>0.61199999999999999</v>
      </c>
      <c r="G499">
        <v>0.82399999999999995</v>
      </c>
      <c r="H499">
        <f t="shared" si="22"/>
        <v>0.34640522875816987</v>
      </c>
      <c r="I499">
        <f t="shared" si="23"/>
        <v>3.2268249445039436E-5</v>
      </c>
      <c r="J499">
        <f t="shared" si="24"/>
        <v>32.268249445039437</v>
      </c>
    </row>
    <row r="500" spans="1:10" x14ac:dyDescent="0.35">
      <c r="A500" t="s">
        <v>6</v>
      </c>
      <c r="B500" s="6">
        <v>44806</v>
      </c>
      <c r="C500" s="3">
        <v>0.14583333333333334</v>
      </c>
      <c r="D500" t="s">
        <v>20</v>
      </c>
      <c r="E500" t="s">
        <v>16</v>
      </c>
      <c r="F500">
        <v>0.61399999999999999</v>
      </c>
      <c r="G500">
        <v>0.82399999999999995</v>
      </c>
      <c r="H500">
        <f t="shared" si="22"/>
        <v>0.3420195439739413</v>
      </c>
      <c r="I500">
        <f t="shared" si="23"/>
        <v>3.1766081685187159E-5</v>
      </c>
      <c r="J500">
        <f t="shared" si="24"/>
        <v>31.76608168518716</v>
      </c>
    </row>
    <row r="501" spans="1:10" x14ac:dyDescent="0.35">
      <c r="A501" t="s">
        <v>6</v>
      </c>
      <c r="B501" s="6">
        <v>44806</v>
      </c>
      <c r="C501" s="3">
        <v>0.16666666666666666</v>
      </c>
      <c r="D501" t="s">
        <v>20</v>
      </c>
      <c r="E501" t="s">
        <v>16</v>
      </c>
      <c r="F501">
        <v>0.61499999999999999</v>
      </c>
      <c r="G501">
        <v>0.82399999999999995</v>
      </c>
      <c r="H501">
        <f t="shared" si="22"/>
        <v>0.33983739837398369</v>
      </c>
      <c r="I501">
        <f t="shared" si="23"/>
        <v>3.15167750581546E-5</v>
      </c>
      <c r="J501">
        <f t="shared" si="24"/>
        <v>31.5167750581546</v>
      </c>
    </row>
    <row r="502" spans="1:10" x14ac:dyDescent="0.35">
      <c r="A502" t="s">
        <v>6</v>
      </c>
      <c r="B502" s="6">
        <v>44806</v>
      </c>
      <c r="C502" s="3">
        <v>0.1875</v>
      </c>
      <c r="D502" t="s">
        <v>20</v>
      </c>
      <c r="E502" t="s">
        <v>16</v>
      </c>
      <c r="F502">
        <v>0.61599999999999999</v>
      </c>
      <c r="G502">
        <v>0.82399999999999995</v>
      </c>
      <c r="H502">
        <f t="shared" si="22"/>
        <v>0.33766233766233761</v>
      </c>
      <c r="I502">
        <f t="shared" si="23"/>
        <v>3.1268645589431394E-5</v>
      </c>
      <c r="J502">
        <f t="shared" si="24"/>
        <v>31.268645589431394</v>
      </c>
    </row>
    <row r="503" spans="1:10" x14ac:dyDescent="0.35">
      <c r="A503" t="s">
        <v>6</v>
      </c>
      <c r="B503" s="6">
        <v>44806</v>
      </c>
      <c r="C503" s="3">
        <v>0.20833333333333334</v>
      </c>
      <c r="D503" t="s">
        <v>20</v>
      </c>
      <c r="E503" t="s">
        <v>16</v>
      </c>
      <c r="F503">
        <v>0.61599999999999999</v>
      </c>
      <c r="G503">
        <v>0.82399999999999995</v>
      </c>
      <c r="H503">
        <f t="shared" si="22"/>
        <v>0.33766233766233761</v>
      </c>
      <c r="I503">
        <f t="shared" si="23"/>
        <v>3.1268645589431394E-5</v>
      </c>
      <c r="J503">
        <f t="shared" si="24"/>
        <v>31.268645589431394</v>
      </c>
    </row>
    <row r="504" spans="1:10" x14ac:dyDescent="0.35">
      <c r="A504" t="s">
        <v>6</v>
      </c>
      <c r="B504" s="6">
        <v>44806</v>
      </c>
      <c r="C504" s="3">
        <v>0.22916666666666666</v>
      </c>
      <c r="D504" t="s">
        <v>20</v>
      </c>
      <c r="E504" t="s">
        <v>16</v>
      </c>
      <c r="F504">
        <v>0.61499999999999999</v>
      </c>
      <c r="G504">
        <v>0.82399999999999995</v>
      </c>
      <c r="H504">
        <f t="shared" si="22"/>
        <v>0.33983739837398369</v>
      </c>
      <c r="I504">
        <f t="shared" si="23"/>
        <v>3.15167750581546E-5</v>
      </c>
      <c r="J504">
        <f t="shared" si="24"/>
        <v>31.5167750581546</v>
      </c>
    </row>
    <row r="505" spans="1:10" x14ac:dyDescent="0.35">
      <c r="A505" t="s">
        <v>6</v>
      </c>
      <c r="B505" s="6">
        <v>44806</v>
      </c>
      <c r="C505" s="3">
        <v>0.33333333333333331</v>
      </c>
      <c r="D505" t="s">
        <v>20</v>
      </c>
      <c r="E505" t="s">
        <v>16</v>
      </c>
      <c r="F505">
        <v>0.57599999999999996</v>
      </c>
      <c r="G505">
        <v>0.82399999999999995</v>
      </c>
      <c r="H505">
        <f t="shared" si="22"/>
        <v>0.43055555555555558</v>
      </c>
      <c r="I505">
        <f t="shared" si="23"/>
        <v>4.2173233785601918E-5</v>
      </c>
      <c r="J505">
        <f t="shared" si="24"/>
        <v>42.173233785601916</v>
      </c>
    </row>
    <row r="506" spans="1:10" x14ac:dyDescent="0.35">
      <c r="A506" t="s">
        <v>6</v>
      </c>
      <c r="B506" s="6">
        <v>44806</v>
      </c>
      <c r="C506" s="3">
        <v>0.35416666666666669</v>
      </c>
      <c r="D506" t="s">
        <v>20</v>
      </c>
      <c r="E506" t="s">
        <v>16</v>
      </c>
      <c r="F506">
        <v>0.499</v>
      </c>
      <c r="G506">
        <v>0.82399999999999995</v>
      </c>
      <c r="H506">
        <f t="shared" si="22"/>
        <v>0.65130260521042072</v>
      </c>
      <c r="I506">
        <f t="shared" si="23"/>
        <v>7.019620071437412E-5</v>
      </c>
      <c r="J506">
        <f t="shared" si="24"/>
        <v>70.196200714374115</v>
      </c>
    </row>
    <row r="507" spans="1:10" x14ac:dyDescent="0.35">
      <c r="A507" t="s">
        <v>6</v>
      </c>
      <c r="B507" s="6">
        <v>44806</v>
      </c>
      <c r="C507" s="3">
        <v>0.375</v>
      </c>
      <c r="D507" t="s">
        <v>20</v>
      </c>
      <c r="E507" t="s">
        <v>16</v>
      </c>
      <c r="F507">
        <v>0.433</v>
      </c>
      <c r="G507">
        <v>0.82399999999999995</v>
      </c>
      <c r="H507">
        <f t="shared" si="22"/>
        <v>0.9030023094688221</v>
      </c>
      <c r="I507">
        <f t="shared" si="23"/>
        <v>1.0495423062142663E-4</v>
      </c>
      <c r="J507">
        <f t="shared" si="24"/>
        <v>104.95423062142663</v>
      </c>
    </row>
    <row r="508" spans="1:10" x14ac:dyDescent="0.35">
      <c r="A508" t="s">
        <v>6</v>
      </c>
      <c r="B508" s="6">
        <v>44806</v>
      </c>
      <c r="C508" s="3">
        <v>0.39583333333333331</v>
      </c>
      <c r="D508" t="s">
        <v>20</v>
      </c>
      <c r="E508" t="s">
        <v>16</v>
      </c>
      <c r="F508">
        <v>0.42699999999999999</v>
      </c>
      <c r="G508">
        <v>0.82399999999999995</v>
      </c>
      <c r="H508">
        <f t="shared" si="22"/>
        <v>0.92974238875878212</v>
      </c>
      <c r="I508">
        <f t="shared" si="23"/>
        <v>1.0879310229117247E-4</v>
      </c>
      <c r="J508">
        <f t="shared" si="24"/>
        <v>108.79310229117247</v>
      </c>
    </row>
    <row r="509" spans="1:10" x14ac:dyDescent="0.35">
      <c r="A509" t="s">
        <v>6</v>
      </c>
      <c r="B509" s="6">
        <v>44806</v>
      </c>
      <c r="C509" s="3">
        <v>0.41666666666666669</v>
      </c>
      <c r="D509" t="s">
        <v>20</v>
      </c>
      <c r="E509" t="s">
        <v>16</v>
      </c>
      <c r="F509">
        <v>0.41899999999999998</v>
      </c>
      <c r="G509">
        <v>0.82399999999999995</v>
      </c>
      <c r="H509">
        <f t="shared" si="22"/>
        <v>0.96658711217183768</v>
      </c>
      <c r="I509">
        <f t="shared" si="23"/>
        <v>1.1412443295769627E-4</v>
      </c>
      <c r="J509">
        <f t="shared" si="24"/>
        <v>114.12443295769627</v>
      </c>
    </row>
    <row r="510" spans="1:10" x14ac:dyDescent="0.35">
      <c r="A510" t="s">
        <v>6</v>
      </c>
      <c r="B510" s="6">
        <v>44806</v>
      </c>
      <c r="C510" s="3">
        <v>0.4375</v>
      </c>
      <c r="D510" t="s">
        <v>20</v>
      </c>
      <c r="E510" t="s">
        <v>16</v>
      </c>
      <c r="F510">
        <v>0.40699999999999997</v>
      </c>
      <c r="G510">
        <v>0.82399999999999995</v>
      </c>
      <c r="H510">
        <f t="shared" si="22"/>
        <v>1.0245700245700247</v>
      </c>
      <c r="I510">
        <f t="shared" si="23"/>
        <v>1.2260938874429324E-4</v>
      </c>
      <c r="J510">
        <f t="shared" si="24"/>
        <v>122.60938874429324</v>
      </c>
    </row>
    <row r="511" spans="1:10" x14ac:dyDescent="0.35">
      <c r="A511" t="s">
        <v>6</v>
      </c>
      <c r="B511" s="6">
        <v>44806</v>
      </c>
      <c r="C511" s="3">
        <v>0.45833333333333331</v>
      </c>
      <c r="D511" t="s">
        <v>20</v>
      </c>
      <c r="E511" t="s">
        <v>16</v>
      </c>
      <c r="F511">
        <v>0.41599999999999998</v>
      </c>
      <c r="G511">
        <v>0.82399999999999995</v>
      </c>
      <c r="H511">
        <f t="shared" si="22"/>
        <v>0.98076923076923073</v>
      </c>
      <c r="I511">
        <f t="shared" si="23"/>
        <v>1.1618919216007478E-4</v>
      </c>
      <c r="J511">
        <f t="shared" si="24"/>
        <v>116.18919216007478</v>
      </c>
    </row>
    <row r="512" spans="1:10" x14ac:dyDescent="0.35">
      <c r="A512" t="s">
        <v>6</v>
      </c>
      <c r="B512" s="6">
        <v>44806</v>
      </c>
      <c r="C512" s="3">
        <v>0.47916666666666669</v>
      </c>
      <c r="D512" t="s">
        <v>20</v>
      </c>
      <c r="E512" t="s">
        <v>16</v>
      </c>
      <c r="F512">
        <v>0.43</v>
      </c>
      <c r="G512">
        <v>0.82399999999999995</v>
      </c>
      <c r="H512">
        <f t="shared" si="22"/>
        <v>0.91627906976744178</v>
      </c>
      <c r="I512">
        <f t="shared" si="23"/>
        <v>1.0685704044997334E-4</v>
      </c>
      <c r="J512">
        <f t="shared" si="24"/>
        <v>106.85704044997334</v>
      </c>
    </row>
    <row r="513" spans="1:10" x14ac:dyDescent="0.35">
      <c r="A513" t="s">
        <v>6</v>
      </c>
      <c r="B513" s="6">
        <v>44806</v>
      </c>
      <c r="C513" s="3">
        <v>0.5625</v>
      </c>
      <c r="D513" t="s">
        <v>20</v>
      </c>
      <c r="E513" t="s">
        <v>16</v>
      </c>
      <c r="F513">
        <v>0.44800000000000001</v>
      </c>
      <c r="G513">
        <v>0.82399999999999995</v>
      </c>
      <c r="H513">
        <f t="shared" si="22"/>
        <v>0.83928571428571419</v>
      </c>
      <c r="I513">
        <f t="shared" si="23"/>
        <v>9.5913549482029608E-5</v>
      </c>
      <c r="J513">
        <f t="shared" si="24"/>
        <v>95.913549482029609</v>
      </c>
    </row>
    <row r="514" spans="1:10" x14ac:dyDescent="0.35">
      <c r="A514" t="s">
        <v>6</v>
      </c>
      <c r="B514" s="6">
        <v>44806</v>
      </c>
      <c r="C514" s="3">
        <v>0.58333333333333337</v>
      </c>
      <c r="D514" t="s">
        <v>20</v>
      </c>
      <c r="E514" t="s">
        <v>16</v>
      </c>
      <c r="F514">
        <v>0.45200000000000001</v>
      </c>
      <c r="G514">
        <v>0.82399999999999995</v>
      </c>
      <c r="H514">
        <f t="shared" ref="H514:H577" si="25">(G514-F514)/F514</f>
        <v>0.82300884955752196</v>
      </c>
      <c r="I514">
        <f t="shared" si="23"/>
        <v>9.3628896988684832E-5</v>
      </c>
      <c r="J514">
        <f t="shared" si="24"/>
        <v>93.628896988684829</v>
      </c>
    </row>
    <row r="515" spans="1:10" x14ac:dyDescent="0.35">
      <c r="A515" t="s">
        <v>6</v>
      </c>
      <c r="B515" s="6">
        <v>44806</v>
      </c>
      <c r="C515" s="3">
        <v>0.60416666666666663</v>
      </c>
      <c r="D515" t="s">
        <v>20</v>
      </c>
      <c r="E515" t="s">
        <v>16</v>
      </c>
      <c r="F515">
        <v>0.45900000000000002</v>
      </c>
      <c r="G515">
        <v>0.82399999999999995</v>
      </c>
      <c r="H515">
        <f t="shared" si="25"/>
        <v>0.79520697167755972</v>
      </c>
      <c r="I515">
        <f t="shared" ref="I515:I578" si="26">119*10^-6*(H515^1.231)</f>
        <v>8.9750744875915451E-5</v>
      </c>
      <c r="J515">
        <f t="shared" ref="J515:J578" si="27">I515*10^6</f>
        <v>89.750744875915444</v>
      </c>
    </row>
    <row r="516" spans="1:10" x14ac:dyDescent="0.35">
      <c r="A516" t="s">
        <v>6</v>
      </c>
      <c r="B516" s="6">
        <v>44806</v>
      </c>
      <c r="C516" s="3">
        <v>0.625</v>
      </c>
      <c r="D516" t="s">
        <v>20</v>
      </c>
      <c r="E516" t="s">
        <v>16</v>
      </c>
      <c r="F516">
        <v>0.47599999999999998</v>
      </c>
      <c r="G516">
        <v>0.82399999999999995</v>
      </c>
      <c r="H516">
        <f t="shared" si="25"/>
        <v>0.73109243697478987</v>
      </c>
      <c r="I516">
        <f t="shared" si="26"/>
        <v>8.0927635555125976E-5</v>
      </c>
      <c r="J516">
        <f t="shared" si="27"/>
        <v>80.927635555125974</v>
      </c>
    </row>
    <row r="517" spans="1:10" x14ac:dyDescent="0.35">
      <c r="A517" t="s">
        <v>6</v>
      </c>
      <c r="B517" s="6">
        <v>44806</v>
      </c>
      <c r="C517" s="3">
        <v>0.64583333333333337</v>
      </c>
      <c r="D517" t="s">
        <v>20</v>
      </c>
      <c r="E517" t="s">
        <v>16</v>
      </c>
      <c r="F517">
        <v>0.496</v>
      </c>
      <c r="G517">
        <v>0.82399999999999995</v>
      </c>
      <c r="H517">
        <f t="shared" si="25"/>
        <v>0.66129032258064513</v>
      </c>
      <c r="I517">
        <f t="shared" si="26"/>
        <v>7.1523658224889442E-5</v>
      </c>
      <c r="J517">
        <f t="shared" si="27"/>
        <v>71.523658224889445</v>
      </c>
    </row>
    <row r="518" spans="1:10" x14ac:dyDescent="0.35">
      <c r="A518" t="s">
        <v>6</v>
      </c>
      <c r="B518" s="6">
        <v>44806</v>
      </c>
      <c r="C518" s="3">
        <v>0.66666666666666663</v>
      </c>
      <c r="D518" t="s">
        <v>20</v>
      </c>
      <c r="E518" t="s">
        <v>16</v>
      </c>
      <c r="F518">
        <v>0.50800000000000001</v>
      </c>
      <c r="G518">
        <v>0.82399999999999995</v>
      </c>
      <c r="H518">
        <f t="shared" si="25"/>
        <v>0.62204724409448808</v>
      </c>
      <c r="I518">
        <f t="shared" si="26"/>
        <v>6.6335121704871571E-5</v>
      </c>
      <c r="J518">
        <f t="shared" si="27"/>
        <v>66.335121704871568</v>
      </c>
    </row>
    <row r="519" spans="1:10" x14ac:dyDescent="0.35">
      <c r="A519" t="s">
        <v>6</v>
      </c>
      <c r="B519" s="6">
        <v>44806</v>
      </c>
      <c r="C519" s="3">
        <v>0</v>
      </c>
      <c r="D519" t="s">
        <v>25</v>
      </c>
      <c r="E519" t="s">
        <v>16</v>
      </c>
      <c r="F519">
        <v>0.82399999999999995</v>
      </c>
      <c r="G519">
        <v>0.82399999999999995</v>
      </c>
      <c r="H519">
        <f t="shared" si="25"/>
        <v>0</v>
      </c>
      <c r="I519">
        <f t="shared" si="26"/>
        <v>0</v>
      </c>
      <c r="J519">
        <f t="shared" si="27"/>
        <v>0</v>
      </c>
    </row>
    <row r="520" spans="1:10" x14ac:dyDescent="0.35">
      <c r="A520" t="s">
        <v>6</v>
      </c>
      <c r="B520" s="6">
        <v>44806</v>
      </c>
      <c r="C520" s="3">
        <v>2.0833333333333332E-2</v>
      </c>
      <c r="D520" t="s">
        <v>25</v>
      </c>
      <c r="E520" t="s">
        <v>16</v>
      </c>
      <c r="F520">
        <v>0.82899999999999996</v>
      </c>
      <c r="G520">
        <v>0.82399999999999995</v>
      </c>
      <c r="H520">
        <f t="shared" si="25"/>
        <v>-6.031363088057907E-3</v>
      </c>
      <c r="I520" t="e">
        <f t="shared" si="26"/>
        <v>#NUM!</v>
      </c>
      <c r="J520" t="e">
        <f t="shared" si="27"/>
        <v>#NUM!</v>
      </c>
    </row>
    <row r="521" spans="1:10" x14ac:dyDescent="0.35">
      <c r="A521" t="s">
        <v>6</v>
      </c>
      <c r="B521" s="6">
        <v>44806</v>
      </c>
      <c r="C521" s="3">
        <v>4.1666666666666664E-2</v>
      </c>
      <c r="D521" t="s">
        <v>25</v>
      </c>
      <c r="E521" t="s">
        <v>16</v>
      </c>
      <c r="F521">
        <v>0.83199999999999996</v>
      </c>
      <c r="G521">
        <v>0.82399999999999995</v>
      </c>
      <c r="H521">
        <f t="shared" si="25"/>
        <v>-9.6153846153846246E-3</v>
      </c>
      <c r="I521" t="e">
        <f t="shared" si="26"/>
        <v>#NUM!</v>
      </c>
      <c r="J521" t="e">
        <f t="shared" si="27"/>
        <v>#NUM!</v>
      </c>
    </row>
    <row r="522" spans="1:10" x14ac:dyDescent="0.35">
      <c r="A522" t="s">
        <v>6</v>
      </c>
      <c r="B522" s="6">
        <v>44806</v>
      </c>
      <c r="C522" s="3">
        <v>6.25E-2</v>
      </c>
      <c r="D522" t="s">
        <v>25</v>
      </c>
      <c r="E522" t="s">
        <v>16</v>
      </c>
      <c r="F522">
        <v>0.83399999999999996</v>
      </c>
      <c r="G522">
        <v>0.82399999999999995</v>
      </c>
      <c r="H522">
        <f t="shared" si="25"/>
        <v>-1.1990407673860922E-2</v>
      </c>
      <c r="I522" t="e">
        <f t="shared" si="26"/>
        <v>#NUM!</v>
      </c>
      <c r="J522" t="e">
        <f t="shared" si="27"/>
        <v>#NUM!</v>
      </c>
    </row>
    <row r="523" spans="1:10" x14ac:dyDescent="0.35">
      <c r="A523" t="s">
        <v>6</v>
      </c>
      <c r="B523" s="6">
        <v>44806</v>
      </c>
      <c r="C523" s="3">
        <v>8.3333333333333329E-2</v>
      </c>
      <c r="D523" t="s">
        <v>25</v>
      </c>
      <c r="E523" t="s">
        <v>16</v>
      </c>
      <c r="F523">
        <v>0.83499999999999996</v>
      </c>
      <c r="G523">
        <v>0.82399999999999995</v>
      </c>
      <c r="H523">
        <f t="shared" si="25"/>
        <v>-1.317365269461079E-2</v>
      </c>
      <c r="I523" t="e">
        <f t="shared" si="26"/>
        <v>#NUM!</v>
      </c>
      <c r="J523" t="e">
        <f t="shared" si="27"/>
        <v>#NUM!</v>
      </c>
    </row>
    <row r="524" spans="1:10" x14ac:dyDescent="0.35">
      <c r="A524" t="s">
        <v>6</v>
      </c>
      <c r="B524" s="6">
        <v>44806</v>
      </c>
      <c r="C524" s="3">
        <v>0.10416666666666667</v>
      </c>
      <c r="D524" t="s">
        <v>25</v>
      </c>
      <c r="E524" t="s">
        <v>16</v>
      </c>
      <c r="F524">
        <v>0.83699999999999997</v>
      </c>
      <c r="G524">
        <v>0.82399999999999995</v>
      </c>
      <c r="H524">
        <f t="shared" si="25"/>
        <v>-1.5531660692951029E-2</v>
      </c>
      <c r="I524" t="e">
        <f t="shared" si="26"/>
        <v>#NUM!</v>
      </c>
      <c r="J524" t="e">
        <f t="shared" si="27"/>
        <v>#NUM!</v>
      </c>
    </row>
    <row r="525" spans="1:10" x14ac:dyDescent="0.35">
      <c r="A525" t="s">
        <v>6</v>
      </c>
      <c r="B525" s="6">
        <v>44806</v>
      </c>
      <c r="C525" s="3">
        <v>0.125</v>
      </c>
      <c r="D525" t="s">
        <v>25</v>
      </c>
      <c r="E525" t="s">
        <v>16</v>
      </c>
      <c r="F525">
        <v>0.83699999999999997</v>
      </c>
      <c r="G525">
        <v>0.82399999999999995</v>
      </c>
      <c r="H525">
        <f t="shared" si="25"/>
        <v>-1.5531660692951029E-2</v>
      </c>
      <c r="I525" t="e">
        <f t="shared" si="26"/>
        <v>#NUM!</v>
      </c>
      <c r="J525" t="e">
        <f t="shared" si="27"/>
        <v>#NUM!</v>
      </c>
    </row>
    <row r="526" spans="1:10" x14ac:dyDescent="0.35">
      <c r="A526" t="s">
        <v>6</v>
      </c>
      <c r="B526" s="6">
        <v>44806</v>
      </c>
      <c r="C526" s="3">
        <v>0.14583333333333334</v>
      </c>
      <c r="D526" t="s">
        <v>25</v>
      </c>
      <c r="E526" t="s">
        <v>16</v>
      </c>
      <c r="F526">
        <v>0.83699999999999997</v>
      </c>
      <c r="G526">
        <v>0.82399999999999995</v>
      </c>
      <c r="H526">
        <f t="shared" si="25"/>
        <v>-1.5531660692951029E-2</v>
      </c>
      <c r="I526" t="e">
        <f t="shared" si="26"/>
        <v>#NUM!</v>
      </c>
      <c r="J526" t="e">
        <f t="shared" si="27"/>
        <v>#NUM!</v>
      </c>
    </row>
    <row r="527" spans="1:10" x14ac:dyDescent="0.35">
      <c r="A527" t="s">
        <v>6</v>
      </c>
      <c r="B527" s="6">
        <v>44806</v>
      </c>
      <c r="C527" s="3">
        <v>0.16666666666666666</v>
      </c>
      <c r="D527" t="s">
        <v>25</v>
      </c>
      <c r="E527" t="s">
        <v>16</v>
      </c>
      <c r="F527">
        <v>0.83699999999999997</v>
      </c>
      <c r="G527">
        <v>0.82399999999999995</v>
      </c>
      <c r="H527">
        <f t="shared" si="25"/>
        <v>-1.5531660692951029E-2</v>
      </c>
      <c r="I527" t="e">
        <f t="shared" si="26"/>
        <v>#NUM!</v>
      </c>
      <c r="J527" t="e">
        <f t="shared" si="27"/>
        <v>#NUM!</v>
      </c>
    </row>
    <row r="528" spans="1:10" x14ac:dyDescent="0.35">
      <c r="A528" t="s">
        <v>6</v>
      </c>
      <c r="B528" s="6">
        <v>44806</v>
      </c>
      <c r="C528" s="3">
        <v>0.1875</v>
      </c>
      <c r="D528" t="s">
        <v>25</v>
      </c>
      <c r="E528" t="s">
        <v>16</v>
      </c>
      <c r="F528">
        <v>0.83699999999999997</v>
      </c>
      <c r="G528">
        <v>0.82399999999999995</v>
      </c>
      <c r="H528">
        <f t="shared" si="25"/>
        <v>-1.5531660692951029E-2</v>
      </c>
      <c r="I528" t="e">
        <f t="shared" si="26"/>
        <v>#NUM!</v>
      </c>
      <c r="J528" t="e">
        <f t="shared" si="27"/>
        <v>#NUM!</v>
      </c>
    </row>
    <row r="529" spans="1:10" x14ac:dyDescent="0.35">
      <c r="A529" t="s">
        <v>6</v>
      </c>
      <c r="B529" s="6">
        <v>44806</v>
      </c>
      <c r="C529" s="3">
        <v>0.20833333333333334</v>
      </c>
      <c r="D529" t="s">
        <v>25</v>
      </c>
      <c r="E529" t="s">
        <v>16</v>
      </c>
      <c r="F529">
        <v>0.83699999999999997</v>
      </c>
      <c r="G529">
        <v>0.82399999999999995</v>
      </c>
      <c r="H529">
        <f t="shared" si="25"/>
        <v>-1.5531660692951029E-2</v>
      </c>
      <c r="I529" t="e">
        <f t="shared" si="26"/>
        <v>#NUM!</v>
      </c>
      <c r="J529" t="e">
        <f t="shared" si="27"/>
        <v>#NUM!</v>
      </c>
    </row>
    <row r="530" spans="1:10" x14ac:dyDescent="0.35">
      <c r="A530" t="s">
        <v>6</v>
      </c>
      <c r="B530" s="6">
        <v>44806</v>
      </c>
      <c r="C530" s="3">
        <v>0.22916666666666666</v>
      </c>
      <c r="D530" t="s">
        <v>25</v>
      </c>
      <c r="E530" t="s">
        <v>16</v>
      </c>
      <c r="F530">
        <v>0.83699999999999997</v>
      </c>
      <c r="G530">
        <v>0.82399999999999995</v>
      </c>
      <c r="H530">
        <f t="shared" si="25"/>
        <v>-1.5531660692951029E-2</v>
      </c>
      <c r="I530" t="e">
        <f t="shared" si="26"/>
        <v>#NUM!</v>
      </c>
      <c r="J530" t="e">
        <f t="shared" si="27"/>
        <v>#NUM!</v>
      </c>
    </row>
    <row r="531" spans="1:10" x14ac:dyDescent="0.35">
      <c r="A531" t="s">
        <v>6</v>
      </c>
      <c r="B531" s="6">
        <v>44806</v>
      </c>
      <c r="C531" s="3">
        <v>0.33333333333333331</v>
      </c>
      <c r="D531" t="s">
        <v>25</v>
      </c>
      <c r="E531" t="s">
        <v>16</v>
      </c>
      <c r="F531">
        <v>0.82299999999999995</v>
      </c>
      <c r="G531">
        <v>0.82399999999999995</v>
      </c>
      <c r="H531">
        <f t="shared" si="25"/>
        <v>1.2150668286755784E-3</v>
      </c>
      <c r="I531">
        <f t="shared" si="26"/>
        <v>3.0668304331223212E-8</v>
      </c>
      <c r="J531">
        <f t="shared" si="27"/>
        <v>3.0668304331223212E-2</v>
      </c>
    </row>
    <row r="532" spans="1:10" x14ac:dyDescent="0.35">
      <c r="A532" t="s">
        <v>6</v>
      </c>
      <c r="B532" s="6">
        <v>44806</v>
      </c>
      <c r="C532" s="3">
        <v>0.35416666666666669</v>
      </c>
      <c r="D532" t="s">
        <v>25</v>
      </c>
      <c r="E532" t="s">
        <v>16</v>
      </c>
      <c r="F532">
        <v>0.80600000000000005</v>
      </c>
      <c r="G532">
        <v>0.82399999999999995</v>
      </c>
      <c r="H532">
        <f t="shared" si="25"/>
        <v>2.2332506203473827E-2</v>
      </c>
      <c r="I532">
        <f t="shared" si="26"/>
        <v>1.1043048478711802E-6</v>
      </c>
      <c r="J532">
        <f t="shared" si="27"/>
        <v>1.1043048478711803</v>
      </c>
    </row>
    <row r="533" spans="1:10" x14ac:dyDescent="0.35">
      <c r="A533" t="s">
        <v>6</v>
      </c>
      <c r="B533" s="6">
        <v>44806</v>
      </c>
      <c r="C533" s="3">
        <v>0.375</v>
      </c>
      <c r="D533" t="s">
        <v>25</v>
      </c>
      <c r="E533" t="s">
        <v>16</v>
      </c>
      <c r="F533">
        <v>0.755</v>
      </c>
      <c r="G533">
        <v>0.82399999999999995</v>
      </c>
      <c r="H533">
        <f t="shared" si="25"/>
        <v>9.1390728476821129E-2</v>
      </c>
      <c r="I533">
        <f t="shared" si="26"/>
        <v>6.2577397082746698E-6</v>
      </c>
      <c r="J533">
        <f t="shared" si="27"/>
        <v>6.25773970827467</v>
      </c>
    </row>
    <row r="534" spans="1:10" x14ac:dyDescent="0.35">
      <c r="A534" t="s">
        <v>6</v>
      </c>
      <c r="B534" s="6">
        <v>44806</v>
      </c>
      <c r="C534" s="3">
        <v>0.39583333333333331</v>
      </c>
      <c r="D534" t="s">
        <v>25</v>
      </c>
      <c r="E534" t="s">
        <v>16</v>
      </c>
      <c r="F534">
        <v>0.68600000000000005</v>
      </c>
      <c r="G534">
        <v>0.82399999999999995</v>
      </c>
      <c r="H534">
        <f t="shared" si="25"/>
        <v>0.20116618075801734</v>
      </c>
      <c r="I534">
        <f t="shared" si="26"/>
        <v>1.6528107555189349E-5</v>
      </c>
      <c r="J534">
        <f t="shared" si="27"/>
        <v>16.528107555189347</v>
      </c>
    </row>
    <row r="535" spans="1:10" x14ac:dyDescent="0.35">
      <c r="A535" t="s">
        <v>6</v>
      </c>
      <c r="B535" s="6">
        <v>44806</v>
      </c>
      <c r="C535" s="3">
        <v>0.41666666666666669</v>
      </c>
      <c r="D535" t="s">
        <v>25</v>
      </c>
      <c r="E535" t="s">
        <v>16</v>
      </c>
      <c r="F535">
        <v>0.63</v>
      </c>
      <c r="G535">
        <v>0.82399999999999995</v>
      </c>
      <c r="H535">
        <f t="shared" si="25"/>
        <v>0.30793650793650784</v>
      </c>
      <c r="I535">
        <f t="shared" si="26"/>
        <v>2.791532410878009E-5</v>
      </c>
      <c r="J535">
        <f t="shared" si="27"/>
        <v>27.915324108780091</v>
      </c>
    </row>
    <row r="536" spans="1:10" x14ac:dyDescent="0.35">
      <c r="A536" t="s">
        <v>6</v>
      </c>
      <c r="B536" s="6">
        <v>44806</v>
      </c>
      <c r="C536" s="3">
        <v>0.4375</v>
      </c>
      <c r="D536" t="s">
        <v>25</v>
      </c>
      <c r="E536" t="s">
        <v>16</v>
      </c>
      <c r="F536">
        <v>0.60499999999999998</v>
      </c>
      <c r="G536">
        <v>0.82399999999999995</v>
      </c>
      <c r="H536">
        <f t="shared" si="25"/>
        <v>0.36198347107438011</v>
      </c>
      <c r="I536">
        <f t="shared" si="26"/>
        <v>3.4063776967662743E-5</v>
      </c>
      <c r="J536">
        <f t="shared" si="27"/>
        <v>34.06377696766274</v>
      </c>
    </row>
    <row r="537" spans="1:10" x14ac:dyDescent="0.35">
      <c r="A537" t="s">
        <v>6</v>
      </c>
      <c r="B537" s="6">
        <v>44806</v>
      </c>
      <c r="C537" s="3">
        <v>0.45833333333333331</v>
      </c>
      <c r="D537" t="s">
        <v>25</v>
      </c>
      <c r="E537" t="s">
        <v>16</v>
      </c>
      <c r="F537">
        <v>0.60599999999999998</v>
      </c>
      <c r="G537">
        <v>0.82399999999999995</v>
      </c>
      <c r="H537">
        <f t="shared" si="25"/>
        <v>0.3597359735973597</v>
      </c>
      <c r="I537">
        <f t="shared" si="26"/>
        <v>3.3803611725136523E-5</v>
      </c>
      <c r="J537">
        <f t="shared" si="27"/>
        <v>33.803611725136527</v>
      </c>
    </row>
    <row r="538" spans="1:10" x14ac:dyDescent="0.35">
      <c r="A538" t="s">
        <v>6</v>
      </c>
      <c r="B538" s="6">
        <v>44806</v>
      </c>
      <c r="C538" s="3">
        <v>0.47916666666666669</v>
      </c>
      <c r="D538" t="s">
        <v>25</v>
      </c>
      <c r="E538" t="s">
        <v>16</v>
      </c>
      <c r="F538">
        <v>0.60799999999999998</v>
      </c>
      <c r="G538">
        <v>0.82399999999999995</v>
      </c>
      <c r="H538">
        <f t="shared" si="25"/>
        <v>0.35526315789473678</v>
      </c>
      <c r="I538">
        <f t="shared" si="26"/>
        <v>3.3286966809433787E-5</v>
      </c>
      <c r="J538">
        <f t="shared" si="27"/>
        <v>33.286966809433785</v>
      </c>
    </row>
    <row r="539" spans="1:10" x14ac:dyDescent="0.35">
      <c r="A539" t="s">
        <v>6</v>
      </c>
      <c r="B539" s="6">
        <v>44806</v>
      </c>
      <c r="C539" s="3">
        <v>0.5625</v>
      </c>
      <c r="D539" t="s">
        <v>25</v>
      </c>
      <c r="E539" t="s">
        <v>16</v>
      </c>
      <c r="F539">
        <v>0.63500000000000001</v>
      </c>
      <c r="G539">
        <v>0.82399999999999995</v>
      </c>
      <c r="H539">
        <f t="shared" si="25"/>
        <v>0.29763779527559048</v>
      </c>
      <c r="I539">
        <f t="shared" si="26"/>
        <v>2.6770531054627966E-5</v>
      </c>
      <c r="J539">
        <f t="shared" si="27"/>
        <v>26.770531054627966</v>
      </c>
    </row>
    <row r="540" spans="1:10" x14ac:dyDescent="0.35">
      <c r="A540" t="s">
        <v>6</v>
      </c>
      <c r="B540" s="6">
        <v>44806</v>
      </c>
      <c r="C540" s="3">
        <v>0.58333333333333337</v>
      </c>
      <c r="D540" t="s">
        <v>25</v>
      </c>
      <c r="E540" t="s">
        <v>16</v>
      </c>
      <c r="F540">
        <v>0.64600000000000002</v>
      </c>
      <c r="G540">
        <v>0.82399999999999995</v>
      </c>
      <c r="H540">
        <f t="shared" si="25"/>
        <v>0.27554179566563458</v>
      </c>
      <c r="I540">
        <f t="shared" si="26"/>
        <v>2.434544709345815E-5</v>
      </c>
      <c r="J540">
        <f t="shared" si="27"/>
        <v>24.345447093458151</v>
      </c>
    </row>
    <row r="541" spans="1:10" x14ac:dyDescent="0.35">
      <c r="A541" t="s">
        <v>6</v>
      </c>
      <c r="B541" s="6">
        <v>44806</v>
      </c>
      <c r="C541" s="3">
        <v>0.60416666666666663</v>
      </c>
      <c r="D541" t="s">
        <v>25</v>
      </c>
      <c r="E541" t="s">
        <v>16</v>
      </c>
      <c r="F541">
        <v>0.65800000000000003</v>
      </c>
      <c r="G541">
        <v>0.82399999999999995</v>
      </c>
      <c r="H541">
        <f t="shared" si="25"/>
        <v>0.25227963525835856</v>
      </c>
      <c r="I541">
        <f t="shared" si="26"/>
        <v>2.1840568704411645E-5</v>
      </c>
      <c r="J541">
        <f t="shared" si="27"/>
        <v>21.840568704411645</v>
      </c>
    </row>
    <row r="542" spans="1:10" x14ac:dyDescent="0.35">
      <c r="A542" t="s">
        <v>6</v>
      </c>
      <c r="B542" s="6">
        <v>44806</v>
      </c>
      <c r="C542" s="3">
        <v>0.625</v>
      </c>
      <c r="D542" t="s">
        <v>25</v>
      </c>
      <c r="E542" t="s">
        <v>16</v>
      </c>
      <c r="F542">
        <v>0.67600000000000005</v>
      </c>
      <c r="G542">
        <v>0.82399999999999995</v>
      </c>
      <c r="H542">
        <f t="shared" si="25"/>
        <v>0.21893491124260339</v>
      </c>
      <c r="I542">
        <f t="shared" si="26"/>
        <v>1.8343185176712316E-5</v>
      </c>
      <c r="J542">
        <f t="shared" si="27"/>
        <v>18.343185176712318</v>
      </c>
    </row>
    <row r="543" spans="1:10" x14ac:dyDescent="0.35">
      <c r="A543" t="s">
        <v>6</v>
      </c>
      <c r="B543" s="6">
        <v>44806</v>
      </c>
      <c r="C543" s="3">
        <v>0.64583333333333337</v>
      </c>
      <c r="D543" t="s">
        <v>25</v>
      </c>
      <c r="E543" t="s">
        <v>16</v>
      </c>
      <c r="F543">
        <v>0.69799999999999995</v>
      </c>
      <c r="G543">
        <v>0.82399999999999995</v>
      </c>
      <c r="H543">
        <f t="shared" si="25"/>
        <v>0.18051575931232092</v>
      </c>
      <c r="I543">
        <f t="shared" si="26"/>
        <v>1.4464954676021788E-5</v>
      </c>
      <c r="J543">
        <f t="shared" si="27"/>
        <v>14.464954676021788</v>
      </c>
    </row>
    <row r="544" spans="1:10" x14ac:dyDescent="0.35">
      <c r="A544" t="s">
        <v>6</v>
      </c>
      <c r="B544" s="6">
        <v>44806</v>
      </c>
      <c r="C544" s="3">
        <v>0.66666666666666663</v>
      </c>
      <c r="D544" t="s">
        <v>25</v>
      </c>
      <c r="E544" t="s">
        <v>16</v>
      </c>
      <c r="F544">
        <v>0.72299999999999998</v>
      </c>
      <c r="G544">
        <v>0.82399999999999995</v>
      </c>
      <c r="H544">
        <f t="shared" si="25"/>
        <v>0.13969571230982017</v>
      </c>
      <c r="I544">
        <f t="shared" si="26"/>
        <v>1.0550361205938287E-5</v>
      </c>
      <c r="J544">
        <f t="shared" si="27"/>
        <v>10.550361205938287</v>
      </c>
    </row>
    <row r="545" spans="1:10" x14ac:dyDescent="0.35">
      <c r="A545" t="s">
        <v>6</v>
      </c>
      <c r="B545" s="6">
        <v>44806</v>
      </c>
      <c r="C545" s="3">
        <v>0</v>
      </c>
      <c r="D545" t="s">
        <v>24</v>
      </c>
      <c r="E545" t="s">
        <v>17</v>
      </c>
      <c r="F545">
        <v>0.88800000000000001</v>
      </c>
      <c r="G545">
        <f>MAX(F545:F571)</f>
        <v>0.93899999999999995</v>
      </c>
      <c r="H545">
        <f t="shared" si="25"/>
        <v>5.7432432432432359E-2</v>
      </c>
      <c r="I545">
        <f t="shared" si="26"/>
        <v>3.5323968376531705E-6</v>
      </c>
      <c r="J545">
        <f t="shared" si="27"/>
        <v>3.5323968376531707</v>
      </c>
    </row>
    <row r="546" spans="1:10" x14ac:dyDescent="0.35">
      <c r="A546" t="s">
        <v>6</v>
      </c>
      <c r="B546" s="6">
        <v>44806</v>
      </c>
      <c r="C546" s="3">
        <v>2.0833333333333332E-2</v>
      </c>
      <c r="D546" t="s">
        <v>24</v>
      </c>
      <c r="E546" t="s">
        <v>17</v>
      </c>
      <c r="F546">
        <v>0.89900000000000002</v>
      </c>
      <c r="G546">
        <v>0.93899999999999995</v>
      </c>
      <c r="H546">
        <f t="shared" si="25"/>
        <v>4.4493882091212376E-2</v>
      </c>
      <c r="I546">
        <f t="shared" si="26"/>
        <v>2.5799104413892876E-6</v>
      </c>
      <c r="J546">
        <f t="shared" si="27"/>
        <v>2.5799104413892877</v>
      </c>
    </row>
    <row r="547" spans="1:10" x14ac:dyDescent="0.35">
      <c r="A547" t="s">
        <v>6</v>
      </c>
      <c r="B547" s="6">
        <v>44806</v>
      </c>
      <c r="C547" s="3">
        <v>4.1666666666666664E-2</v>
      </c>
      <c r="D547" t="s">
        <v>24</v>
      </c>
      <c r="E547" t="s">
        <v>17</v>
      </c>
      <c r="F547">
        <v>0.91</v>
      </c>
      <c r="G547">
        <v>0.93899999999999995</v>
      </c>
      <c r="H547">
        <f t="shared" si="25"/>
        <v>3.1868131868131776E-2</v>
      </c>
      <c r="I547">
        <f t="shared" si="26"/>
        <v>1.7107200398573805E-6</v>
      </c>
      <c r="J547">
        <f t="shared" si="27"/>
        <v>1.7107200398573805</v>
      </c>
    </row>
    <row r="548" spans="1:10" x14ac:dyDescent="0.35">
      <c r="A548" t="s">
        <v>6</v>
      </c>
      <c r="B548" s="6">
        <v>44806</v>
      </c>
      <c r="C548" s="3">
        <v>6.25E-2</v>
      </c>
      <c r="D548" t="s">
        <v>24</v>
      </c>
      <c r="E548" t="s">
        <v>17</v>
      </c>
      <c r="F548">
        <v>0.91900000000000004</v>
      </c>
      <c r="G548">
        <v>0.93899999999999995</v>
      </c>
      <c r="H548">
        <f t="shared" si="25"/>
        <v>2.1762785636561376E-2</v>
      </c>
      <c r="I548">
        <f t="shared" si="26"/>
        <v>1.0697283152339319E-6</v>
      </c>
      <c r="J548">
        <f t="shared" si="27"/>
        <v>1.0697283152339319</v>
      </c>
    </row>
    <row r="549" spans="1:10" x14ac:dyDescent="0.35">
      <c r="A549" t="s">
        <v>6</v>
      </c>
      <c r="B549" s="6">
        <v>44806</v>
      </c>
      <c r="C549" s="3">
        <v>8.3333333333333329E-2</v>
      </c>
      <c r="D549" t="s">
        <v>24</v>
      </c>
      <c r="E549" t="s">
        <v>17</v>
      </c>
      <c r="F549">
        <v>0.92800000000000005</v>
      </c>
      <c r="G549">
        <v>0.93899999999999995</v>
      </c>
      <c r="H549">
        <f t="shared" si="25"/>
        <v>1.1853448275861959E-2</v>
      </c>
      <c r="I549">
        <f t="shared" si="26"/>
        <v>5.0634881517800384E-7</v>
      </c>
      <c r="J549">
        <f t="shared" si="27"/>
        <v>0.50634881517800379</v>
      </c>
    </row>
    <row r="550" spans="1:10" x14ac:dyDescent="0.35">
      <c r="A550" t="s">
        <v>6</v>
      </c>
      <c r="B550" s="6">
        <v>44806</v>
      </c>
      <c r="C550" s="3">
        <v>0.10416666666666667</v>
      </c>
      <c r="D550" t="s">
        <v>24</v>
      </c>
      <c r="E550" t="s">
        <v>17</v>
      </c>
      <c r="F550">
        <v>0.93300000000000005</v>
      </c>
      <c r="G550">
        <v>0.93899999999999995</v>
      </c>
      <c r="H550">
        <f t="shared" si="25"/>
        <v>6.4308681672024587E-3</v>
      </c>
      <c r="I550">
        <f t="shared" si="26"/>
        <v>2.3852112396026414E-7</v>
      </c>
      <c r="J550">
        <f t="shared" si="27"/>
        <v>0.23852112396026415</v>
      </c>
    </row>
    <row r="551" spans="1:10" x14ac:dyDescent="0.35">
      <c r="A551" t="s">
        <v>6</v>
      </c>
      <c r="B551" s="6">
        <v>44806</v>
      </c>
      <c r="C551" s="3">
        <v>0.125</v>
      </c>
      <c r="D551" t="s">
        <v>24</v>
      </c>
      <c r="E551" t="s">
        <v>17</v>
      </c>
      <c r="F551">
        <v>0.93600000000000005</v>
      </c>
      <c r="G551">
        <v>0.93899999999999995</v>
      </c>
      <c r="H551">
        <f t="shared" si="25"/>
        <v>3.2051282051280892E-3</v>
      </c>
      <c r="I551">
        <f t="shared" si="26"/>
        <v>1.0121448185002127E-7</v>
      </c>
      <c r="J551">
        <f t="shared" si="27"/>
        <v>0.10121448185002127</v>
      </c>
    </row>
    <row r="552" spans="1:10" x14ac:dyDescent="0.35">
      <c r="A552" t="s">
        <v>6</v>
      </c>
      <c r="B552" s="6">
        <v>44806</v>
      </c>
      <c r="C552" s="3">
        <v>0.14583333333333334</v>
      </c>
      <c r="D552" t="s">
        <v>24</v>
      </c>
      <c r="E552" t="s">
        <v>17</v>
      </c>
      <c r="F552">
        <v>0.93700000000000006</v>
      </c>
      <c r="G552">
        <v>0.93899999999999995</v>
      </c>
      <c r="H552">
        <f t="shared" si="25"/>
        <v>2.1344717182496167E-3</v>
      </c>
      <c r="I552">
        <f t="shared" si="26"/>
        <v>6.1362557161847587E-8</v>
      </c>
      <c r="J552">
        <f t="shared" si="27"/>
        <v>6.1362557161847589E-2</v>
      </c>
    </row>
    <row r="553" spans="1:10" x14ac:dyDescent="0.35">
      <c r="A553" t="s">
        <v>6</v>
      </c>
      <c r="B553" s="6">
        <v>44806</v>
      </c>
      <c r="C553" s="3">
        <v>0.16666666666666666</v>
      </c>
      <c r="D553" t="s">
        <v>24</v>
      </c>
      <c r="E553" t="s">
        <v>17</v>
      </c>
      <c r="F553">
        <v>0.93799999999999994</v>
      </c>
      <c r="G553">
        <v>0.93899999999999995</v>
      </c>
      <c r="H553">
        <f t="shared" si="25"/>
        <v>1.0660980810234552E-3</v>
      </c>
      <c r="I553">
        <f t="shared" si="26"/>
        <v>2.6107498838097183E-8</v>
      </c>
      <c r="J553">
        <f t="shared" si="27"/>
        <v>2.6107498838097182E-2</v>
      </c>
    </row>
    <row r="554" spans="1:10" x14ac:dyDescent="0.35">
      <c r="A554" t="s">
        <v>6</v>
      </c>
      <c r="B554" s="6">
        <v>44806</v>
      </c>
      <c r="C554" s="3">
        <v>0.1875</v>
      </c>
      <c r="D554" t="s">
        <v>24</v>
      </c>
      <c r="E554" t="s">
        <v>17</v>
      </c>
      <c r="F554">
        <v>0.93899999999999995</v>
      </c>
      <c r="G554">
        <v>0.93899999999999995</v>
      </c>
      <c r="H554">
        <f t="shared" si="25"/>
        <v>0</v>
      </c>
      <c r="I554">
        <f t="shared" si="26"/>
        <v>0</v>
      </c>
      <c r="J554">
        <f t="shared" si="27"/>
        <v>0</v>
      </c>
    </row>
    <row r="555" spans="1:10" x14ac:dyDescent="0.35">
      <c r="A555" t="s">
        <v>6</v>
      </c>
      <c r="B555" s="6">
        <v>44806</v>
      </c>
      <c r="C555" s="3">
        <v>0.20833333333333334</v>
      </c>
      <c r="D555" t="s">
        <v>24</v>
      </c>
      <c r="E555" t="s">
        <v>17</v>
      </c>
      <c r="F555">
        <v>0.93899999999999995</v>
      </c>
      <c r="G555">
        <v>0.93899999999999995</v>
      </c>
      <c r="H555">
        <f t="shared" si="25"/>
        <v>0</v>
      </c>
      <c r="I555">
        <f t="shared" si="26"/>
        <v>0</v>
      </c>
      <c r="J555">
        <f t="shared" si="27"/>
        <v>0</v>
      </c>
    </row>
    <row r="556" spans="1:10" x14ac:dyDescent="0.35">
      <c r="A556" t="s">
        <v>6</v>
      </c>
      <c r="B556" s="6">
        <v>44806</v>
      </c>
      <c r="C556" s="3">
        <v>0.22916666666666666</v>
      </c>
      <c r="D556" t="s">
        <v>24</v>
      </c>
      <c r="E556" t="s">
        <v>17</v>
      </c>
      <c r="F556">
        <v>0.93799999999999994</v>
      </c>
      <c r="G556">
        <v>0.93899999999999995</v>
      </c>
      <c r="H556">
        <f t="shared" si="25"/>
        <v>1.0660980810234552E-3</v>
      </c>
      <c r="I556">
        <f t="shared" si="26"/>
        <v>2.6107498838097183E-8</v>
      </c>
      <c r="J556">
        <f t="shared" si="27"/>
        <v>2.6107498838097182E-2</v>
      </c>
    </row>
    <row r="557" spans="1:10" x14ac:dyDescent="0.35">
      <c r="A557" t="s">
        <v>6</v>
      </c>
      <c r="B557" s="6">
        <v>44806</v>
      </c>
      <c r="C557" s="3">
        <v>0.33333333333333331</v>
      </c>
      <c r="D557" t="s">
        <v>24</v>
      </c>
      <c r="E557" t="s">
        <v>17</v>
      </c>
      <c r="F557">
        <v>0.92</v>
      </c>
      <c r="G557">
        <v>0.93899999999999995</v>
      </c>
      <c r="H557">
        <f t="shared" si="25"/>
        <v>2.0652173913043376E-2</v>
      </c>
      <c r="I557">
        <f t="shared" si="26"/>
        <v>1.0029281673739303E-6</v>
      </c>
      <c r="J557">
        <f t="shared" si="27"/>
        <v>1.0029281673739303</v>
      </c>
    </row>
    <row r="558" spans="1:10" x14ac:dyDescent="0.35">
      <c r="A558" t="s">
        <v>6</v>
      </c>
      <c r="B558" s="6">
        <v>44806</v>
      </c>
      <c r="C558" s="3">
        <v>0.35416666666666669</v>
      </c>
      <c r="D558" t="s">
        <v>24</v>
      </c>
      <c r="E558" t="s">
        <v>17</v>
      </c>
      <c r="F558">
        <v>0.89300000000000002</v>
      </c>
      <c r="G558">
        <v>0.93899999999999995</v>
      </c>
      <c r="H558">
        <f t="shared" si="25"/>
        <v>5.1511758118700929E-2</v>
      </c>
      <c r="I558">
        <f t="shared" si="26"/>
        <v>3.0896103144568688E-6</v>
      </c>
      <c r="J558">
        <f t="shared" si="27"/>
        <v>3.089610314456869</v>
      </c>
    </row>
    <row r="559" spans="1:10" x14ac:dyDescent="0.35">
      <c r="A559" t="s">
        <v>6</v>
      </c>
      <c r="B559" s="6">
        <v>44806</v>
      </c>
      <c r="C559" s="3">
        <v>0.375</v>
      </c>
      <c r="D559" t="s">
        <v>24</v>
      </c>
      <c r="E559" t="s">
        <v>17</v>
      </c>
      <c r="F559">
        <v>0.84599999999999997</v>
      </c>
      <c r="G559">
        <v>0.93899999999999995</v>
      </c>
      <c r="H559">
        <f t="shared" si="25"/>
        <v>0.10992907801418436</v>
      </c>
      <c r="I559">
        <f t="shared" si="26"/>
        <v>7.8551874680987112E-6</v>
      </c>
      <c r="J559">
        <f t="shared" si="27"/>
        <v>7.8551874680987108</v>
      </c>
    </row>
    <row r="560" spans="1:10" x14ac:dyDescent="0.35">
      <c r="A560" t="s">
        <v>6</v>
      </c>
      <c r="B560" s="6">
        <v>44806</v>
      </c>
      <c r="C560" s="3">
        <v>0.39583333333333331</v>
      </c>
      <c r="D560" t="s">
        <v>24</v>
      </c>
      <c r="E560" t="s">
        <v>17</v>
      </c>
      <c r="F560">
        <v>0.80600000000000005</v>
      </c>
      <c r="G560">
        <v>0.93899999999999995</v>
      </c>
      <c r="H560">
        <f t="shared" si="25"/>
        <v>0.16501240694789068</v>
      </c>
      <c r="I560">
        <f t="shared" si="26"/>
        <v>1.2951196567695299E-5</v>
      </c>
      <c r="J560">
        <f t="shared" si="27"/>
        <v>12.9511965676953</v>
      </c>
    </row>
    <row r="561" spans="1:10" x14ac:dyDescent="0.35">
      <c r="A561" t="s">
        <v>6</v>
      </c>
      <c r="B561" s="6">
        <v>44806</v>
      </c>
      <c r="C561" s="3">
        <v>0.41666666666666669</v>
      </c>
      <c r="D561" t="s">
        <v>24</v>
      </c>
      <c r="E561" t="s">
        <v>17</v>
      </c>
      <c r="F561">
        <v>0.77900000000000003</v>
      </c>
      <c r="G561">
        <v>0.93899999999999995</v>
      </c>
      <c r="H561">
        <f t="shared" si="25"/>
        <v>0.20539152759948642</v>
      </c>
      <c r="I561">
        <f t="shared" si="26"/>
        <v>1.6956493574421001E-5</v>
      </c>
      <c r="J561">
        <f t="shared" si="27"/>
        <v>16.956493574421</v>
      </c>
    </row>
    <row r="562" spans="1:10" x14ac:dyDescent="0.35">
      <c r="A562" t="s">
        <v>6</v>
      </c>
      <c r="B562" s="6">
        <v>44806</v>
      </c>
      <c r="C562" s="3">
        <v>0.4375</v>
      </c>
      <c r="D562" t="s">
        <v>24</v>
      </c>
      <c r="E562" t="s">
        <v>17</v>
      </c>
      <c r="F562">
        <v>0.749</v>
      </c>
      <c r="G562">
        <v>0.93899999999999995</v>
      </c>
      <c r="H562">
        <f t="shared" si="25"/>
        <v>0.25367156208277697</v>
      </c>
      <c r="I562">
        <f t="shared" si="26"/>
        <v>2.1989002394926717E-5</v>
      </c>
      <c r="J562">
        <f t="shared" si="27"/>
        <v>21.989002394926718</v>
      </c>
    </row>
    <row r="563" spans="1:10" x14ac:dyDescent="0.35">
      <c r="A563" t="s">
        <v>6</v>
      </c>
      <c r="B563" s="6">
        <v>44806</v>
      </c>
      <c r="C563" s="3">
        <v>0.45833333333333331</v>
      </c>
      <c r="D563" t="s">
        <v>24</v>
      </c>
      <c r="E563" t="s">
        <v>17</v>
      </c>
      <c r="F563">
        <v>0.71799999999999997</v>
      </c>
      <c r="G563">
        <v>0.93899999999999995</v>
      </c>
      <c r="H563">
        <f t="shared" si="25"/>
        <v>0.30779944289693589</v>
      </c>
      <c r="I563">
        <f t="shared" si="26"/>
        <v>2.7900029304897539E-5</v>
      </c>
      <c r="J563">
        <f t="shared" si="27"/>
        <v>27.90002930489754</v>
      </c>
    </row>
    <row r="564" spans="1:10" x14ac:dyDescent="0.35">
      <c r="A564" t="s">
        <v>6</v>
      </c>
      <c r="B564" s="6">
        <v>44806</v>
      </c>
      <c r="C564" s="3">
        <v>0.47916666666666669</v>
      </c>
      <c r="D564" t="s">
        <v>24</v>
      </c>
      <c r="E564" t="s">
        <v>17</v>
      </c>
      <c r="F564">
        <v>0.70899999999999996</v>
      </c>
      <c r="G564">
        <v>0.93899999999999995</v>
      </c>
      <c r="H564">
        <f t="shared" si="25"/>
        <v>0.32440056417489421</v>
      </c>
      <c r="I564">
        <f t="shared" si="26"/>
        <v>2.9763802358764586E-5</v>
      </c>
      <c r="J564">
        <f t="shared" si="27"/>
        <v>29.763802358764586</v>
      </c>
    </row>
    <row r="565" spans="1:10" x14ac:dyDescent="0.35">
      <c r="A565" t="s">
        <v>6</v>
      </c>
      <c r="B565" s="6">
        <v>44806</v>
      </c>
      <c r="C565" s="3">
        <v>0.5625</v>
      </c>
      <c r="D565" t="s">
        <v>24</v>
      </c>
      <c r="E565" t="s">
        <v>17</v>
      </c>
      <c r="F565">
        <v>0.75600000000000001</v>
      </c>
      <c r="G565">
        <v>0.93899999999999995</v>
      </c>
      <c r="H565">
        <f t="shared" si="25"/>
        <v>0.24206349206349198</v>
      </c>
      <c r="I565">
        <f t="shared" si="26"/>
        <v>2.0756968324790878E-5</v>
      </c>
      <c r="J565">
        <f t="shared" si="27"/>
        <v>20.756968324790879</v>
      </c>
    </row>
    <row r="566" spans="1:10" x14ac:dyDescent="0.35">
      <c r="A566" t="s">
        <v>6</v>
      </c>
      <c r="B566" s="6">
        <v>44806</v>
      </c>
      <c r="C566" s="3">
        <v>0.58333333333333337</v>
      </c>
      <c r="D566" t="s">
        <v>24</v>
      </c>
      <c r="E566" t="s">
        <v>17</v>
      </c>
      <c r="F566">
        <v>0.77500000000000002</v>
      </c>
      <c r="G566">
        <v>0.93899999999999995</v>
      </c>
      <c r="H566">
        <f t="shared" si="25"/>
        <v>0.21161290322580634</v>
      </c>
      <c r="I566">
        <f t="shared" si="26"/>
        <v>1.7590951959262344E-5</v>
      </c>
      <c r="J566">
        <f t="shared" si="27"/>
        <v>17.590951959262345</v>
      </c>
    </row>
    <row r="567" spans="1:10" x14ac:dyDescent="0.35">
      <c r="A567" t="s">
        <v>6</v>
      </c>
      <c r="B567" s="6">
        <v>44806</v>
      </c>
      <c r="C567" s="3">
        <v>0.60416666666666663</v>
      </c>
      <c r="D567" t="s">
        <v>24</v>
      </c>
      <c r="E567" t="s">
        <v>17</v>
      </c>
      <c r="F567">
        <v>0.79500000000000004</v>
      </c>
      <c r="G567">
        <v>0.93899999999999995</v>
      </c>
      <c r="H567">
        <f t="shared" si="25"/>
        <v>0.18113207547169799</v>
      </c>
      <c r="I567">
        <f t="shared" si="26"/>
        <v>1.452577302672083E-5</v>
      </c>
      <c r="J567">
        <f t="shared" si="27"/>
        <v>14.525773026720831</v>
      </c>
    </row>
    <row r="568" spans="1:10" x14ac:dyDescent="0.35">
      <c r="A568" t="s">
        <v>6</v>
      </c>
      <c r="B568" s="6">
        <v>44806</v>
      </c>
      <c r="C568" s="3">
        <v>0.625</v>
      </c>
      <c r="D568" t="s">
        <v>24</v>
      </c>
      <c r="E568" t="s">
        <v>17</v>
      </c>
      <c r="F568">
        <v>0.82</v>
      </c>
      <c r="G568">
        <v>0.93899999999999995</v>
      </c>
      <c r="H568">
        <f t="shared" si="25"/>
        <v>0.14512195121951219</v>
      </c>
      <c r="I568">
        <f t="shared" si="26"/>
        <v>1.1057079154179497E-5</v>
      </c>
      <c r="J568">
        <f t="shared" si="27"/>
        <v>11.057079154179497</v>
      </c>
    </row>
    <row r="569" spans="1:10" x14ac:dyDescent="0.35">
      <c r="A569" t="s">
        <v>6</v>
      </c>
      <c r="B569" s="6">
        <v>44806</v>
      </c>
      <c r="C569" s="3">
        <v>0.64583333333333337</v>
      </c>
      <c r="D569" t="s">
        <v>24</v>
      </c>
      <c r="E569" t="s">
        <v>17</v>
      </c>
      <c r="F569">
        <v>0.84899999999999998</v>
      </c>
      <c r="G569">
        <v>0.93899999999999995</v>
      </c>
      <c r="H569">
        <f t="shared" si="25"/>
        <v>0.10600706713780915</v>
      </c>
      <c r="I569">
        <f t="shared" si="26"/>
        <v>7.511628894077746E-6</v>
      </c>
      <c r="J569">
        <f t="shared" si="27"/>
        <v>7.511628894077746</v>
      </c>
    </row>
    <row r="570" spans="1:10" x14ac:dyDescent="0.35">
      <c r="A570" t="s">
        <v>6</v>
      </c>
      <c r="B570" s="6">
        <v>44806</v>
      </c>
      <c r="C570" s="3">
        <v>0.66666666666666663</v>
      </c>
      <c r="D570" t="s">
        <v>24</v>
      </c>
      <c r="E570" t="s">
        <v>17</v>
      </c>
      <c r="F570">
        <v>0.876</v>
      </c>
      <c r="G570">
        <v>0.93899999999999995</v>
      </c>
      <c r="H570">
        <f t="shared" si="25"/>
        <v>7.1917808219178023E-2</v>
      </c>
      <c r="I570">
        <f t="shared" si="26"/>
        <v>4.6592136224799973E-6</v>
      </c>
      <c r="J570">
        <f t="shared" si="27"/>
        <v>4.6592136224799976</v>
      </c>
    </row>
    <row r="571" spans="1:10" x14ac:dyDescent="0.35">
      <c r="A571" t="s">
        <v>6</v>
      </c>
      <c r="B571" s="6">
        <v>44806</v>
      </c>
      <c r="C571" s="3">
        <v>0</v>
      </c>
      <c r="D571" t="s">
        <v>21</v>
      </c>
      <c r="E571" t="s">
        <v>11</v>
      </c>
      <c r="F571">
        <v>0.72299999999999998</v>
      </c>
      <c r="G571">
        <f>MAX(F571:F597)</f>
        <v>0.89700000000000002</v>
      </c>
      <c r="H571">
        <f t="shared" si="25"/>
        <v>0.24066390041493782</v>
      </c>
      <c r="I571">
        <f t="shared" si="26"/>
        <v>2.0609328517864505E-5</v>
      </c>
      <c r="J571">
        <f t="shared" si="27"/>
        <v>20.609328517864505</v>
      </c>
    </row>
    <row r="572" spans="1:10" x14ac:dyDescent="0.35">
      <c r="A572" t="s">
        <v>6</v>
      </c>
      <c r="B572" s="6">
        <v>44806</v>
      </c>
      <c r="C572" s="3">
        <v>2.0833333333333332E-2</v>
      </c>
      <c r="D572" t="s">
        <v>21</v>
      </c>
      <c r="E572" t="s">
        <v>11</v>
      </c>
      <c r="F572">
        <v>0.72499999999999998</v>
      </c>
      <c r="G572">
        <v>0.89700000000000002</v>
      </c>
      <c r="H572">
        <f t="shared" si="25"/>
        <v>0.23724137931034489</v>
      </c>
      <c r="I572">
        <f t="shared" si="26"/>
        <v>2.0249131159791932E-5</v>
      </c>
      <c r="J572">
        <f t="shared" si="27"/>
        <v>20.249131159791933</v>
      </c>
    </row>
    <row r="573" spans="1:10" x14ac:dyDescent="0.35">
      <c r="A573" t="s">
        <v>6</v>
      </c>
      <c r="B573" s="6">
        <v>44806</v>
      </c>
      <c r="C573" s="3">
        <v>4.1666666666666664E-2</v>
      </c>
      <c r="D573" t="s">
        <v>21</v>
      </c>
      <c r="E573" t="s">
        <v>11</v>
      </c>
      <c r="F573">
        <v>0.72899999999999998</v>
      </c>
      <c r="G573">
        <v>0.89700000000000002</v>
      </c>
      <c r="H573">
        <f t="shared" si="25"/>
        <v>0.2304526748971194</v>
      </c>
      <c r="I573">
        <f t="shared" si="26"/>
        <v>1.9538224696567025E-5</v>
      </c>
      <c r="J573">
        <f t="shared" si="27"/>
        <v>19.538224696567024</v>
      </c>
    </row>
    <row r="574" spans="1:10" x14ac:dyDescent="0.35">
      <c r="A574" t="s">
        <v>6</v>
      </c>
      <c r="B574" s="6">
        <v>44806</v>
      </c>
      <c r="C574" s="3">
        <v>6.25E-2</v>
      </c>
      <c r="D574" t="s">
        <v>21</v>
      </c>
      <c r="E574" t="s">
        <v>11</v>
      </c>
      <c r="F574">
        <v>0.73099999999999998</v>
      </c>
      <c r="G574">
        <v>0.89700000000000002</v>
      </c>
      <c r="H574">
        <f t="shared" si="25"/>
        <v>0.22708618331053357</v>
      </c>
      <c r="I574">
        <f t="shared" si="26"/>
        <v>1.9187470571751664E-5</v>
      </c>
      <c r="J574">
        <f t="shared" si="27"/>
        <v>19.187470571751664</v>
      </c>
    </row>
    <row r="575" spans="1:10" x14ac:dyDescent="0.35">
      <c r="A575" t="s">
        <v>6</v>
      </c>
      <c r="B575" s="6">
        <v>44806</v>
      </c>
      <c r="C575" s="3">
        <v>8.3333333333333329E-2</v>
      </c>
      <c r="D575" t="s">
        <v>21</v>
      </c>
      <c r="E575" t="s">
        <v>11</v>
      </c>
      <c r="F575">
        <v>0.73299999999999998</v>
      </c>
      <c r="G575">
        <v>0.89700000000000002</v>
      </c>
      <c r="H575">
        <f t="shared" si="25"/>
        <v>0.22373806275579813</v>
      </c>
      <c r="I575">
        <f t="shared" si="26"/>
        <v>1.8839819845102787E-5</v>
      </c>
      <c r="J575">
        <f t="shared" si="27"/>
        <v>18.839819845102788</v>
      </c>
    </row>
    <row r="576" spans="1:10" x14ac:dyDescent="0.35">
      <c r="A576" t="s">
        <v>6</v>
      </c>
      <c r="B576" s="6">
        <v>44806</v>
      </c>
      <c r="C576" s="3">
        <v>0.10416666666666667</v>
      </c>
      <c r="D576" t="s">
        <v>21</v>
      </c>
      <c r="E576" t="s">
        <v>11</v>
      </c>
      <c r="F576">
        <v>0.73499999999999999</v>
      </c>
      <c r="G576">
        <v>0.89700000000000002</v>
      </c>
      <c r="H576">
        <f t="shared" si="25"/>
        <v>0.22040816326530618</v>
      </c>
      <c r="I576">
        <f t="shared" si="26"/>
        <v>1.8495251015236288E-5</v>
      </c>
      <c r="J576">
        <f t="shared" si="27"/>
        <v>18.495251015236288</v>
      </c>
    </row>
    <row r="577" spans="1:10" x14ac:dyDescent="0.35">
      <c r="A577" t="s">
        <v>6</v>
      </c>
      <c r="B577" s="6">
        <v>44806</v>
      </c>
      <c r="C577" s="3">
        <v>0.125</v>
      </c>
      <c r="D577" t="s">
        <v>21</v>
      </c>
      <c r="E577" t="s">
        <v>11</v>
      </c>
      <c r="F577">
        <v>0.73499999999999999</v>
      </c>
      <c r="G577">
        <v>0.89700000000000002</v>
      </c>
      <c r="H577">
        <f t="shared" si="25"/>
        <v>0.22040816326530618</v>
      </c>
      <c r="I577">
        <f t="shared" si="26"/>
        <v>1.8495251015236288E-5</v>
      </c>
      <c r="J577">
        <f t="shared" si="27"/>
        <v>18.495251015236288</v>
      </c>
    </row>
    <row r="578" spans="1:10" x14ac:dyDescent="0.35">
      <c r="A578" t="s">
        <v>6</v>
      </c>
      <c r="B578" s="6">
        <v>44806</v>
      </c>
      <c r="C578" s="3">
        <v>0.14583333333333334</v>
      </c>
      <c r="D578" t="s">
        <v>21</v>
      </c>
      <c r="E578" t="s">
        <v>11</v>
      </c>
      <c r="F578">
        <v>0.73599999999999999</v>
      </c>
      <c r="G578">
        <v>0.89700000000000002</v>
      </c>
      <c r="H578">
        <f t="shared" ref="H578:H641" si="28">(G578-F578)/F578</f>
        <v>0.21875000000000006</v>
      </c>
      <c r="I578">
        <f t="shared" si="26"/>
        <v>1.8324115702272947E-5</v>
      </c>
      <c r="J578">
        <f t="shared" si="27"/>
        <v>18.324115702272948</v>
      </c>
    </row>
    <row r="579" spans="1:10" x14ac:dyDescent="0.35">
      <c r="A579" t="s">
        <v>6</v>
      </c>
      <c r="B579" s="6">
        <v>44806</v>
      </c>
      <c r="C579" s="3">
        <v>0.16666666666666666</v>
      </c>
      <c r="D579" t="s">
        <v>21</v>
      </c>
      <c r="E579" t="s">
        <v>11</v>
      </c>
      <c r="F579">
        <v>0.73699999999999999</v>
      </c>
      <c r="G579">
        <v>0.89700000000000002</v>
      </c>
      <c r="H579">
        <f t="shared" si="28"/>
        <v>0.21709633649932161</v>
      </c>
      <c r="I579">
        <f t="shared" ref="I579:I642" si="29">119*10^-6*(H579^1.231)</f>
        <v>1.8153742982477229E-5</v>
      </c>
      <c r="J579">
        <f t="shared" ref="J579:J642" si="30">I579*10^6</f>
        <v>18.15374298247723</v>
      </c>
    </row>
    <row r="580" spans="1:10" x14ac:dyDescent="0.35">
      <c r="A580" t="s">
        <v>6</v>
      </c>
      <c r="B580" s="6">
        <v>44806</v>
      </c>
      <c r="C580" s="3">
        <v>0.1875</v>
      </c>
      <c r="D580" t="s">
        <v>21</v>
      </c>
      <c r="E580" t="s">
        <v>11</v>
      </c>
      <c r="F580">
        <v>0.74</v>
      </c>
      <c r="G580">
        <v>0.89700000000000002</v>
      </c>
      <c r="H580">
        <f t="shared" si="28"/>
        <v>0.21216216216216222</v>
      </c>
      <c r="I580">
        <f t="shared" si="29"/>
        <v>1.7647174759533334E-5</v>
      </c>
      <c r="J580">
        <f t="shared" si="30"/>
        <v>17.647174759533335</v>
      </c>
    </row>
    <row r="581" spans="1:10" x14ac:dyDescent="0.35">
      <c r="A581" t="s">
        <v>6</v>
      </c>
      <c r="B581" s="6">
        <v>44806</v>
      </c>
      <c r="C581" s="3">
        <v>0.20833333333333334</v>
      </c>
      <c r="D581" t="s">
        <v>21</v>
      </c>
      <c r="E581" t="s">
        <v>11</v>
      </c>
      <c r="F581">
        <v>0.74</v>
      </c>
      <c r="G581">
        <v>0.89700000000000002</v>
      </c>
      <c r="H581">
        <f t="shared" si="28"/>
        <v>0.21216216216216222</v>
      </c>
      <c r="I581">
        <f t="shared" si="29"/>
        <v>1.7647174759533334E-5</v>
      </c>
      <c r="J581">
        <f t="shared" si="30"/>
        <v>17.647174759533335</v>
      </c>
    </row>
    <row r="582" spans="1:10" x14ac:dyDescent="0.35">
      <c r="A582" t="s">
        <v>6</v>
      </c>
      <c r="B582" s="6">
        <v>44806</v>
      </c>
      <c r="C582" s="3">
        <v>0.22916666666666666</v>
      </c>
      <c r="D582" t="s">
        <v>21</v>
      </c>
      <c r="E582" t="s">
        <v>11</v>
      </c>
      <c r="F582">
        <v>0.74</v>
      </c>
      <c r="G582">
        <v>0.89700000000000002</v>
      </c>
      <c r="H582">
        <f t="shared" si="28"/>
        <v>0.21216216216216222</v>
      </c>
      <c r="I582">
        <f t="shared" si="29"/>
        <v>1.7647174759533334E-5</v>
      </c>
      <c r="J582">
        <f t="shared" si="30"/>
        <v>17.647174759533335</v>
      </c>
    </row>
    <row r="583" spans="1:10" x14ac:dyDescent="0.35">
      <c r="A583" t="s">
        <v>6</v>
      </c>
      <c r="B583" s="6">
        <v>44806</v>
      </c>
      <c r="C583" s="3">
        <v>0.33333333333333331</v>
      </c>
      <c r="D583" t="s">
        <v>21</v>
      </c>
      <c r="E583" t="s">
        <v>11</v>
      </c>
      <c r="F583">
        <v>0.68400000000000005</v>
      </c>
      <c r="G583">
        <v>0.89700000000000002</v>
      </c>
      <c r="H583">
        <f t="shared" si="28"/>
        <v>0.31140350877192974</v>
      </c>
      <c r="I583">
        <f t="shared" si="29"/>
        <v>2.8302721115173614E-5</v>
      </c>
      <c r="J583">
        <f t="shared" si="30"/>
        <v>28.302721115173615</v>
      </c>
    </row>
    <row r="584" spans="1:10" x14ac:dyDescent="0.35">
      <c r="A584" t="s">
        <v>6</v>
      </c>
      <c r="B584" s="6">
        <v>44806</v>
      </c>
      <c r="C584" s="3">
        <v>0.35416666666666669</v>
      </c>
      <c r="D584" t="s">
        <v>21</v>
      </c>
      <c r="E584" t="s">
        <v>11</v>
      </c>
      <c r="F584">
        <v>0.624</v>
      </c>
      <c r="G584">
        <v>0.89700000000000002</v>
      </c>
      <c r="H584">
        <f t="shared" si="28"/>
        <v>0.43750000000000006</v>
      </c>
      <c r="I584">
        <f t="shared" si="29"/>
        <v>4.3012130025178742E-5</v>
      </c>
      <c r="J584">
        <f t="shared" si="30"/>
        <v>43.012130025178742</v>
      </c>
    </row>
    <row r="585" spans="1:10" x14ac:dyDescent="0.35">
      <c r="A585" t="s">
        <v>6</v>
      </c>
      <c r="B585" s="6">
        <v>44806</v>
      </c>
      <c r="C585" s="3">
        <v>0.375</v>
      </c>
      <c r="D585" t="s">
        <v>21</v>
      </c>
      <c r="E585" t="s">
        <v>11</v>
      </c>
      <c r="F585">
        <v>0.56000000000000005</v>
      </c>
      <c r="G585">
        <v>0.89700000000000002</v>
      </c>
      <c r="H585">
        <f t="shared" si="28"/>
        <v>0.60178571428571415</v>
      </c>
      <c r="I585">
        <f t="shared" si="29"/>
        <v>6.3685403991086214E-5</v>
      </c>
      <c r="J585">
        <f t="shared" si="30"/>
        <v>63.685403991086211</v>
      </c>
    </row>
    <row r="586" spans="1:10" x14ac:dyDescent="0.35">
      <c r="A586" t="s">
        <v>6</v>
      </c>
      <c r="B586" s="6">
        <v>44806</v>
      </c>
      <c r="C586" s="3">
        <v>0.39583333333333331</v>
      </c>
      <c r="D586" t="s">
        <v>21</v>
      </c>
      <c r="E586" t="s">
        <v>11</v>
      </c>
      <c r="F586">
        <v>0.53400000000000003</v>
      </c>
      <c r="G586">
        <v>0.89700000000000002</v>
      </c>
      <c r="H586">
        <f t="shared" si="28"/>
        <v>0.6797752808988764</v>
      </c>
      <c r="I586">
        <f t="shared" si="29"/>
        <v>7.3992675185970453E-5</v>
      </c>
      <c r="J586">
        <f t="shared" si="30"/>
        <v>73.992675185970455</v>
      </c>
    </row>
    <row r="587" spans="1:10" x14ac:dyDescent="0.35">
      <c r="A587" t="s">
        <v>6</v>
      </c>
      <c r="B587" s="6">
        <v>44806</v>
      </c>
      <c r="C587" s="3">
        <v>0.41666666666666669</v>
      </c>
      <c r="D587" t="s">
        <v>21</v>
      </c>
      <c r="E587" t="s">
        <v>11</v>
      </c>
      <c r="F587">
        <v>0.52700000000000002</v>
      </c>
      <c r="G587">
        <v>0.89700000000000002</v>
      </c>
      <c r="H587">
        <f t="shared" si="28"/>
        <v>0.70208728652751418</v>
      </c>
      <c r="I587">
        <f t="shared" si="29"/>
        <v>7.6993562756792256E-5</v>
      </c>
      <c r="J587">
        <f t="shared" si="30"/>
        <v>76.993562756792258</v>
      </c>
    </row>
    <row r="588" spans="1:10" x14ac:dyDescent="0.35">
      <c r="A588" t="s">
        <v>6</v>
      </c>
      <c r="B588" s="6">
        <v>44806</v>
      </c>
      <c r="C588" s="3">
        <v>0.4375</v>
      </c>
      <c r="D588" t="s">
        <v>21</v>
      </c>
      <c r="E588" t="s">
        <v>11</v>
      </c>
      <c r="F588">
        <v>0.52700000000000002</v>
      </c>
      <c r="G588">
        <v>0.89700000000000002</v>
      </c>
      <c r="H588">
        <f t="shared" si="28"/>
        <v>0.70208728652751418</v>
      </c>
      <c r="I588">
        <f t="shared" si="29"/>
        <v>7.6993562756792256E-5</v>
      </c>
      <c r="J588">
        <f t="shared" si="30"/>
        <v>76.993562756792258</v>
      </c>
    </row>
    <row r="589" spans="1:10" x14ac:dyDescent="0.35">
      <c r="A589" t="s">
        <v>6</v>
      </c>
      <c r="B589" s="6">
        <v>44806</v>
      </c>
      <c r="C589" s="3">
        <v>0.45833333333333331</v>
      </c>
      <c r="D589" t="s">
        <v>21</v>
      </c>
      <c r="E589" t="s">
        <v>11</v>
      </c>
      <c r="F589">
        <v>0.52800000000000002</v>
      </c>
      <c r="G589">
        <v>0.89700000000000002</v>
      </c>
      <c r="H589">
        <f t="shared" si="28"/>
        <v>0.69886363636363635</v>
      </c>
      <c r="I589">
        <f t="shared" si="29"/>
        <v>7.6558613475608469E-5</v>
      </c>
      <c r="J589">
        <f t="shared" si="30"/>
        <v>76.558613475608468</v>
      </c>
    </row>
    <row r="590" spans="1:10" x14ac:dyDescent="0.35">
      <c r="A590" t="s">
        <v>6</v>
      </c>
      <c r="B590" s="6">
        <v>44806</v>
      </c>
      <c r="C590" s="3">
        <v>0.47916666666666669</v>
      </c>
      <c r="D590" t="s">
        <v>21</v>
      </c>
      <c r="E590" t="s">
        <v>11</v>
      </c>
      <c r="F590">
        <v>0.53500000000000003</v>
      </c>
      <c r="G590">
        <v>0.89700000000000002</v>
      </c>
      <c r="H590">
        <f t="shared" si="28"/>
        <v>0.67663551401869149</v>
      </c>
      <c r="I590">
        <f t="shared" si="29"/>
        <v>7.3572193779450527E-5</v>
      </c>
      <c r="J590">
        <f t="shared" si="30"/>
        <v>73.572193779450529</v>
      </c>
    </row>
    <row r="591" spans="1:10" x14ac:dyDescent="0.35">
      <c r="A591" t="s">
        <v>6</v>
      </c>
      <c r="B591" s="6">
        <v>44806</v>
      </c>
      <c r="C591" s="3">
        <v>0.5625</v>
      </c>
      <c r="D591" t="s">
        <v>21</v>
      </c>
      <c r="E591" t="s">
        <v>11</v>
      </c>
      <c r="F591">
        <v>0.55000000000000004</v>
      </c>
      <c r="G591">
        <v>0.89700000000000002</v>
      </c>
      <c r="H591">
        <f t="shared" si="28"/>
        <v>0.63090909090909086</v>
      </c>
      <c r="I591">
        <f t="shared" si="29"/>
        <v>6.7500357673375727E-5</v>
      </c>
      <c r="J591">
        <f t="shared" si="30"/>
        <v>67.500357673375731</v>
      </c>
    </row>
    <row r="592" spans="1:10" x14ac:dyDescent="0.35">
      <c r="A592" t="s">
        <v>6</v>
      </c>
      <c r="B592" s="6">
        <v>44806</v>
      </c>
      <c r="C592" s="3">
        <v>0.58333333333333337</v>
      </c>
      <c r="D592" t="s">
        <v>21</v>
      </c>
      <c r="E592" t="s">
        <v>11</v>
      </c>
      <c r="F592">
        <v>0.54900000000000004</v>
      </c>
      <c r="G592">
        <v>0.89700000000000002</v>
      </c>
      <c r="H592">
        <f t="shared" si="28"/>
        <v>0.63387978142076495</v>
      </c>
      <c r="I592">
        <f t="shared" si="29"/>
        <v>6.7891820556004686E-5</v>
      </c>
      <c r="J592">
        <f t="shared" si="30"/>
        <v>67.891820556004689</v>
      </c>
    </row>
    <row r="593" spans="1:10" x14ac:dyDescent="0.35">
      <c r="A593" t="s">
        <v>6</v>
      </c>
      <c r="B593" s="6">
        <v>44806</v>
      </c>
      <c r="C593" s="3">
        <v>0.60416666666666663</v>
      </c>
      <c r="D593" t="s">
        <v>21</v>
      </c>
      <c r="E593" t="s">
        <v>11</v>
      </c>
      <c r="F593">
        <v>0.56200000000000006</v>
      </c>
      <c r="G593">
        <v>0.89700000000000002</v>
      </c>
      <c r="H593">
        <f t="shared" si="28"/>
        <v>0.59608540925266895</v>
      </c>
      <c r="I593">
        <f t="shared" si="29"/>
        <v>6.2943619716311901E-5</v>
      </c>
      <c r="J593">
        <f t="shared" si="30"/>
        <v>62.9436197163119</v>
      </c>
    </row>
    <row r="594" spans="1:10" x14ac:dyDescent="0.35">
      <c r="A594" t="s">
        <v>6</v>
      </c>
      <c r="B594" s="6">
        <v>44806</v>
      </c>
      <c r="C594" s="3">
        <v>0.625</v>
      </c>
      <c r="D594" t="s">
        <v>21</v>
      </c>
      <c r="E594" t="s">
        <v>11</v>
      </c>
      <c r="F594">
        <v>0.58899999999999997</v>
      </c>
      <c r="G594">
        <v>0.89700000000000002</v>
      </c>
      <c r="H594">
        <f t="shared" si="28"/>
        <v>0.52292020373514447</v>
      </c>
      <c r="I594">
        <f t="shared" si="29"/>
        <v>5.3572383060027967E-5</v>
      </c>
      <c r="J594">
        <f t="shared" si="30"/>
        <v>53.572383060027967</v>
      </c>
    </row>
    <row r="595" spans="1:10" x14ac:dyDescent="0.35">
      <c r="A595" t="s">
        <v>6</v>
      </c>
      <c r="B595" s="6">
        <v>44806</v>
      </c>
      <c r="C595" s="3">
        <v>0.64583333333333337</v>
      </c>
      <c r="D595" t="s">
        <v>21</v>
      </c>
      <c r="E595" t="s">
        <v>11</v>
      </c>
      <c r="F595">
        <v>0.61</v>
      </c>
      <c r="G595">
        <v>0.89700000000000002</v>
      </c>
      <c r="H595">
        <f t="shared" si="28"/>
        <v>0.47049180327868861</v>
      </c>
      <c r="I595">
        <f t="shared" si="29"/>
        <v>4.7039050782278225E-5</v>
      </c>
      <c r="J595">
        <f t="shared" si="30"/>
        <v>47.039050782278224</v>
      </c>
    </row>
    <row r="596" spans="1:10" x14ac:dyDescent="0.35">
      <c r="A596" t="s">
        <v>6</v>
      </c>
      <c r="B596" s="6">
        <v>44806</v>
      </c>
      <c r="C596" s="3">
        <v>0.66666666666666663</v>
      </c>
      <c r="D596" t="s">
        <v>21</v>
      </c>
      <c r="E596" t="s">
        <v>11</v>
      </c>
      <c r="F596">
        <v>0.621</v>
      </c>
      <c r="G596">
        <v>0.89700000000000002</v>
      </c>
      <c r="H596">
        <f t="shared" si="28"/>
        <v>0.44444444444444448</v>
      </c>
      <c r="I596">
        <f t="shared" si="29"/>
        <v>4.3854107978456821E-5</v>
      </c>
      <c r="J596">
        <f t="shared" si="30"/>
        <v>43.854107978456824</v>
      </c>
    </row>
    <row r="597" spans="1:10" x14ac:dyDescent="0.35">
      <c r="A597" t="s">
        <v>6</v>
      </c>
      <c r="B597" s="6">
        <v>44806</v>
      </c>
      <c r="C597" s="3">
        <v>0</v>
      </c>
      <c r="D597" t="s">
        <v>18</v>
      </c>
      <c r="E597" t="s">
        <v>34</v>
      </c>
      <c r="F597">
        <v>0.89700000000000002</v>
      </c>
      <c r="G597">
        <f>MAX(F597:F623)</f>
        <v>0.94399999999999995</v>
      </c>
      <c r="H597">
        <f t="shared" si="28"/>
        <v>5.2396878483834924E-2</v>
      </c>
      <c r="I597">
        <f t="shared" si="29"/>
        <v>3.1550912711448366E-6</v>
      </c>
      <c r="J597">
        <f t="shared" si="30"/>
        <v>3.1550912711448365</v>
      </c>
    </row>
    <row r="598" spans="1:10" x14ac:dyDescent="0.35">
      <c r="A598" t="s">
        <v>6</v>
      </c>
      <c r="B598" s="6">
        <v>44806</v>
      </c>
      <c r="C598" s="3">
        <v>2.0833333333333332E-2</v>
      </c>
      <c r="D598" t="s">
        <v>18</v>
      </c>
      <c r="E598" t="s">
        <v>34</v>
      </c>
      <c r="F598">
        <v>0.90500000000000003</v>
      </c>
      <c r="G598">
        <v>0.94399999999999995</v>
      </c>
      <c r="H598">
        <f t="shared" si="28"/>
        <v>4.3093922651933618E-2</v>
      </c>
      <c r="I598">
        <f t="shared" si="29"/>
        <v>2.4803507057864919E-6</v>
      </c>
      <c r="J598">
        <f t="shared" si="30"/>
        <v>2.480350705786492</v>
      </c>
    </row>
    <row r="599" spans="1:10" x14ac:dyDescent="0.35">
      <c r="A599" t="s">
        <v>6</v>
      </c>
      <c r="B599" s="6">
        <v>44806</v>
      </c>
      <c r="C599" s="3">
        <v>4.1666666666666664E-2</v>
      </c>
      <c r="D599" t="s">
        <v>18</v>
      </c>
      <c r="E599" t="s">
        <v>34</v>
      </c>
      <c r="F599">
        <v>0.91</v>
      </c>
      <c r="G599">
        <v>0.94399999999999995</v>
      </c>
      <c r="H599">
        <f t="shared" si="28"/>
        <v>3.7362637362637272E-2</v>
      </c>
      <c r="I599">
        <f t="shared" si="29"/>
        <v>2.0807387458197344E-6</v>
      </c>
      <c r="J599">
        <f t="shared" si="30"/>
        <v>2.0807387458197346</v>
      </c>
    </row>
    <row r="600" spans="1:10" x14ac:dyDescent="0.35">
      <c r="A600" t="s">
        <v>6</v>
      </c>
      <c r="B600" s="6">
        <v>44806</v>
      </c>
      <c r="C600" s="3">
        <v>6.25E-2</v>
      </c>
      <c r="D600" t="s">
        <v>18</v>
      </c>
      <c r="E600" t="s">
        <v>34</v>
      </c>
      <c r="F600">
        <v>0.91400000000000003</v>
      </c>
      <c r="G600">
        <v>0.94399999999999995</v>
      </c>
      <c r="H600">
        <f t="shared" si="28"/>
        <v>3.2822757111597281E-2</v>
      </c>
      <c r="I600">
        <f t="shared" si="29"/>
        <v>1.7740197848053272E-6</v>
      </c>
      <c r="J600">
        <f t="shared" si="30"/>
        <v>1.7740197848053272</v>
      </c>
    </row>
    <row r="601" spans="1:10" x14ac:dyDescent="0.35">
      <c r="A601" t="s">
        <v>6</v>
      </c>
      <c r="B601" s="6">
        <v>44806</v>
      </c>
      <c r="C601" s="3">
        <v>8.3333333333333329E-2</v>
      </c>
      <c r="D601" t="s">
        <v>18</v>
      </c>
      <c r="E601" t="s">
        <v>34</v>
      </c>
      <c r="F601">
        <v>0.91700000000000004</v>
      </c>
      <c r="G601">
        <v>0.94399999999999995</v>
      </c>
      <c r="H601">
        <f t="shared" si="28"/>
        <v>2.9443838604143853E-2</v>
      </c>
      <c r="I601">
        <f t="shared" si="29"/>
        <v>1.5519549228986269E-6</v>
      </c>
      <c r="J601">
        <f t="shared" si="30"/>
        <v>1.5519549228986269</v>
      </c>
    </row>
    <row r="602" spans="1:10" x14ac:dyDescent="0.35">
      <c r="A602" t="s">
        <v>6</v>
      </c>
      <c r="B602" s="6">
        <v>44806</v>
      </c>
      <c r="C602" s="3">
        <v>0.10416666666666667</v>
      </c>
      <c r="D602" t="s">
        <v>18</v>
      </c>
      <c r="E602" t="s">
        <v>34</v>
      </c>
      <c r="F602">
        <v>0.92</v>
      </c>
      <c r="G602">
        <v>0.94399999999999995</v>
      </c>
      <c r="H602">
        <f t="shared" si="28"/>
        <v>2.6086956521739032E-2</v>
      </c>
      <c r="I602">
        <f t="shared" si="29"/>
        <v>1.3371009103091198E-6</v>
      </c>
      <c r="J602">
        <f t="shared" si="30"/>
        <v>1.3371009103091198</v>
      </c>
    </row>
    <row r="603" spans="1:10" x14ac:dyDescent="0.35">
      <c r="A603" t="s">
        <v>6</v>
      </c>
      <c r="B603" s="6">
        <v>44806</v>
      </c>
      <c r="C603" s="3">
        <v>0.125</v>
      </c>
      <c r="D603" t="s">
        <v>18</v>
      </c>
      <c r="E603" t="s">
        <v>34</v>
      </c>
      <c r="F603">
        <v>0.92100000000000004</v>
      </c>
      <c r="G603">
        <v>0.94399999999999995</v>
      </c>
      <c r="H603">
        <f t="shared" si="28"/>
        <v>2.4972855591748E-2</v>
      </c>
      <c r="I603">
        <f t="shared" si="29"/>
        <v>1.2671566957157863E-6</v>
      </c>
      <c r="J603">
        <f t="shared" si="30"/>
        <v>1.2671566957157863</v>
      </c>
    </row>
    <row r="604" spans="1:10" x14ac:dyDescent="0.35">
      <c r="A604" t="s">
        <v>6</v>
      </c>
      <c r="B604" s="6">
        <v>44806</v>
      </c>
      <c r="C604" s="3">
        <v>0.14583333333333334</v>
      </c>
      <c r="D604" t="s">
        <v>18</v>
      </c>
      <c r="E604" t="s">
        <v>34</v>
      </c>
      <c r="F604">
        <v>0.92400000000000004</v>
      </c>
      <c r="G604">
        <v>0.94399999999999995</v>
      </c>
      <c r="H604">
        <f t="shared" si="28"/>
        <v>2.1645021645021544E-2</v>
      </c>
      <c r="I604">
        <f t="shared" si="29"/>
        <v>1.0626070414812894E-6</v>
      </c>
      <c r="J604">
        <f t="shared" si="30"/>
        <v>1.0626070414812894</v>
      </c>
    </row>
    <row r="605" spans="1:10" x14ac:dyDescent="0.35">
      <c r="A605" t="s">
        <v>6</v>
      </c>
      <c r="B605" s="6">
        <v>44806</v>
      </c>
      <c r="C605" s="3">
        <v>0.16666666666666666</v>
      </c>
      <c r="D605" t="s">
        <v>18</v>
      </c>
      <c r="E605" t="s">
        <v>34</v>
      </c>
      <c r="F605">
        <v>0.92500000000000004</v>
      </c>
      <c r="G605">
        <v>0.94399999999999995</v>
      </c>
      <c r="H605">
        <f t="shared" si="28"/>
        <v>2.0540540540540438E-2</v>
      </c>
      <c r="I605">
        <f t="shared" si="29"/>
        <v>9.9625880137496099E-7</v>
      </c>
      <c r="J605">
        <f t="shared" si="30"/>
        <v>0.99625880137496103</v>
      </c>
    </row>
    <row r="606" spans="1:10" x14ac:dyDescent="0.35">
      <c r="A606" t="s">
        <v>6</v>
      </c>
      <c r="B606" s="6">
        <v>44806</v>
      </c>
      <c r="C606" s="3">
        <v>0.1875</v>
      </c>
      <c r="D606" t="s">
        <v>18</v>
      </c>
      <c r="E606" t="s">
        <v>34</v>
      </c>
      <c r="F606">
        <v>0.92500000000000004</v>
      </c>
      <c r="G606">
        <v>0.94399999999999995</v>
      </c>
      <c r="H606">
        <f t="shared" si="28"/>
        <v>2.0540540540540438E-2</v>
      </c>
      <c r="I606">
        <f t="shared" si="29"/>
        <v>9.9625880137496099E-7</v>
      </c>
      <c r="J606">
        <f t="shared" si="30"/>
        <v>0.99625880137496103</v>
      </c>
    </row>
    <row r="607" spans="1:10" x14ac:dyDescent="0.35">
      <c r="A607" t="s">
        <v>6</v>
      </c>
      <c r="B607" s="6">
        <v>44806</v>
      </c>
      <c r="C607" s="3">
        <v>0.20833333333333334</v>
      </c>
      <c r="D607" t="s">
        <v>18</v>
      </c>
      <c r="E607" t="s">
        <v>34</v>
      </c>
      <c r="F607">
        <v>0.92600000000000005</v>
      </c>
      <c r="G607">
        <v>0.94399999999999995</v>
      </c>
      <c r="H607">
        <f t="shared" si="28"/>
        <v>1.9438444924405943E-2</v>
      </c>
      <c r="I607">
        <f t="shared" si="29"/>
        <v>9.3087054966815531E-7</v>
      </c>
      <c r="J607">
        <f t="shared" si="30"/>
        <v>0.9308705496681553</v>
      </c>
    </row>
    <row r="608" spans="1:10" x14ac:dyDescent="0.35">
      <c r="A608" t="s">
        <v>6</v>
      </c>
      <c r="B608" s="6">
        <v>44806</v>
      </c>
      <c r="C608" s="3">
        <v>0.22916666666666666</v>
      </c>
      <c r="D608" t="s">
        <v>18</v>
      </c>
      <c r="E608" t="s">
        <v>34</v>
      </c>
      <c r="F608">
        <v>0.92600000000000005</v>
      </c>
      <c r="G608">
        <v>0.94399999999999995</v>
      </c>
      <c r="H608">
        <f t="shared" si="28"/>
        <v>1.9438444924405943E-2</v>
      </c>
      <c r="I608">
        <f t="shared" si="29"/>
        <v>9.3087054966815531E-7</v>
      </c>
      <c r="J608">
        <f t="shared" si="30"/>
        <v>0.9308705496681553</v>
      </c>
    </row>
    <row r="609" spans="1:10" x14ac:dyDescent="0.35">
      <c r="A609" t="s">
        <v>6</v>
      </c>
      <c r="B609" s="6">
        <v>44806</v>
      </c>
      <c r="C609" s="3">
        <v>0.33333333333333331</v>
      </c>
      <c r="D609" t="s">
        <v>18</v>
      </c>
      <c r="E609" t="s">
        <v>34</v>
      </c>
      <c r="F609">
        <v>0.93700000000000006</v>
      </c>
      <c r="G609">
        <v>0.94399999999999995</v>
      </c>
      <c r="H609">
        <f t="shared" si="28"/>
        <v>7.4706510138739541E-3</v>
      </c>
      <c r="I609">
        <f t="shared" si="29"/>
        <v>2.8684759451391391E-7</v>
      </c>
      <c r="J609">
        <f t="shared" si="30"/>
        <v>0.28684759451391389</v>
      </c>
    </row>
    <row r="610" spans="1:10" x14ac:dyDescent="0.35">
      <c r="A610" t="s">
        <v>6</v>
      </c>
      <c r="B610" s="6">
        <v>44806</v>
      </c>
      <c r="C610" s="3">
        <v>0.35416666666666669</v>
      </c>
      <c r="D610" t="s">
        <v>18</v>
      </c>
      <c r="E610" t="s">
        <v>34</v>
      </c>
      <c r="F610">
        <v>0.94</v>
      </c>
      <c r="G610">
        <v>0.94399999999999995</v>
      </c>
      <c r="H610">
        <f t="shared" si="28"/>
        <v>4.2553191489361746E-3</v>
      </c>
      <c r="I610">
        <f t="shared" si="29"/>
        <v>1.4347043759448404E-7</v>
      </c>
      <c r="J610">
        <f t="shared" si="30"/>
        <v>0.14347043759448402</v>
      </c>
    </row>
    <row r="611" spans="1:10" x14ac:dyDescent="0.35">
      <c r="A611" t="s">
        <v>6</v>
      </c>
      <c r="B611" s="6">
        <v>44806</v>
      </c>
      <c r="C611" s="3">
        <v>0.375</v>
      </c>
      <c r="D611" t="s">
        <v>18</v>
      </c>
      <c r="E611" t="s">
        <v>34</v>
      </c>
      <c r="F611">
        <v>0.94399999999999995</v>
      </c>
      <c r="G611">
        <v>0.94399999999999995</v>
      </c>
      <c r="H611">
        <f t="shared" si="28"/>
        <v>0</v>
      </c>
      <c r="I611">
        <f t="shared" si="29"/>
        <v>0</v>
      </c>
      <c r="J611">
        <f t="shared" si="30"/>
        <v>0</v>
      </c>
    </row>
    <row r="612" spans="1:10" x14ac:dyDescent="0.35">
      <c r="A612" t="s">
        <v>6</v>
      </c>
      <c r="B612" s="6">
        <v>44806</v>
      </c>
      <c r="C612" s="3">
        <v>0.39583333333333331</v>
      </c>
      <c r="D612" t="s">
        <v>18</v>
      </c>
      <c r="E612" t="s">
        <v>34</v>
      </c>
      <c r="F612">
        <v>0.94399999999999995</v>
      </c>
      <c r="G612">
        <v>0.94399999999999995</v>
      </c>
      <c r="H612">
        <f t="shared" si="28"/>
        <v>0</v>
      </c>
      <c r="I612">
        <f t="shared" si="29"/>
        <v>0</v>
      </c>
      <c r="J612">
        <f t="shared" si="30"/>
        <v>0</v>
      </c>
    </row>
    <row r="613" spans="1:10" x14ac:dyDescent="0.35">
      <c r="A613" t="s">
        <v>6</v>
      </c>
      <c r="B613" s="6">
        <v>44806</v>
      </c>
      <c r="C613" s="3">
        <v>0.41666666666666669</v>
      </c>
      <c r="D613" t="s">
        <v>18</v>
      </c>
      <c r="E613" t="s">
        <v>34</v>
      </c>
      <c r="F613">
        <v>0.94299999999999995</v>
      </c>
      <c r="G613">
        <v>0.94399999999999995</v>
      </c>
      <c r="H613">
        <f t="shared" si="28"/>
        <v>1.0604453870625672E-3</v>
      </c>
      <c r="I613">
        <f t="shared" si="29"/>
        <v>2.5937198612694793E-8</v>
      </c>
      <c r="J613">
        <f t="shared" si="30"/>
        <v>2.5937198612694792E-2</v>
      </c>
    </row>
    <row r="614" spans="1:10" x14ac:dyDescent="0.35">
      <c r="A614" t="s">
        <v>6</v>
      </c>
      <c r="B614" s="6">
        <v>44806</v>
      </c>
      <c r="C614" s="3">
        <v>0.4375</v>
      </c>
      <c r="D614" t="s">
        <v>18</v>
      </c>
      <c r="E614" t="s">
        <v>34</v>
      </c>
      <c r="F614">
        <v>0.94</v>
      </c>
      <c r="G614">
        <v>0.94399999999999995</v>
      </c>
      <c r="H614">
        <f t="shared" si="28"/>
        <v>4.2553191489361746E-3</v>
      </c>
      <c r="I614">
        <f t="shared" si="29"/>
        <v>1.4347043759448404E-7</v>
      </c>
      <c r="J614">
        <f t="shared" si="30"/>
        <v>0.14347043759448402</v>
      </c>
    </row>
    <row r="615" spans="1:10" x14ac:dyDescent="0.35">
      <c r="A615" t="s">
        <v>6</v>
      </c>
      <c r="B615" s="6">
        <v>44806</v>
      </c>
      <c r="C615" s="3">
        <v>0.45833333333333331</v>
      </c>
      <c r="D615" t="s">
        <v>18</v>
      </c>
      <c r="E615" t="s">
        <v>34</v>
      </c>
      <c r="F615">
        <v>0.93700000000000006</v>
      </c>
      <c r="G615">
        <v>0.94399999999999995</v>
      </c>
      <c r="H615">
        <f t="shared" si="28"/>
        <v>7.4706510138739541E-3</v>
      </c>
      <c r="I615">
        <f t="shared" si="29"/>
        <v>2.8684759451391391E-7</v>
      </c>
      <c r="J615">
        <f t="shared" si="30"/>
        <v>0.28684759451391389</v>
      </c>
    </row>
    <row r="616" spans="1:10" x14ac:dyDescent="0.35">
      <c r="A616" t="s">
        <v>6</v>
      </c>
      <c r="B616" s="6">
        <v>44806</v>
      </c>
      <c r="C616" s="3">
        <v>0.47916666666666669</v>
      </c>
      <c r="D616" t="s">
        <v>18</v>
      </c>
      <c r="E616" t="s">
        <v>34</v>
      </c>
      <c r="F616">
        <v>0.93400000000000005</v>
      </c>
      <c r="G616">
        <v>0.94399999999999995</v>
      </c>
      <c r="H616">
        <f t="shared" si="28"/>
        <v>1.0706638115631582E-2</v>
      </c>
      <c r="I616">
        <f t="shared" si="29"/>
        <v>4.4673497697490647E-7</v>
      </c>
      <c r="J616">
        <f t="shared" si="30"/>
        <v>0.44673497697490649</v>
      </c>
    </row>
    <row r="617" spans="1:10" x14ac:dyDescent="0.35">
      <c r="A617" t="s">
        <v>6</v>
      </c>
      <c r="B617" s="6">
        <v>44806</v>
      </c>
      <c r="C617" s="3">
        <v>0.5625</v>
      </c>
      <c r="D617" t="s">
        <v>18</v>
      </c>
      <c r="E617" t="s">
        <v>34</v>
      </c>
      <c r="F617">
        <v>0.91</v>
      </c>
      <c r="G617">
        <v>0.94399999999999995</v>
      </c>
      <c r="H617">
        <f t="shared" si="28"/>
        <v>3.7362637362637272E-2</v>
      </c>
      <c r="I617">
        <f t="shared" si="29"/>
        <v>2.0807387458197344E-6</v>
      </c>
      <c r="J617">
        <f t="shared" si="30"/>
        <v>2.0807387458197346</v>
      </c>
    </row>
    <row r="618" spans="1:10" x14ac:dyDescent="0.35">
      <c r="A618" t="s">
        <v>6</v>
      </c>
      <c r="B618" s="6">
        <v>44806</v>
      </c>
      <c r="C618" s="3">
        <v>0.58333333333333337</v>
      </c>
      <c r="D618" t="s">
        <v>18</v>
      </c>
      <c r="E618" t="s">
        <v>34</v>
      </c>
      <c r="F618">
        <v>0.91300000000000003</v>
      </c>
      <c r="G618">
        <v>0.94399999999999995</v>
      </c>
      <c r="H618">
        <f t="shared" si="28"/>
        <v>3.3953997809419406E-2</v>
      </c>
      <c r="I618">
        <f t="shared" si="29"/>
        <v>1.8495823795447671E-6</v>
      </c>
      <c r="J618">
        <f t="shared" si="30"/>
        <v>1.849582379544767</v>
      </c>
    </row>
    <row r="619" spans="1:10" x14ac:dyDescent="0.35">
      <c r="A619" t="s">
        <v>6</v>
      </c>
      <c r="B619" s="6">
        <v>44806</v>
      </c>
      <c r="C619" s="3">
        <v>0.60416666666666663</v>
      </c>
      <c r="D619" t="s">
        <v>18</v>
      </c>
      <c r="E619" t="s">
        <v>34</v>
      </c>
      <c r="F619">
        <v>0.90900000000000003</v>
      </c>
      <c r="G619">
        <v>0.94399999999999995</v>
      </c>
      <c r="H619">
        <f t="shared" si="28"/>
        <v>3.8503850385038417E-2</v>
      </c>
      <c r="I619">
        <f t="shared" si="29"/>
        <v>2.1592482870552604E-6</v>
      </c>
      <c r="J619">
        <f t="shared" si="30"/>
        <v>2.1592482870552603</v>
      </c>
    </row>
    <row r="620" spans="1:10" x14ac:dyDescent="0.35">
      <c r="A620" t="s">
        <v>6</v>
      </c>
      <c r="B620" s="6">
        <v>44806</v>
      </c>
      <c r="C620" s="3">
        <v>0.625</v>
      </c>
      <c r="D620" t="s">
        <v>18</v>
      </c>
      <c r="E620" t="s">
        <v>34</v>
      </c>
      <c r="F620">
        <v>0.9</v>
      </c>
      <c r="G620">
        <v>0.94399999999999995</v>
      </c>
      <c r="H620">
        <f t="shared" si="28"/>
        <v>4.8888888888888808E-2</v>
      </c>
      <c r="I620">
        <f t="shared" si="29"/>
        <v>2.8971079443047686E-6</v>
      </c>
      <c r="J620">
        <f t="shared" si="30"/>
        <v>2.8971079443047687</v>
      </c>
    </row>
    <row r="621" spans="1:10" x14ac:dyDescent="0.35">
      <c r="A621" t="s">
        <v>6</v>
      </c>
      <c r="B621" s="6">
        <v>44806</v>
      </c>
      <c r="C621" s="3">
        <v>0.64583333333333337</v>
      </c>
      <c r="D621" t="s">
        <v>18</v>
      </c>
      <c r="E621" t="s">
        <v>34</v>
      </c>
      <c r="F621">
        <v>0.88700000000000001</v>
      </c>
      <c r="G621">
        <v>0.94399999999999995</v>
      </c>
      <c r="H621">
        <f t="shared" si="28"/>
        <v>6.4261555806087861E-2</v>
      </c>
      <c r="I621">
        <f t="shared" si="29"/>
        <v>4.0563454411259729E-6</v>
      </c>
      <c r="J621">
        <f t="shared" si="30"/>
        <v>4.0563454411259725</v>
      </c>
    </row>
    <row r="622" spans="1:10" x14ac:dyDescent="0.35">
      <c r="A622" t="s">
        <v>6</v>
      </c>
      <c r="B622" s="6">
        <v>44806</v>
      </c>
      <c r="C622" s="3">
        <v>0.66666666666666663</v>
      </c>
      <c r="D622" t="s">
        <v>18</v>
      </c>
      <c r="E622" t="s">
        <v>34</v>
      </c>
      <c r="F622">
        <v>0.89100000000000001</v>
      </c>
      <c r="G622">
        <v>0.94399999999999995</v>
      </c>
      <c r="H622">
        <f t="shared" si="28"/>
        <v>5.9483726150392748E-2</v>
      </c>
      <c r="I622">
        <f t="shared" si="29"/>
        <v>3.6883413135775322E-6</v>
      </c>
      <c r="J622">
        <f t="shared" si="30"/>
        <v>3.6883413135775323</v>
      </c>
    </row>
    <row r="623" spans="1:10" x14ac:dyDescent="0.35">
      <c r="A623" t="s">
        <v>6</v>
      </c>
      <c r="B623" s="6">
        <v>44806</v>
      </c>
      <c r="C623" s="3">
        <v>0</v>
      </c>
      <c r="D623" t="s">
        <v>22</v>
      </c>
      <c r="E623" t="s">
        <v>7</v>
      </c>
      <c r="F623">
        <v>0.69399999999999995</v>
      </c>
      <c r="G623">
        <f>MAX(F623:F649)</f>
        <v>0.80300000000000005</v>
      </c>
      <c r="H623">
        <f t="shared" si="28"/>
        <v>0.15706051873198862</v>
      </c>
      <c r="I623">
        <f t="shared" si="29"/>
        <v>1.2187243046672132E-5</v>
      </c>
      <c r="J623">
        <f t="shared" si="30"/>
        <v>12.187243046672132</v>
      </c>
    </row>
    <row r="624" spans="1:10" x14ac:dyDescent="0.35">
      <c r="A624" t="s">
        <v>6</v>
      </c>
      <c r="B624" s="6">
        <v>44806</v>
      </c>
      <c r="C624" s="3">
        <v>2.0833333333333332E-2</v>
      </c>
      <c r="D624" t="s">
        <v>22</v>
      </c>
      <c r="E624" t="s">
        <v>7</v>
      </c>
      <c r="F624">
        <v>0.70299999999999996</v>
      </c>
      <c r="G624">
        <v>0.80300000000000005</v>
      </c>
      <c r="H624">
        <f t="shared" si="28"/>
        <v>0.14224751066856345</v>
      </c>
      <c r="I624">
        <f t="shared" si="29"/>
        <v>1.078809982146398E-5</v>
      </c>
      <c r="J624">
        <f t="shared" si="30"/>
        <v>10.78809982146398</v>
      </c>
    </row>
    <row r="625" spans="1:10" x14ac:dyDescent="0.35">
      <c r="A625" t="s">
        <v>6</v>
      </c>
      <c r="B625" s="6">
        <v>44806</v>
      </c>
      <c r="C625" s="3">
        <v>4.1666666666666664E-2</v>
      </c>
      <c r="D625" t="s">
        <v>22</v>
      </c>
      <c r="E625" t="s">
        <v>7</v>
      </c>
      <c r="F625">
        <v>0.70899999999999996</v>
      </c>
      <c r="G625">
        <v>0.80300000000000005</v>
      </c>
      <c r="H625">
        <f t="shared" si="28"/>
        <v>0.13258110014104385</v>
      </c>
      <c r="I625">
        <f t="shared" si="29"/>
        <v>9.8928593283153771E-6</v>
      </c>
      <c r="J625">
        <f t="shared" si="30"/>
        <v>9.8928593283153763</v>
      </c>
    </row>
    <row r="626" spans="1:10" x14ac:dyDescent="0.35">
      <c r="A626" t="s">
        <v>6</v>
      </c>
      <c r="B626" s="6">
        <v>44806</v>
      </c>
      <c r="C626" s="3">
        <v>6.25E-2</v>
      </c>
      <c r="D626" t="s">
        <v>22</v>
      </c>
      <c r="E626" t="s">
        <v>7</v>
      </c>
      <c r="F626">
        <v>0.71399999999999997</v>
      </c>
      <c r="G626">
        <v>0.80300000000000005</v>
      </c>
      <c r="H626">
        <f t="shared" si="28"/>
        <v>0.1246498599439777</v>
      </c>
      <c r="I626">
        <f t="shared" si="29"/>
        <v>9.1694557889681673E-6</v>
      </c>
      <c r="J626">
        <f t="shared" si="30"/>
        <v>9.1694557889681665</v>
      </c>
    </row>
    <row r="627" spans="1:10" x14ac:dyDescent="0.35">
      <c r="A627" t="s">
        <v>6</v>
      </c>
      <c r="B627" s="6">
        <v>44806</v>
      </c>
      <c r="C627" s="3">
        <v>8.3333333333333329E-2</v>
      </c>
      <c r="D627" t="s">
        <v>22</v>
      </c>
      <c r="E627" t="s">
        <v>7</v>
      </c>
      <c r="F627">
        <v>0.71799999999999997</v>
      </c>
      <c r="G627">
        <v>0.80300000000000005</v>
      </c>
      <c r="H627">
        <f t="shared" si="28"/>
        <v>0.11838440111420624</v>
      </c>
      <c r="I627">
        <f t="shared" si="29"/>
        <v>8.6054278571675266E-6</v>
      </c>
      <c r="J627">
        <f t="shared" si="30"/>
        <v>8.6054278571675269</v>
      </c>
    </row>
    <row r="628" spans="1:10" x14ac:dyDescent="0.35">
      <c r="A628" t="s">
        <v>6</v>
      </c>
      <c r="B628" s="6">
        <v>44806</v>
      </c>
      <c r="C628" s="3">
        <v>0.10416666666666667</v>
      </c>
      <c r="D628" t="s">
        <v>22</v>
      </c>
      <c r="E628" t="s">
        <v>7</v>
      </c>
      <c r="F628">
        <v>0.72099999999999997</v>
      </c>
      <c r="G628">
        <v>0.80300000000000005</v>
      </c>
      <c r="H628">
        <f t="shared" si="28"/>
        <v>0.11373092926490995</v>
      </c>
      <c r="I628">
        <f t="shared" si="29"/>
        <v>8.1909354384859994E-6</v>
      </c>
      <c r="J628">
        <f t="shared" si="30"/>
        <v>8.1909354384859991</v>
      </c>
    </row>
    <row r="629" spans="1:10" x14ac:dyDescent="0.35">
      <c r="A629" t="s">
        <v>6</v>
      </c>
      <c r="B629" s="6">
        <v>44806</v>
      </c>
      <c r="C629" s="3">
        <v>0.125</v>
      </c>
      <c r="D629" t="s">
        <v>22</v>
      </c>
      <c r="E629" t="s">
        <v>7</v>
      </c>
      <c r="F629">
        <v>0.72299999999999998</v>
      </c>
      <c r="G629">
        <v>0.80300000000000005</v>
      </c>
      <c r="H629">
        <f t="shared" si="28"/>
        <v>0.11065006915629333</v>
      </c>
      <c r="I629">
        <f t="shared" si="29"/>
        <v>7.9186562649674326E-6</v>
      </c>
      <c r="J629">
        <f t="shared" si="30"/>
        <v>7.9186562649674324</v>
      </c>
    </row>
    <row r="630" spans="1:10" x14ac:dyDescent="0.35">
      <c r="A630" t="s">
        <v>6</v>
      </c>
      <c r="B630" s="6">
        <v>44806</v>
      </c>
      <c r="C630" s="3">
        <v>0.14583333333333334</v>
      </c>
      <c r="D630" t="s">
        <v>22</v>
      </c>
      <c r="E630" t="s">
        <v>7</v>
      </c>
      <c r="F630">
        <v>0.72499999999999998</v>
      </c>
      <c r="G630">
        <v>0.80300000000000005</v>
      </c>
      <c r="H630">
        <f t="shared" si="28"/>
        <v>0.10758620689655182</v>
      </c>
      <c r="I630">
        <f t="shared" si="29"/>
        <v>7.6496106539924948E-6</v>
      </c>
      <c r="J630">
        <f t="shared" si="30"/>
        <v>7.6496106539924948</v>
      </c>
    </row>
    <row r="631" spans="1:10" x14ac:dyDescent="0.35">
      <c r="A631" t="s">
        <v>6</v>
      </c>
      <c r="B631" s="6">
        <v>44806</v>
      </c>
      <c r="C631" s="3">
        <v>0.16666666666666666</v>
      </c>
      <c r="D631" t="s">
        <v>22</v>
      </c>
      <c r="E631" t="s">
        <v>7</v>
      </c>
      <c r="F631">
        <v>0.72599999999999998</v>
      </c>
      <c r="G631">
        <v>0.80300000000000005</v>
      </c>
      <c r="H631">
        <f t="shared" si="28"/>
        <v>0.10606060606060616</v>
      </c>
      <c r="I631">
        <f t="shared" si="29"/>
        <v>7.5162992751365201E-6</v>
      </c>
      <c r="J631">
        <f t="shared" si="30"/>
        <v>7.5162992751365199</v>
      </c>
    </row>
    <row r="632" spans="1:10" x14ac:dyDescent="0.35">
      <c r="A632" t="s">
        <v>6</v>
      </c>
      <c r="B632" s="6">
        <v>44806</v>
      </c>
      <c r="C632" s="3">
        <v>0.1875</v>
      </c>
      <c r="D632" t="s">
        <v>22</v>
      </c>
      <c r="E632" t="s">
        <v>7</v>
      </c>
      <c r="F632">
        <v>0.72799999999999998</v>
      </c>
      <c r="G632">
        <v>0.80300000000000005</v>
      </c>
      <c r="H632">
        <f t="shared" si="28"/>
        <v>0.10302197802197811</v>
      </c>
      <c r="I632">
        <f t="shared" si="29"/>
        <v>7.2520977405909853E-6</v>
      </c>
      <c r="J632">
        <f t="shared" si="30"/>
        <v>7.252097740590985</v>
      </c>
    </row>
    <row r="633" spans="1:10" x14ac:dyDescent="0.35">
      <c r="A633" t="s">
        <v>6</v>
      </c>
      <c r="B633" s="6">
        <v>44806</v>
      </c>
      <c r="C633" s="3">
        <v>0.20833333333333334</v>
      </c>
      <c r="D633" t="s">
        <v>22</v>
      </c>
      <c r="E633" t="s">
        <v>7</v>
      </c>
      <c r="F633">
        <v>0.72899999999999998</v>
      </c>
      <c r="G633">
        <v>0.80300000000000005</v>
      </c>
      <c r="H633">
        <f t="shared" si="28"/>
        <v>0.10150891632373123</v>
      </c>
      <c r="I633">
        <f t="shared" si="29"/>
        <v>7.1212071795592497E-6</v>
      </c>
      <c r="J633">
        <f t="shared" si="30"/>
        <v>7.1212071795592493</v>
      </c>
    </row>
    <row r="634" spans="1:10" x14ac:dyDescent="0.35">
      <c r="A634" t="s">
        <v>6</v>
      </c>
      <c r="B634" s="6">
        <v>44806</v>
      </c>
      <c r="C634" s="3">
        <v>0.22916666666666666</v>
      </c>
      <c r="D634" t="s">
        <v>22</v>
      </c>
      <c r="E634" t="s">
        <v>7</v>
      </c>
      <c r="F634">
        <v>0.73</v>
      </c>
      <c r="G634">
        <v>0.80300000000000005</v>
      </c>
      <c r="H634">
        <f t="shared" si="28"/>
        <v>0.10000000000000009</v>
      </c>
      <c r="I634">
        <f t="shared" si="29"/>
        <v>6.9911232951043453E-6</v>
      </c>
      <c r="J634">
        <f t="shared" si="30"/>
        <v>6.9911232951043454</v>
      </c>
    </row>
    <row r="635" spans="1:10" x14ac:dyDescent="0.35">
      <c r="A635" t="s">
        <v>6</v>
      </c>
      <c r="B635" s="6">
        <v>44806</v>
      </c>
      <c r="C635" s="3">
        <v>0.33333333333333331</v>
      </c>
      <c r="D635" t="s">
        <v>22</v>
      </c>
      <c r="E635" t="s">
        <v>7</v>
      </c>
      <c r="F635">
        <v>0.73899999999999999</v>
      </c>
      <c r="G635">
        <v>0.80300000000000005</v>
      </c>
      <c r="H635">
        <f t="shared" si="28"/>
        <v>8.6603518267929711E-2</v>
      </c>
      <c r="I635">
        <f t="shared" si="29"/>
        <v>5.8567030630883692E-6</v>
      </c>
      <c r="J635">
        <f t="shared" si="30"/>
        <v>5.8567030630883696</v>
      </c>
    </row>
    <row r="636" spans="1:10" x14ac:dyDescent="0.35">
      <c r="A636" t="s">
        <v>6</v>
      </c>
      <c r="B636" s="6">
        <v>44806</v>
      </c>
      <c r="C636" s="3">
        <v>0.35416666666666669</v>
      </c>
      <c r="D636" t="s">
        <v>22</v>
      </c>
      <c r="E636" t="s">
        <v>7</v>
      </c>
      <c r="F636">
        <v>0.745</v>
      </c>
      <c r="G636">
        <v>0.80300000000000005</v>
      </c>
      <c r="H636">
        <f t="shared" si="28"/>
        <v>7.7852348993288661E-2</v>
      </c>
      <c r="I636">
        <f t="shared" si="29"/>
        <v>5.1369158298339755E-6</v>
      </c>
      <c r="J636">
        <f t="shared" si="30"/>
        <v>5.1369158298339759</v>
      </c>
    </row>
    <row r="637" spans="1:10" x14ac:dyDescent="0.35">
      <c r="A637" t="s">
        <v>6</v>
      </c>
      <c r="B637" s="6">
        <v>44806</v>
      </c>
      <c r="C637" s="3">
        <v>0.375</v>
      </c>
      <c r="D637" t="s">
        <v>22</v>
      </c>
      <c r="E637" t="s">
        <v>7</v>
      </c>
      <c r="F637">
        <v>0.752</v>
      </c>
      <c r="G637">
        <v>0.80300000000000005</v>
      </c>
      <c r="H637">
        <f t="shared" si="28"/>
        <v>6.7819148936170276E-2</v>
      </c>
      <c r="I637">
        <f t="shared" si="29"/>
        <v>4.3345267391204221E-6</v>
      </c>
      <c r="J637">
        <f t="shared" si="30"/>
        <v>4.3345267391204221</v>
      </c>
    </row>
    <row r="638" spans="1:10" x14ac:dyDescent="0.35">
      <c r="A638" t="s">
        <v>6</v>
      </c>
      <c r="B638" s="6">
        <v>44806</v>
      </c>
      <c r="C638" s="3">
        <v>0.39583333333333331</v>
      </c>
      <c r="D638" t="s">
        <v>22</v>
      </c>
      <c r="E638" t="s">
        <v>7</v>
      </c>
      <c r="F638">
        <v>0.76100000000000001</v>
      </c>
      <c r="G638">
        <v>0.80300000000000005</v>
      </c>
      <c r="H638">
        <f t="shared" si="28"/>
        <v>5.5190538764783227E-2</v>
      </c>
      <c r="I638">
        <f t="shared" si="29"/>
        <v>3.3634294722045166E-6</v>
      </c>
      <c r="J638">
        <f t="shared" si="30"/>
        <v>3.3634294722045164</v>
      </c>
    </row>
    <row r="639" spans="1:10" x14ac:dyDescent="0.35">
      <c r="A639" t="s">
        <v>6</v>
      </c>
      <c r="B639" s="6">
        <v>44806</v>
      </c>
      <c r="C639" s="3">
        <v>0.41666666666666669</v>
      </c>
      <c r="D639" t="s">
        <v>22</v>
      </c>
      <c r="E639" t="s">
        <v>7</v>
      </c>
      <c r="F639">
        <v>0.76800000000000002</v>
      </c>
      <c r="G639">
        <v>0.80300000000000005</v>
      </c>
      <c r="H639">
        <f t="shared" si="28"/>
        <v>4.5572916666666706E-2</v>
      </c>
      <c r="I639">
        <f t="shared" si="29"/>
        <v>2.657143823376821E-6</v>
      </c>
      <c r="J639">
        <f t="shared" si="30"/>
        <v>2.657143823376821</v>
      </c>
    </row>
    <row r="640" spans="1:10" x14ac:dyDescent="0.35">
      <c r="A640" t="s">
        <v>6</v>
      </c>
      <c r="B640" s="6">
        <v>44806</v>
      </c>
      <c r="C640" s="3">
        <v>0.4375</v>
      </c>
      <c r="D640" t="s">
        <v>22</v>
      </c>
      <c r="E640" t="s">
        <v>7</v>
      </c>
      <c r="F640">
        <v>0.77600000000000002</v>
      </c>
      <c r="G640">
        <v>0.80300000000000005</v>
      </c>
      <c r="H640">
        <f t="shared" si="28"/>
        <v>3.479381443298972E-2</v>
      </c>
      <c r="I640">
        <f t="shared" si="29"/>
        <v>1.9060574049820391E-6</v>
      </c>
      <c r="J640">
        <f t="shared" si="30"/>
        <v>1.9060574049820391</v>
      </c>
    </row>
    <row r="641" spans="1:10" x14ac:dyDescent="0.35">
      <c r="A641" t="s">
        <v>6</v>
      </c>
      <c r="B641" s="6">
        <v>44806</v>
      </c>
      <c r="C641" s="3">
        <v>0.45833333333333331</v>
      </c>
      <c r="D641" t="s">
        <v>22</v>
      </c>
      <c r="E641" t="s">
        <v>7</v>
      </c>
      <c r="F641">
        <v>0.78300000000000003</v>
      </c>
      <c r="G641">
        <v>0.80300000000000005</v>
      </c>
      <c r="H641">
        <f t="shared" si="28"/>
        <v>2.5542784163473841E-2</v>
      </c>
      <c r="I641">
        <f t="shared" si="29"/>
        <v>1.3028492189834248E-6</v>
      </c>
      <c r="J641">
        <f t="shared" si="30"/>
        <v>1.3028492189834249</v>
      </c>
    </row>
    <row r="642" spans="1:10" x14ac:dyDescent="0.35">
      <c r="A642" t="s">
        <v>6</v>
      </c>
      <c r="B642" s="6">
        <v>44806</v>
      </c>
      <c r="C642" s="3">
        <v>0.47916666666666669</v>
      </c>
      <c r="D642" t="s">
        <v>22</v>
      </c>
      <c r="E642" t="s">
        <v>7</v>
      </c>
      <c r="F642">
        <v>0.79100000000000004</v>
      </c>
      <c r="G642">
        <v>0.80300000000000005</v>
      </c>
      <c r="H642">
        <f t="shared" ref="H642:H674" si="31">(G642-F642)/F642</f>
        <v>1.5170670037926689E-2</v>
      </c>
      <c r="I642">
        <f t="shared" si="29"/>
        <v>6.8606272517479052E-7</v>
      </c>
      <c r="J642">
        <f t="shared" si="30"/>
        <v>0.6860627251747905</v>
      </c>
    </row>
    <row r="643" spans="1:10" x14ac:dyDescent="0.35">
      <c r="A643" t="s">
        <v>6</v>
      </c>
      <c r="B643" s="6">
        <v>44806</v>
      </c>
      <c r="C643" s="3">
        <v>0.5625</v>
      </c>
      <c r="D643" t="s">
        <v>22</v>
      </c>
      <c r="E643" t="s">
        <v>7</v>
      </c>
      <c r="F643">
        <v>0.79800000000000004</v>
      </c>
      <c r="G643">
        <v>0.80300000000000005</v>
      </c>
      <c r="H643">
        <f t="shared" si="31"/>
        <v>6.2656641604010074E-3</v>
      </c>
      <c r="I643">
        <f t="shared" ref="I643:I674" si="32">119*10^-6*(H643^1.231)</f>
        <v>2.3100079656272424E-7</v>
      </c>
      <c r="J643">
        <f t="shared" ref="J643:J674" si="33">I643*10^6</f>
        <v>0.23100079656272424</v>
      </c>
    </row>
    <row r="644" spans="1:10" x14ac:dyDescent="0.35">
      <c r="A644" t="s">
        <v>6</v>
      </c>
      <c r="B644" s="6">
        <v>44806</v>
      </c>
      <c r="C644" s="3">
        <v>0.58333333333333337</v>
      </c>
      <c r="D644" t="s">
        <v>22</v>
      </c>
      <c r="E644" t="s">
        <v>7</v>
      </c>
      <c r="F644">
        <v>0.80300000000000005</v>
      </c>
      <c r="G644">
        <v>0.80300000000000005</v>
      </c>
      <c r="H644">
        <f t="shared" si="31"/>
        <v>0</v>
      </c>
      <c r="I644">
        <f t="shared" si="32"/>
        <v>0</v>
      </c>
      <c r="J644">
        <f t="shared" si="33"/>
        <v>0</v>
      </c>
    </row>
    <row r="645" spans="1:10" x14ac:dyDescent="0.35">
      <c r="A645" t="s">
        <v>6</v>
      </c>
      <c r="B645" s="6">
        <v>44806</v>
      </c>
      <c r="C645" s="3">
        <v>0.60416666666666663</v>
      </c>
      <c r="D645" t="s">
        <v>22</v>
      </c>
      <c r="E645" t="s">
        <v>7</v>
      </c>
      <c r="F645">
        <v>0.80300000000000005</v>
      </c>
      <c r="G645">
        <v>0.80300000000000005</v>
      </c>
      <c r="H645">
        <f t="shared" si="31"/>
        <v>0</v>
      </c>
      <c r="I645">
        <f t="shared" si="32"/>
        <v>0</v>
      </c>
      <c r="J645">
        <f t="shared" si="33"/>
        <v>0</v>
      </c>
    </row>
    <row r="646" spans="1:10" x14ac:dyDescent="0.35">
      <c r="A646" t="s">
        <v>6</v>
      </c>
      <c r="B646" s="6">
        <v>44806</v>
      </c>
      <c r="C646" s="3">
        <v>0.625</v>
      </c>
      <c r="D646" t="s">
        <v>22</v>
      </c>
      <c r="E646" t="s">
        <v>7</v>
      </c>
      <c r="F646">
        <v>0.79800000000000004</v>
      </c>
      <c r="G646">
        <v>0.80300000000000005</v>
      </c>
      <c r="H646">
        <f t="shared" si="31"/>
        <v>6.2656641604010074E-3</v>
      </c>
      <c r="I646">
        <f t="shared" si="32"/>
        <v>2.3100079656272424E-7</v>
      </c>
      <c r="J646">
        <f t="shared" si="33"/>
        <v>0.23100079656272424</v>
      </c>
    </row>
    <row r="647" spans="1:10" x14ac:dyDescent="0.35">
      <c r="A647" t="s">
        <v>6</v>
      </c>
      <c r="B647" s="6">
        <v>44806</v>
      </c>
      <c r="C647" s="3">
        <v>0.64583333333333337</v>
      </c>
      <c r="D647" t="s">
        <v>22</v>
      </c>
      <c r="E647" t="s">
        <v>7</v>
      </c>
      <c r="F647">
        <v>0.78600000000000003</v>
      </c>
      <c r="G647">
        <v>0.80300000000000005</v>
      </c>
      <c r="H647">
        <f t="shared" si="31"/>
        <v>2.1628498727735389E-2</v>
      </c>
      <c r="I647">
        <f t="shared" si="32"/>
        <v>1.0616086033776963E-6</v>
      </c>
      <c r="J647">
        <f t="shared" si="33"/>
        <v>1.0616086033776964</v>
      </c>
    </row>
    <row r="648" spans="1:10" x14ac:dyDescent="0.35">
      <c r="A648" t="s">
        <v>6</v>
      </c>
      <c r="B648" s="6">
        <v>44806</v>
      </c>
      <c r="C648" s="3">
        <v>0.66666666666666663</v>
      </c>
      <c r="D648" t="s">
        <v>22</v>
      </c>
      <c r="E648" t="s">
        <v>7</v>
      </c>
      <c r="F648">
        <v>0.77300000000000002</v>
      </c>
      <c r="G648">
        <v>0.80300000000000005</v>
      </c>
      <c r="H648">
        <f t="shared" si="31"/>
        <v>3.8809831824062127E-2</v>
      </c>
      <c r="I648">
        <f t="shared" si="32"/>
        <v>2.1803904387893442E-6</v>
      </c>
      <c r="J648">
        <f t="shared" si="33"/>
        <v>2.180390438789344</v>
      </c>
    </row>
    <row r="649" spans="1:10" x14ac:dyDescent="0.35">
      <c r="A649" t="s">
        <v>6</v>
      </c>
      <c r="B649" s="6">
        <v>44806</v>
      </c>
      <c r="C649" s="3">
        <v>0</v>
      </c>
      <c r="D649" t="s">
        <v>19</v>
      </c>
      <c r="E649" t="s">
        <v>15</v>
      </c>
      <c r="F649">
        <v>0.625</v>
      </c>
      <c r="G649">
        <f>MAX(E649:E675)</f>
        <v>0</v>
      </c>
      <c r="H649">
        <f t="shared" si="31"/>
        <v>-1</v>
      </c>
      <c r="I649" t="e">
        <f t="shared" si="32"/>
        <v>#NUM!</v>
      </c>
      <c r="J649" t="e">
        <f t="shared" si="33"/>
        <v>#NUM!</v>
      </c>
    </row>
    <row r="650" spans="1:10" x14ac:dyDescent="0.35">
      <c r="A650" t="s">
        <v>6</v>
      </c>
      <c r="B650" s="6">
        <v>44806</v>
      </c>
      <c r="C650" s="3">
        <v>2.0833333333333332E-2</v>
      </c>
      <c r="D650" t="s">
        <v>19</v>
      </c>
      <c r="E650" t="s">
        <v>15</v>
      </c>
      <c r="F650">
        <v>0.628</v>
      </c>
      <c r="G650">
        <v>0.63100000000000001</v>
      </c>
      <c r="H650">
        <f t="shared" si="31"/>
        <v>4.7770700636942717E-3</v>
      </c>
      <c r="I650">
        <f t="shared" si="32"/>
        <v>1.6542262362468346E-7</v>
      </c>
      <c r="J650">
        <f t="shared" si="33"/>
        <v>0.16542262362468346</v>
      </c>
    </row>
    <row r="651" spans="1:10" x14ac:dyDescent="0.35">
      <c r="A651" t="s">
        <v>6</v>
      </c>
      <c r="B651" s="6">
        <v>44806</v>
      </c>
      <c r="C651" s="3">
        <v>4.1666666666666664E-2</v>
      </c>
      <c r="D651" t="s">
        <v>19</v>
      </c>
      <c r="E651" t="s">
        <v>15</v>
      </c>
      <c r="F651">
        <v>0.63</v>
      </c>
      <c r="G651">
        <v>0.63100000000000001</v>
      </c>
      <c r="H651">
        <f t="shared" si="31"/>
        <v>1.5873015873015886E-3</v>
      </c>
      <c r="I651">
        <f t="shared" si="32"/>
        <v>4.2614632253558919E-8</v>
      </c>
      <c r="J651">
        <f t="shared" si="33"/>
        <v>4.2614632253558916E-2</v>
      </c>
    </row>
    <row r="652" spans="1:10" x14ac:dyDescent="0.35">
      <c r="A652" t="s">
        <v>6</v>
      </c>
      <c r="B652" s="6">
        <v>44806</v>
      </c>
      <c r="C652" s="3">
        <v>6.25E-2</v>
      </c>
      <c r="D652" t="s">
        <v>19</v>
      </c>
      <c r="E652" t="s">
        <v>15</v>
      </c>
      <c r="F652">
        <v>0.63</v>
      </c>
      <c r="G652">
        <v>0.63100000000000001</v>
      </c>
      <c r="H652">
        <f t="shared" si="31"/>
        <v>1.5873015873015886E-3</v>
      </c>
      <c r="I652">
        <f t="shared" si="32"/>
        <v>4.2614632253558919E-8</v>
      </c>
      <c r="J652">
        <f t="shared" si="33"/>
        <v>4.2614632253558916E-2</v>
      </c>
    </row>
    <row r="653" spans="1:10" x14ac:dyDescent="0.35">
      <c r="A653" t="s">
        <v>6</v>
      </c>
      <c r="B653" s="6">
        <v>44806</v>
      </c>
      <c r="C653" s="3">
        <v>8.3333333333333329E-2</v>
      </c>
      <c r="D653" t="s">
        <v>19</v>
      </c>
      <c r="E653" t="s">
        <v>15</v>
      </c>
      <c r="F653">
        <v>0.63100000000000001</v>
      </c>
      <c r="G653">
        <v>0.63100000000000001</v>
      </c>
      <c r="H653">
        <f t="shared" si="31"/>
        <v>0</v>
      </c>
      <c r="I653">
        <f t="shared" si="32"/>
        <v>0</v>
      </c>
      <c r="J653">
        <f t="shared" si="33"/>
        <v>0</v>
      </c>
    </row>
    <row r="654" spans="1:10" x14ac:dyDescent="0.35">
      <c r="A654" t="s">
        <v>6</v>
      </c>
      <c r="B654" s="6">
        <v>44806</v>
      </c>
      <c r="C654" s="3">
        <v>0.10416666666666667</v>
      </c>
      <c r="D654" t="s">
        <v>19</v>
      </c>
      <c r="E654" t="s">
        <v>15</v>
      </c>
      <c r="F654">
        <v>0.63</v>
      </c>
      <c r="G654">
        <v>0.63100000000000001</v>
      </c>
      <c r="H654">
        <f t="shared" si="31"/>
        <v>1.5873015873015886E-3</v>
      </c>
      <c r="I654">
        <f t="shared" si="32"/>
        <v>4.2614632253558919E-8</v>
      </c>
      <c r="J654">
        <f t="shared" si="33"/>
        <v>4.2614632253558916E-2</v>
      </c>
    </row>
    <row r="655" spans="1:10" x14ac:dyDescent="0.35">
      <c r="A655" t="s">
        <v>6</v>
      </c>
      <c r="B655" s="6">
        <v>44806</v>
      </c>
      <c r="C655" s="3">
        <v>0.125</v>
      </c>
      <c r="D655" t="s">
        <v>19</v>
      </c>
      <c r="E655" t="s">
        <v>15</v>
      </c>
      <c r="F655">
        <v>0.629</v>
      </c>
      <c r="G655">
        <v>0.63100000000000001</v>
      </c>
      <c r="H655">
        <f t="shared" si="31"/>
        <v>3.1796502384737707E-3</v>
      </c>
      <c r="I655">
        <f t="shared" si="32"/>
        <v>1.0022497151968179E-7</v>
      </c>
      <c r="J655">
        <f t="shared" si="33"/>
        <v>0.10022497151968179</v>
      </c>
    </row>
    <row r="656" spans="1:10" x14ac:dyDescent="0.35">
      <c r="A656" t="s">
        <v>6</v>
      </c>
      <c r="B656" s="6">
        <v>44806</v>
      </c>
      <c r="C656" s="3">
        <v>0.14583333333333334</v>
      </c>
      <c r="D656" t="s">
        <v>19</v>
      </c>
      <c r="E656" t="s">
        <v>15</v>
      </c>
      <c r="F656">
        <v>0.628</v>
      </c>
      <c r="G656">
        <v>0.63100000000000001</v>
      </c>
      <c r="H656">
        <f t="shared" si="31"/>
        <v>4.7770700636942717E-3</v>
      </c>
      <c r="I656">
        <f t="shared" si="32"/>
        <v>1.6542262362468346E-7</v>
      </c>
      <c r="J656">
        <f t="shared" si="33"/>
        <v>0.16542262362468346</v>
      </c>
    </row>
    <row r="657" spans="1:10" x14ac:dyDescent="0.35">
      <c r="A657" t="s">
        <v>6</v>
      </c>
      <c r="B657" s="6">
        <v>44806</v>
      </c>
      <c r="C657" s="3">
        <v>0.16666666666666666</v>
      </c>
      <c r="D657" t="s">
        <v>19</v>
      </c>
      <c r="E657" t="s">
        <v>15</v>
      </c>
      <c r="F657">
        <v>0.623</v>
      </c>
      <c r="G657">
        <v>0.63100000000000001</v>
      </c>
      <c r="H657">
        <f t="shared" si="31"/>
        <v>1.2841091492776898E-2</v>
      </c>
      <c r="I657">
        <f t="shared" si="32"/>
        <v>5.5877369113704836E-7</v>
      </c>
      <c r="J657">
        <f t="shared" si="33"/>
        <v>0.55877369113704833</v>
      </c>
    </row>
    <row r="658" spans="1:10" x14ac:dyDescent="0.35">
      <c r="A658" t="s">
        <v>6</v>
      </c>
      <c r="B658" s="6">
        <v>44806</v>
      </c>
      <c r="C658" s="3">
        <v>0.1875</v>
      </c>
      <c r="D658" t="s">
        <v>19</v>
      </c>
      <c r="E658" t="s">
        <v>15</v>
      </c>
      <c r="F658">
        <v>0.61899999999999999</v>
      </c>
      <c r="G658">
        <v>0.63100000000000001</v>
      </c>
      <c r="H658">
        <f t="shared" si="31"/>
        <v>1.9386106623586447E-2</v>
      </c>
      <c r="I658">
        <f t="shared" si="32"/>
        <v>9.2778615267934985E-7</v>
      </c>
      <c r="J658">
        <f t="shared" si="33"/>
        <v>0.92778615267934983</v>
      </c>
    </row>
    <row r="659" spans="1:10" x14ac:dyDescent="0.35">
      <c r="A659" t="s">
        <v>6</v>
      </c>
      <c r="B659" s="6">
        <v>44806</v>
      </c>
      <c r="C659" s="3">
        <v>0.20833333333333334</v>
      </c>
      <c r="D659" t="s">
        <v>19</v>
      </c>
      <c r="E659" t="s">
        <v>15</v>
      </c>
      <c r="F659">
        <v>0.61699999999999999</v>
      </c>
      <c r="G659">
        <v>0.63100000000000001</v>
      </c>
      <c r="H659">
        <f t="shared" si="31"/>
        <v>2.2690437601296617E-2</v>
      </c>
      <c r="I659">
        <f t="shared" si="32"/>
        <v>1.1261326142646523E-6</v>
      </c>
      <c r="J659">
        <f t="shared" si="33"/>
        <v>1.1261326142646524</v>
      </c>
    </row>
    <row r="660" spans="1:10" x14ac:dyDescent="0.35">
      <c r="A660" t="s">
        <v>6</v>
      </c>
      <c r="B660" s="6">
        <v>44806</v>
      </c>
      <c r="C660" s="3">
        <v>0.22916666666666666</v>
      </c>
      <c r="D660" t="s">
        <v>19</v>
      </c>
      <c r="E660" t="s">
        <v>15</v>
      </c>
      <c r="F660">
        <v>0.61299999999999999</v>
      </c>
      <c r="G660">
        <v>0.63100000000000001</v>
      </c>
      <c r="H660">
        <f t="shared" si="31"/>
        <v>2.9363784665579144E-2</v>
      </c>
      <c r="I660">
        <f t="shared" si="32"/>
        <v>1.5467622743069473E-6</v>
      </c>
      <c r="J660">
        <f t="shared" si="33"/>
        <v>1.5467622743069473</v>
      </c>
    </row>
    <row r="661" spans="1:10" x14ac:dyDescent="0.35">
      <c r="A661" t="s">
        <v>6</v>
      </c>
      <c r="B661" s="6">
        <v>44806</v>
      </c>
      <c r="C661" s="3">
        <v>0.33333333333333331</v>
      </c>
      <c r="D661" t="s">
        <v>19</v>
      </c>
      <c r="E661" t="s">
        <v>15</v>
      </c>
      <c r="F661">
        <v>0.56799999999999995</v>
      </c>
      <c r="G661">
        <v>0.63100000000000001</v>
      </c>
      <c r="H661">
        <f t="shared" si="31"/>
        <v>0.11091549295774658</v>
      </c>
      <c r="I661">
        <f t="shared" si="32"/>
        <v>7.9420456042442201E-6</v>
      </c>
      <c r="J661">
        <f t="shared" si="33"/>
        <v>7.9420456042442202</v>
      </c>
    </row>
    <row r="662" spans="1:10" x14ac:dyDescent="0.35">
      <c r="A662" t="s">
        <v>6</v>
      </c>
      <c r="B662" s="6">
        <v>44806</v>
      </c>
      <c r="C662" s="3">
        <v>0.35416666666666669</v>
      </c>
      <c r="D662" t="s">
        <v>19</v>
      </c>
      <c r="E662" t="s">
        <v>15</v>
      </c>
      <c r="F662">
        <v>0.54100000000000004</v>
      </c>
      <c r="G662">
        <v>0.63100000000000001</v>
      </c>
      <c r="H662">
        <f t="shared" si="31"/>
        <v>0.16635859519408497</v>
      </c>
      <c r="I662">
        <f t="shared" si="32"/>
        <v>1.3081382877604029E-5</v>
      </c>
      <c r="J662">
        <f t="shared" si="33"/>
        <v>13.081382877604028</v>
      </c>
    </row>
    <row r="663" spans="1:10" x14ac:dyDescent="0.35">
      <c r="A663" t="s">
        <v>6</v>
      </c>
      <c r="B663" s="6">
        <v>44806</v>
      </c>
      <c r="C663" s="3">
        <v>0.375</v>
      </c>
      <c r="D663" t="s">
        <v>19</v>
      </c>
      <c r="E663" t="s">
        <v>15</v>
      </c>
      <c r="F663">
        <v>0.49</v>
      </c>
      <c r="G663">
        <v>0.63100000000000001</v>
      </c>
      <c r="H663">
        <f t="shared" si="31"/>
        <v>0.28775510204081634</v>
      </c>
      <c r="I663">
        <f t="shared" si="32"/>
        <v>2.5680549632236803E-5</v>
      </c>
      <c r="J663">
        <f t="shared" si="33"/>
        <v>25.680549632236804</v>
      </c>
    </row>
    <row r="664" spans="1:10" x14ac:dyDescent="0.35">
      <c r="A664" t="s">
        <v>6</v>
      </c>
      <c r="B664" s="6">
        <v>44806</v>
      </c>
      <c r="C664" s="3">
        <v>0.39583333333333331</v>
      </c>
      <c r="D664" t="s">
        <v>19</v>
      </c>
      <c r="E664" t="s">
        <v>15</v>
      </c>
      <c r="F664">
        <v>0.45200000000000001</v>
      </c>
      <c r="G664">
        <v>0.63100000000000001</v>
      </c>
      <c r="H664">
        <f t="shared" si="31"/>
        <v>0.3960176991150442</v>
      </c>
      <c r="I664">
        <f t="shared" si="32"/>
        <v>3.8048157375210735E-5</v>
      </c>
      <c r="J664">
        <f t="shared" si="33"/>
        <v>38.048157375210735</v>
      </c>
    </row>
    <row r="665" spans="1:10" x14ac:dyDescent="0.35">
      <c r="A665" t="s">
        <v>6</v>
      </c>
      <c r="B665" s="6">
        <v>44806</v>
      </c>
      <c r="C665" s="3">
        <v>0.41666666666666669</v>
      </c>
      <c r="D665" t="s">
        <v>19</v>
      </c>
      <c r="E665" t="s">
        <v>15</v>
      </c>
      <c r="F665">
        <v>0.433</v>
      </c>
      <c r="G665">
        <v>0.63100000000000001</v>
      </c>
      <c r="H665">
        <f t="shared" si="31"/>
        <v>0.45727482678983838</v>
      </c>
      <c r="I665">
        <f t="shared" si="32"/>
        <v>4.5417707621792178E-5</v>
      </c>
      <c r="J665">
        <f t="shared" si="33"/>
        <v>45.417707621792175</v>
      </c>
    </row>
    <row r="666" spans="1:10" x14ac:dyDescent="0.35">
      <c r="A666" t="s">
        <v>6</v>
      </c>
      <c r="B666" s="6">
        <v>44806</v>
      </c>
      <c r="C666" s="3">
        <v>0.4375</v>
      </c>
      <c r="D666" t="s">
        <v>19</v>
      </c>
      <c r="E666" t="s">
        <v>15</v>
      </c>
      <c r="F666">
        <v>0.42099999999999999</v>
      </c>
      <c r="G666">
        <v>0.63100000000000001</v>
      </c>
      <c r="H666">
        <f t="shared" si="31"/>
        <v>0.49881235154394304</v>
      </c>
      <c r="I666">
        <f t="shared" si="32"/>
        <v>5.0548427904040913E-5</v>
      </c>
      <c r="J666">
        <f t="shared" si="33"/>
        <v>50.548427904040913</v>
      </c>
    </row>
    <row r="667" spans="1:10" x14ac:dyDescent="0.35">
      <c r="A667" t="s">
        <v>6</v>
      </c>
      <c r="B667" s="6">
        <v>44806</v>
      </c>
      <c r="C667" s="3">
        <v>0.45833333333333331</v>
      </c>
      <c r="D667" t="s">
        <v>19</v>
      </c>
      <c r="E667" t="s">
        <v>15</v>
      </c>
      <c r="F667">
        <v>0.41899999999999998</v>
      </c>
      <c r="G667">
        <v>0.63100000000000001</v>
      </c>
      <c r="H667">
        <f t="shared" si="31"/>
        <v>0.50596658711217191</v>
      </c>
      <c r="I667">
        <f t="shared" si="32"/>
        <v>5.1442367059848763E-5</v>
      </c>
      <c r="J667">
        <f t="shared" si="33"/>
        <v>51.442367059848763</v>
      </c>
    </row>
    <row r="668" spans="1:10" x14ac:dyDescent="0.35">
      <c r="A668" t="s">
        <v>6</v>
      </c>
      <c r="B668" s="6">
        <v>44806</v>
      </c>
      <c r="C668" s="3">
        <v>0.47916666666666669</v>
      </c>
      <c r="D668" t="s">
        <v>19</v>
      </c>
      <c r="E668" t="s">
        <v>15</v>
      </c>
      <c r="F668">
        <v>0.41799999999999998</v>
      </c>
      <c r="G668">
        <v>0.63100000000000001</v>
      </c>
      <c r="H668">
        <f t="shared" si="31"/>
        <v>0.50956937799043067</v>
      </c>
      <c r="I668">
        <f t="shared" si="32"/>
        <v>5.189365382195926E-5</v>
      </c>
      <c r="J668">
        <f t="shared" si="33"/>
        <v>51.893653821959262</v>
      </c>
    </row>
    <row r="669" spans="1:10" x14ac:dyDescent="0.35">
      <c r="A669" t="s">
        <v>6</v>
      </c>
      <c r="B669" s="6">
        <v>44806</v>
      </c>
      <c r="C669" s="3">
        <v>0.5625</v>
      </c>
      <c r="D669" t="s">
        <v>19</v>
      </c>
      <c r="E669" t="s">
        <v>15</v>
      </c>
      <c r="F669">
        <v>0.41099999999999998</v>
      </c>
      <c r="G669">
        <v>0.63100000000000001</v>
      </c>
      <c r="H669">
        <f t="shared" si="31"/>
        <v>0.53527980535279818</v>
      </c>
      <c r="I669">
        <f t="shared" si="32"/>
        <v>5.5135332598247215E-5</v>
      </c>
      <c r="J669">
        <f t="shared" si="33"/>
        <v>55.135332598247217</v>
      </c>
    </row>
    <row r="670" spans="1:10" x14ac:dyDescent="0.35">
      <c r="A670" t="s">
        <v>6</v>
      </c>
      <c r="B670" s="6">
        <v>44806</v>
      </c>
      <c r="C670" s="3">
        <v>0.58333333333333337</v>
      </c>
      <c r="D670" t="s">
        <v>19</v>
      </c>
      <c r="E670" t="s">
        <v>15</v>
      </c>
      <c r="F670">
        <v>0.41599999999999998</v>
      </c>
      <c r="G670">
        <v>0.63100000000000001</v>
      </c>
      <c r="H670">
        <f t="shared" si="31"/>
        <v>0.51682692307692313</v>
      </c>
      <c r="I670">
        <f t="shared" si="32"/>
        <v>5.280497186321331E-5</v>
      </c>
      <c r="J670">
        <f t="shared" si="33"/>
        <v>52.804971863213311</v>
      </c>
    </row>
    <row r="671" spans="1:10" x14ac:dyDescent="0.35">
      <c r="A671" t="s">
        <v>6</v>
      </c>
      <c r="B671" s="6">
        <v>44806</v>
      </c>
      <c r="C671" s="3">
        <v>0.60416666666666663</v>
      </c>
      <c r="D671" t="s">
        <v>19</v>
      </c>
      <c r="E671" t="s">
        <v>15</v>
      </c>
      <c r="F671">
        <v>0.42499999999999999</v>
      </c>
      <c r="G671">
        <v>0.63100000000000001</v>
      </c>
      <c r="H671">
        <f t="shared" si="31"/>
        <v>0.48470588235294121</v>
      </c>
      <c r="I671">
        <f t="shared" si="32"/>
        <v>4.8794484793496743E-5</v>
      </c>
      <c r="J671">
        <f t="shared" si="33"/>
        <v>48.794484793496743</v>
      </c>
    </row>
    <row r="672" spans="1:10" x14ac:dyDescent="0.35">
      <c r="A672" t="s">
        <v>6</v>
      </c>
      <c r="B672" s="6">
        <v>44806</v>
      </c>
      <c r="C672" s="3">
        <v>0.625</v>
      </c>
      <c r="D672" t="s">
        <v>19</v>
      </c>
      <c r="E672" t="s">
        <v>15</v>
      </c>
      <c r="F672">
        <v>0.439</v>
      </c>
      <c r="G672">
        <v>0.63100000000000001</v>
      </c>
      <c r="H672">
        <f t="shared" si="31"/>
        <v>0.43735763097949887</v>
      </c>
      <c r="I672">
        <f t="shared" si="32"/>
        <v>4.299490062660254E-5</v>
      </c>
      <c r="J672">
        <f t="shared" si="33"/>
        <v>42.994900626602544</v>
      </c>
    </row>
    <row r="673" spans="1:10" x14ac:dyDescent="0.35">
      <c r="A673" t="s">
        <v>6</v>
      </c>
      <c r="B673" s="6">
        <v>44806</v>
      </c>
      <c r="C673" s="3">
        <v>0.64583333333333337</v>
      </c>
      <c r="D673" t="s">
        <v>19</v>
      </c>
      <c r="E673" t="s">
        <v>15</v>
      </c>
      <c r="F673">
        <v>0.45100000000000001</v>
      </c>
      <c r="G673">
        <v>0.63100000000000001</v>
      </c>
      <c r="H673">
        <f t="shared" si="31"/>
        <v>0.3991130820399113</v>
      </c>
      <c r="I673">
        <f t="shared" si="32"/>
        <v>3.8414580253496214E-5</v>
      </c>
      <c r="J673">
        <f t="shared" si="33"/>
        <v>38.414580253496212</v>
      </c>
    </row>
    <row r="674" spans="1:10" x14ac:dyDescent="0.35">
      <c r="A674" t="s">
        <v>6</v>
      </c>
      <c r="B674" s="6">
        <v>44806</v>
      </c>
      <c r="C674" s="3">
        <v>0.66666666666666663</v>
      </c>
      <c r="D674" t="s">
        <v>19</v>
      </c>
      <c r="E674" t="s">
        <v>15</v>
      </c>
      <c r="F674">
        <v>0.46</v>
      </c>
      <c r="G674">
        <v>0.63100000000000001</v>
      </c>
      <c r="H674">
        <f t="shared" si="31"/>
        <v>0.37173913043478257</v>
      </c>
      <c r="I674">
        <f t="shared" si="32"/>
        <v>3.5197375586138764E-5</v>
      </c>
      <c r="J674">
        <f t="shared" si="33"/>
        <v>35.197375586138762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Makera</vt:lpstr>
      <vt:lpstr>Makera1</vt:lpstr>
      <vt:lpstr>Rubona_raw</vt:lpstr>
      <vt:lpstr>Rubona</vt:lpstr>
      <vt:lpstr>ALL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Jean Leonce Manzi</dc:creator>
  <cp:lastModifiedBy>Olivier Jean Leonce Manzi</cp:lastModifiedBy>
  <dcterms:created xsi:type="dcterms:W3CDTF">2024-08-14T09:49:46Z</dcterms:created>
  <dcterms:modified xsi:type="dcterms:W3CDTF">2024-11-26T10:18:32Z</dcterms:modified>
</cp:coreProperties>
</file>